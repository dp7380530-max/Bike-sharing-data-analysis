
<file path=[Content_Types].xml><?xml version="1.0" encoding="utf-8"?>
<Types xmlns="http://schemas.openxmlformats.org/package/2006/content-types">
  <Default Extension="bin" ContentType="application/vnd.openxmlformats-officedocument.spreadsheetml.printerSettings"/>
  <Override PartName="/xl/pivotTables/pivotTable5.xml" ContentType="application/vnd.openxmlformats-officedocument.spreadsheetml.pivotTable+xml"/>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720" yWindow="645" windowWidth="19575" windowHeight="6870" activeTab="3"/>
  </bookViews>
  <sheets>
    <sheet name="FINAL DATA" sheetId="1" r:id="rId1"/>
    <sheet name="DATA SUMMARY" sheetId="4" r:id="rId2"/>
    <sheet name="PIVOT ANALYSIS" sheetId="5" r:id="rId3"/>
    <sheet name="DASHBOARD" sheetId="2" r:id="rId4"/>
  </sheets>
  <externalReferences>
    <externalReference r:id="rId5"/>
  </externalReferences>
  <definedNames>
    <definedName name="_xlnm._FilterDatabase" localSheetId="0" hidden="1">'FINAL DATA'!$A$4:$V$4</definedName>
  </definedNames>
  <calcPr calcId="124519"/>
  <pivotCaches>
    <pivotCache cacheId="0" r:id="rId6"/>
    <pivotCache cacheId="1" r:id="rId7"/>
  </pivotCaches>
</workbook>
</file>

<file path=xl/calcChain.xml><?xml version="1.0" encoding="utf-8"?>
<calcChain xmlns="http://schemas.openxmlformats.org/spreadsheetml/2006/main">
  <c r="J5" i="1"/>
  <c r="J6"/>
  <c r="J7"/>
  <c r="J8"/>
  <c r="J9"/>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38"/>
  <c r="J139"/>
  <c r="J140"/>
  <c r="J141"/>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209"/>
  <c r="J210"/>
  <c r="J211"/>
  <c r="J212"/>
  <c r="J213"/>
  <c r="J214"/>
  <c r="J215"/>
  <c r="J216"/>
  <c r="J217"/>
  <c r="J218"/>
  <c r="J219"/>
  <c r="J220"/>
  <c r="J221"/>
  <c r="J222"/>
  <c r="J223"/>
  <c r="J224"/>
  <c r="J225"/>
  <c r="J226"/>
  <c r="J227"/>
  <c r="J228"/>
  <c r="J229"/>
  <c r="J230"/>
  <c r="J231"/>
  <c r="J232"/>
  <c r="J233"/>
  <c r="J234"/>
  <c r="J235"/>
  <c r="J236"/>
  <c r="J237"/>
  <c r="J238"/>
  <c r="J239"/>
  <c r="J240"/>
  <c r="J241"/>
  <c r="J242"/>
  <c r="J243"/>
  <c r="J244"/>
  <c r="J245"/>
  <c r="J246"/>
  <c r="J247"/>
  <c r="J248"/>
  <c r="J249"/>
  <c r="J250"/>
  <c r="J251"/>
  <c r="J252"/>
  <c r="J253"/>
  <c r="J254"/>
  <c r="J255"/>
  <c r="J256"/>
  <c r="J257"/>
  <c r="J258"/>
  <c r="J259"/>
  <c r="J260"/>
  <c r="J261"/>
  <c r="J262"/>
  <c r="J263"/>
  <c r="J264"/>
  <c r="J265"/>
  <c r="J266"/>
  <c r="J267"/>
  <c r="J268"/>
  <c r="J269"/>
  <c r="J270"/>
  <c r="J271"/>
  <c r="J272"/>
  <c r="J273"/>
  <c r="J274"/>
  <c r="J275"/>
  <c r="J276"/>
  <c r="J277"/>
  <c r="J278"/>
  <c r="J279"/>
  <c r="J280"/>
  <c r="J281"/>
  <c r="J282"/>
  <c r="J283"/>
  <c r="J284"/>
  <c r="J285"/>
  <c r="J286"/>
  <c r="J287"/>
  <c r="J288"/>
  <c r="J289"/>
  <c r="J290"/>
  <c r="J291"/>
  <c r="J292"/>
  <c r="J293"/>
  <c r="J294"/>
  <c r="J295"/>
  <c r="J296"/>
  <c r="J297"/>
  <c r="J298"/>
  <c r="J299"/>
  <c r="J300"/>
  <c r="J301"/>
  <c r="J302"/>
  <c r="J303"/>
  <c r="J304"/>
  <c r="J305"/>
  <c r="J306"/>
  <c r="J307"/>
  <c r="J308"/>
  <c r="J309"/>
  <c r="J310"/>
  <c r="J311"/>
  <c r="J312"/>
  <c r="J313"/>
  <c r="J314"/>
  <c r="J315"/>
  <c r="J316"/>
  <c r="J317"/>
  <c r="J318"/>
  <c r="J319"/>
  <c r="J320"/>
  <c r="J321"/>
  <c r="J322"/>
  <c r="J323"/>
  <c r="J324"/>
  <c r="J325"/>
  <c r="J326"/>
  <c r="J327"/>
  <c r="J328"/>
  <c r="J329"/>
  <c r="J330"/>
  <c r="J331"/>
  <c r="J332"/>
  <c r="J333"/>
  <c r="J334"/>
  <c r="J335"/>
  <c r="J336"/>
  <c r="J337"/>
  <c r="J338"/>
  <c r="J339"/>
  <c r="J340"/>
  <c r="J341"/>
  <c r="J342"/>
  <c r="J343"/>
  <c r="J344"/>
  <c r="J345"/>
  <c r="J346"/>
  <c r="J347"/>
  <c r="J348"/>
  <c r="J349"/>
  <c r="J350"/>
  <c r="J351"/>
  <c r="J352"/>
  <c r="J353"/>
  <c r="J354"/>
  <c r="J355"/>
  <c r="J356"/>
  <c r="J357"/>
  <c r="J358"/>
  <c r="J359"/>
  <c r="J360"/>
  <c r="J361"/>
  <c r="J362"/>
  <c r="J363"/>
  <c r="J364"/>
  <c r="J365"/>
  <c r="J366"/>
  <c r="J367"/>
  <c r="J368"/>
  <c r="J369"/>
  <c r="J370"/>
  <c r="J371"/>
  <c r="J372"/>
  <c r="J373"/>
  <c r="J374"/>
  <c r="J375"/>
  <c r="J376"/>
  <c r="J377"/>
  <c r="J378"/>
  <c r="J379"/>
  <c r="J380"/>
  <c r="J381"/>
  <c r="J382"/>
  <c r="J383"/>
  <c r="J384"/>
  <c r="J385"/>
  <c r="J386"/>
  <c r="J387"/>
  <c r="J388"/>
  <c r="J389"/>
  <c r="J390"/>
  <c r="J391"/>
  <c r="J392"/>
  <c r="J393"/>
  <c r="J394"/>
  <c r="J395"/>
  <c r="J396"/>
  <c r="J397"/>
  <c r="J398"/>
  <c r="J399"/>
  <c r="J400"/>
  <c r="J401"/>
  <c r="J402"/>
  <c r="J403"/>
  <c r="J404"/>
  <c r="J405"/>
  <c r="J406"/>
  <c r="J407"/>
  <c r="J408"/>
  <c r="J409"/>
  <c r="J410"/>
  <c r="J411"/>
  <c r="J412"/>
  <c r="J413"/>
  <c r="J414"/>
  <c r="J415"/>
  <c r="J416"/>
  <c r="J417"/>
  <c r="J418"/>
  <c r="J419"/>
  <c r="J420"/>
  <c r="J421"/>
  <c r="J422"/>
  <c r="J423"/>
  <c r="J424"/>
  <c r="J425"/>
  <c r="J426"/>
  <c r="J427"/>
  <c r="J428"/>
  <c r="J429"/>
  <c r="J430"/>
  <c r="J431"/>
  <c r="J432"/>
  <c r="J433"/>
  <c r="J434"/>
  <c r="J435"/>
  <c r="J436"/>
  <c r="J437"/>
  <c r="J438"/>
  <c r="J439"/>
  <c r="J440"/>
  <c r="J441"/>
  <c r="J442"/>
  <c r="J443"/>
  <c r="J444"/>
  <c r="J445"/>
  <c r="J446"/>
  <c r="J447"/>
  <c r="J448"/>
  <c r="J449"/>
  <c r="J450"/>
  <c r="J451"/>
  <c r="J452"/>
  <c r="J453"/>
  <c r="J454"/>
  <c r="J455"/>
  <c r="J456"/>
  <c r="J457"/>
  <c r="J458"/>
  <c r="J459"/>
  <c r="J460"/>
  <c r="J461"/>
  <c r="J462"/>
  <c r="J463"/>
  <c r="J464"/>
  <c r="J465"/>
  <c r="J466"/>
  <c r="J467"/>
  <c r="J468"/>
  <c r="J469"/>
  <c r="J470"/>
  <c r="J471"/>
  <c r="J472"/>
  <c r="J473"/>
  <c r="J474"/>
  <c r="J475"/>
  <c r="J476"/>
  <c r="J477"/>
  <c r="J478"/>
  <c r="J479"/>
  <c r="J480"/>
  <c r="J481"/>
  <c r="J482"/>
  <c r="J483"/>
  <c r="J484"/>
  <c r="J485"/>
  <c r="J486"/>
  <c r="J487"/>
  <c r="J488"/>
  <c r="J489"/>
  <c r="J490"/>
  <c r="J491"/>
  <c r="J492"/>
  <c r="J493"/>
  <c r="J494"/>
  <c r="J495"/>
  <c r="J496"/>
  <c r="J497"/>
  <c r="J498"/>
  <c r="J499"/>
  <c r="J500"/>
  <c r="J501"/>
  <c r="J502"/>
  <c r="J503"/>
  <c r="J504"/>
  <c r="J505"/>
  <c r="J506"/>
  <c r="J507"/>
  <c r="J508"/>
  <c r="J509"/>
  <c r="J510"/>
  <c r="J511"/>
  <c r="J512"/>
  <c r="J513"/>
  <c r="J514"/>
  <c r="J515"/>
  <c r="J516"/>
  <c r="J517"/>
  <c r="J518"/>
  <c r="J519"/>
  <c r="J520"/>
  <c r="J521"/>
  <c r="J522"/>
  <c r="J523"/>
  <c r="J524"/>
  <c r="J525"/>
  <c r="J526"/>
  <c r="J527"/>
  <c r="J528"/>
  <c r="J529"/>
  <c r="J530"/>
  <c r="J531"/>
  <c r="J532"/>
  <c r="J533"/>
  <c r="J534"/>
  <c r="J535"/>
  <c r="J536"/>
  <c r="J537"/>
  <c r="J538"/>
  <c r="J539"/>
  <c r="J540"/>
  <c r="J541"/>
  <c r="J542"/>
  <c r="J543"/>
  <c r="J544"/>
  <c r="J545"/>
  <c r="J546"/>
  <c r="J547"/>
  <c r="J548"/>
  <c r="J549"/>
  <c r="J550"/>
  <c r="J551"/>
  <c r="J552"/>
  <c r="J553"/>
  <c r="J554"/>
  <c r="J555"/>
  <c r="J556"/>
  <c r="J557"/>
  <c r="J558"/>
  <c r="J559"/>
  <c r="J560"/>
  <c r="J561"/>
  <c r="J562"/>
  <c r="J563"/>
  <c r="J564"/>
  <c r="J565"/>
  <c r="J566"/>
  <c r="J567"/>
  <c r="J568"/>
  <c r="J569"/>
  <c r="J570"/>
  <c r="J571"/>
  <c r="J572"/>
  <c r="J573"/>
  <c r="J574"/>
  <c r="J575"/>
  <c r="J576"/>
  <c r="J577"/>
  <c r="J578"/>
  <c r="J579"/>
  <c r="J580"/>
  <c r="J581"/>
  <c r="J582"/>
  <c r="J583"/>
  <c r="J584"/>
  <c r="J585"/>
  <c r="J586"/>
  <c r="J587"/>
  <c r="J588"/>
  <c r="J589"/>
  <c r="J590"/>
  <c r="J591"/>
  <c r="J592"/>
  <c r="J593"/>
  <c r="J594"/>
  <c r="J595"/>
  <c r="J596"/>
  <c r="J597"/>
  <c r="J598"/>
  <c r="J599"/>
  <c r="J600"/>
  <c r="J601"/>
  <c r="J602"/>
  <c r="J603"/>
  <c r="J604"/>
  <c r="J605"/>
  <c r="J606"/>
  <c r="J607"/>
  <c r="J608"/>
  <c r="J609"/>
  <c r="J610"/>
  <c r="J611"/>
  <c r="J612"/>
  <c r="J613"/>
  <c r="J614"/>
  <c r="J615"/>
  <c r="J616"/>
  <c r="J617"/>
  <c r="J618"/>
  <c r="J619"/>
  <c r="J620"/>
  <c r="J621"/>
  <c r="J622"/>
  <c r="J623"/>
  <c r="J624"/>
  <c r="J625"/>
  <c r="J626"/>
  <c r="J627"/>
  <c r="J628"/>
  <c r="J629"/>
  <c r="J630"/>
  <c r="J631"/>
  <c r="J632"/>
  <c r="J633"/>
  <c r="J634"/>
  <c r="J635"/>
  <c r="J636"/>
  <c r="J637"/>
  <c r="J638"/>
  <c r="J639"/>
  <c r="J640"/>
  <c r="J641"/>
  <c r="J642"/>
  <c r="J643"/>
  <c r="J644"/>
  <c r="J645"/>
  <c r="J646"/>
  <c r="J647"/>
  <c r="J648"/>
  <c r="J649"/>
  <c r="J650"/>
  <c r="J651"/>
  <c r="J652"/>
  <c r="J653"/>
  <c r="J654"/>
  <c r="J655"/>
  <c r="J656"/>
  <c r="J657"/>
  <c r="J658"/>
  <c r="J659"/>
  <c r="J660"/>
  <c r="J661"/>
  <c r="J662"/>
  <c r="J663"/>
  <c r="J664"/>
  <c r="J665"/>
  <c r="J666"/>
  <c r="J667"/>
  <c r="J668"/>
  <c r="J669"/>
  <c r="J670"/>
  <c r="J671"/>
  <c r="J672"/>
  <c r="J673"/>
  <c r="J674"/>
  <c r="J675"/>
  <c r="J676"/>
  <c r="J677"/>
  <c r="J678"/>
  <c r="J679"/>
  <c r="J680"/>
  <c r="J681"/>
  <c r="J682"/>
  <c r="J683"/>
  <c r="J684"/>
  <c r="J685"/>
  <c r="J686"/>
  <c r="J687"/>
  <c r="J688"/>
  <c r="J689"/>
  <c r="J690"/>
  <c r="J691"/>
  <c r="J692"/>
  <c r="J693"/>
  <c r="J694"/>
  <c r="J695"/>
  <c r="J696"/>
  <c r="J697"/>
  <c r="J698"/>
  <c r="J699"/>
  <c r="J700"/>
  <c r="J701"/>
  <c r="J702"/>
  <c r="J703"/>
  <c r="J704"/>
  <c r="J705"/>
  <c r="J706"/>
  <c r="J707"/>
  <c r="J708"/>
  <c r="J709"/>
  <c r="J710"/>
  <c r="J711"/>
  <c r="J712"/>
  <c r="J713"/>
  <c r="J714"/>
  <c r="J715"/>
  <c r="J716"/>
  <c r="J717"/>
  <c r="J718"/>
  <c r="J719"/>
  <c r="J720"/>
  <c r="J721"/>
  <c r="J722"/>
  <c r="J723"/>
  <c r="J724"/>
  <c r="J725"/>
  <c r="J726"/>
  <c r="J727"/>
  <c r="J728"/>
  <c r="J729"/>
  <c r="J730"/>
  <c r="J731"/>
  <c r="J732"/>
  <c r="J733"/>
  <c r="J734"/>
  <c r="J735"/>
  <c r="J736"/>
  <c r="J737"/>
  <c r="J738"/>
  <c r="J739"/>
  <c r="J740"/>
  <c r="J741"/>
  <c r="J742"/>
  <c r="J743"/>
  <c r="J744"/>
  <c r="J745"/>
  <c r="J746"/>
  <c r="J747"/>
  <c r="J748"/>
  <c r="J749"/>
  <c r="J750"/>
  <c r="J751"/>
  <c r="J752"/>
  <c r="J753"/>
  <c r="J754"/>
  <c r="J755"/>
  <c r="J756"/>
  <c r="J757"/>
  <c r="J758"/>
  <c r="J759"/>
  <c r="J760"/>
  <c r="J761"/>
  <c r="J762"/>
  <c r="J763"/>
  <c r="J764"/>
  <c r="J765"/>
  <c r="J766"/>
  <c r="J767"/>
  <c r="J768"/>
  <c r="J769"/>
  <c r="J770"/>
  <c r="J771"/>
  <c r="J772"/>
  <c r="J773"/>
  <c r="J774"/>
  <c r="J775"/>
  <c r="J776"/>
  <c r="J777"/>
  <c r="J778"/>
  <c r="J779"/>
  <c r="J780"/>
  <c r="J781"/>
  <c r="J782"/>
  <c r="J783"/>
  <c r="J784"/>
  <c r="J785"/>
  <c r="J786"/>
  <c r="J787"/>
  <c r="J788"/>
  <c r="J789"/>
  <c r="J790"/>
  <c r="J791"/>
  <c r="J792"/>
  <c r="J793"/>
  <c r="J794"/>
  <c r="J795"/>
  <c r="J796"/>
  <c r="J797"/>
  <c r="J798"/>
  <c r="J799"/>
  <c r="J800"/>
  <c r="J801"/>
  <c r="J802"/>
  <c r="J803"/>
  <c r="J804"/>
  <c r="J805"/>
  <c r="J806"/>
  <c r="J807"/>
  <c r="J808"/>
  <c r="J809"/>
  <c r="J810"/>
  <c r="J811"/>
  <c r="J812"/>
  <c r="J813"/>
  <c r="J814"/>
  <c r="J815"/>
  <c r="J816"/>
  <c r="J817"/>
  <c r="J818"/>
  <c r="J819"/>
  <c r="J820"/>
  <c r="J821"/>
  <c r="J822"/>
  <c r="J823"/>
  <c r="J824"/>
  <c r="J825"/>
  <c r="J826"/>
  <c r="J827"/>
  <c r="J828"/>
  <c r="J829"/>
  <c r="J830"/>
  <c r="J831"/>
  <c r="J832"/>
  <c r="J833"/>
  <c r="J834"/>
  <c r="J835"/>
  <c r="J836"/>
  <c r="J837"/>
  <c r="J838"/>
  <c r="J839"/>
  <c r="J840"/>
  <c r="J841"/>
  <c r="J842"/>
  <c r="J843"/>
  <c r="J844"/>
  <c r="J845"/>
  <c r="J846"/>
  <c r="J847"/>
  <c r="J848"/>
  <c r="J849"/>
  <c r="J850"/>
  <c r="J851"/>
  <c r="J852"/>
  <c r="J853"/>
  <c r="J854"/>
  <c r="J855"/>
  <c r="J856"/>
  <c r="J857"/>
  <c r="J858"/>
  <c r="J859"/>
  <c r="J860"/>
  <c r="J861"/>
  <c r="J862"/>
  <c r="J863"/>
  <c r="J864"/>
  <c r="J865"/>
  <c r="J866"/>
  <c r="J867"/>
  <c r="J868"/>
  <c r="J869"/>
  <c r="J870"/>
  <c r="J871"/>
  <c r="J872"/>
  <c r="J873"/>
  <c r="J874"/>
  <c r="J875"/>
  <c r="J876"/>
  <c r="J877"/>
  <c r="J878"/>
  <c r="J879"/>
  <c r="J880"/>
  <c r="J881"/>
  <c r="J882"/>
  <c r="J883"/>
  <c r="J884"/>
  <c r="J885"/>
  <c r="J886"/>
  <c r="J887"/>
  <c r="J888"/>
  <c r="J889"/>
  <c r="J890"/>
  <c r="J891"/>
  <c r="J892"/>
  <c r="J893"/>
  <c r="J894"/>
  <c r="J895"/>
  <c r="J896"/>
  <c r="J897"/>
  <c r="J898"/>
  <c r="J899"/>
  <c r="J900"/>
  <c r="J901"/>
  <c r="J902"/>
  <c r="J903"/>
  <c r="J904"/>
  <c r="J905"/>
  <c r="J906"/>
  <c r="J907"/>
  <c r="J908"/>
  <c r="J909"/>
  <c r="J910"/>
  <c r="J911"/>
  <c r="J912"/>
  <c r="J913"/>
  <c r="J914"/>
  <c r="J915"/>
  <c r="J916"/>
  <c r="J917"/>
  <c r="J918"/>
  <c r="J919"/>
  <c r="J920"/>
  <c r="J921"/>
  <c r="J922"/>
  <c r="J923"/>
  <c r="J924"/>
  <c r="J925"/>
  <c r="J926"/>
  <c r="J927"/>
  <c r="J928"/>
  <c r="J929"/>
  <c r="J930"/>
  <c r="J931"/>
  <c r="J932"/>
  <c r="J933"/>
  <c r="J934"/>
  <c r="J935"/>
  <c r="J936"/>
  <c r="J937"/>
  <c r="J938"/>
  <c r="J939"/>
  <c r="J940"/>
  <c r="J941"/>
  <c r="J942"/>
  <c r="J943"/>
  <c r="J944"/>
  <c r="J945"/>
  <c r="J946"/>
  <c r="J947"/>
  <c r="J948"/>
  <c r="J949"/>
  <c r="J950"/>
  <c r="J951"/>
  <c r="J952"/>
  <c r="J953"/>
  <c r="J954"/>
  <c r="J955"/>
  <c r="J956"/>
  <c r="J957"/>
  <c r="J958"/>
  <c r="J959"/>
  <c r="J960"/>
  <c r="J961"/>
  <c r="J962"/>
  <c r="J963"/>
  <c r="J964"/>
  <c r="J965"/>
  <c r="J966"/>
  <c r="J967"/>
  <c r="J968"/>
  <c r="J969"/>
  <c r="J970"/>
  <c r="J971"/>
  <c r="J972"/>
  <c r="J973"/>
  <c r="J974"/>
  <c r="J975"/>
  <c r="J976"/>
  <c r="J977"/>
  <c r="J978"/>
  <c r="J979"/>
  <c r="J980"/>
  <c r="J981"/>
  <c r="J982"/>
  <c r="J983"/>
  <c r="J984"/>
  <c r="J985"/>
  <c r="J986"/>
  <c r="J987"/>
  <c r="J988"/>
  <c r="J989"/>
  <c r="J990"/>
  <c r="J991"/>
  <c r="J992"/>
  <c r="J993"/>
  <c r="J994"/>
  <c r="J995"/>
  <c r="J996"/>
  <c r="J997"/>
  <c r="J998"/>
  <c r="J999"/>
  <c r="J1000"/>
  <c r="J1001"/>
  <c r="J1002"/>
  <c r="J1003"/>
  <c r="J1004"/>
  <c r="L5"/>
  <c r="L6"/>
  <c r="L7"/>
  <c r="L8"/>
  <c r="L9"/>
  <c r="L10"/>
  <c r="L11"/>
  <c r="L12"/>
  <c r="L13"/>
  <c r="L14"/>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62"/>
  <c r="L63"/>
  <c r="L64"/>
  <c r="L65"/>
  <c r="L66"/>
  <c r="L67"/>
  <c r="L68"/>
  <c r="L69"/>
  <c r="L70"/>
  <c r="L71"/>
  <c r="L72"/>
  <c r="L73"/>
  <c r="L74"/>
  <c r="L75"/>
  <c r="L76"/>
  <c r="L77"/>
  <c r="L78"/>
  <c r="L79"/>
  <c r="L80"/>
  <c r="L81"/>
  <c r="L82"/>
  <c r="L83"/>
  <c r="L84"/>
  <c r="L85"/>
  <c r="L86"/>
  <c r="L87"/>
  <c r="L88"/>
  <c r="L89"/>
  <c r="L90"/>
  <c r="L91"/>
  <c r="L92"/>
  <c r="L93"/>
  <c r="L94"/>
  <c r="L95"/>
  <c r="L96"/>
  <c r="L97"/>
  <c r="L98"/>
  <c r="L99"/>
  <c r="L100"/>
  <c r="L101"/>
  <c r="L102"/>
  <c r="L103"/>
  <c r="L104"/>
  <c r="L105"/>
  <c r="L106"/>
  <c r="L107"/>
  <c r="L108"/>
  <c r="L109"/>
  <c r="L110"/>
  <c r="L111"/>
  <c r="L112"/>
  <c r="L113"/>
  <c r="L114"/>
  <c r="L115"/>
  <c r="L116"/>
  <c r="L117"/>
  <c r="L118"/>
  <c r="L119"/>
  <c r="L120"/>
  <c r="L121"/>
  <c r="L122"/>
  <c r="L123"/>
  <c r="L124"/>
  <c r="L125"/>
  <c r="L126"/>
  <c r="L127"/>
  <c r="L128"/>
  <c r="L129"/>
  <c r="L130"/>
  <c r="L131"/>
  <c r="L132"/>
  <c r="L133"/>
  <c r="L134"/>
  <c r="L135"/>
  <c r="L136"/>
  <c r="L137"/>
  <c r="L138"/>
  <c r="L139"/>
  <c r="L140"/>
  <c r="L141"/>
  <c r="L142"/>
  <c r="L143"/>
  <c r="L144"/>
  <c r="L145"/>
  <c r="L146"/>
  <c r="L147"/>
  <c r="L148"/>
  <c r="L149"/>
  <c r="L150"/>
  <c r="L151"/>
  <c r="L152"/>
  <c r="L153"/>
  <c r="L154"/>
  <c r="L155"/>
  <c r="L156"/>
  <c r="L157"/>
  <c r="L158"/>
  <c r="L159"/>
  <c r="L160"/>
  <c r="L161"/>
  <c r="L162"/>
  <c r="L163"/>
  <c r="L164"/>
  <c r="L165"/>
  <c r="L166"/>
  <c r="L167"/>
  <c r="L168"/>
  <c r="L169"/>
  <c r="L170"/>
  <c r="L171"/>
  <c r="L172"/>
  <c r="L173"/>
  <c r="L174"/>
  <c r="L175"/>
  <c r="L176"/>
  <c r="L177"/>
  <c r="L178"/>
  <c r="L179"/>
  <c r="L180"/>
  <c r="L181"/>
  <c r="L182"/>
  <c r="L183"/>
  <c r="L184"/>
  <c r="L185"/>
  <c r="L186"/>
  <c r="L187"/>
  <c r="L188"/>
  <c r="L189"/>
  <c r="L190"/>
  <c r="L191"/>
  <c r="L192"/>
  <c r="L193"/>
  <c r="L194"/>
  <c r="L195"/>
  <c r="L196"/>
  <c r="L197"/>
  <c r="L198"/>
  <c r="L199"/>
  <c r="L200"/>
  <c r="L201"/>
  <c r="L202"/>
  <c r="L203"/>
  <c r="L204"/>
  <c r="L205"/>
  <c r="L206"/>
  <c r="L207"/>
  <c r="L208"/>
  <c r="L209"/>
  <c r="L210"/>
  <c r="L211"/>
  <c r="L212"/>
  <c r="L213"/>
  <c r="L214"/>
  <c r="L215"/>
  <c r="L216"/>
  <c r="L217"/>
  <c r="L218"/>
  <c r="L219"/>
  <c r="L220"/>
  <c r="L221"/>
  <c r="L222"/>
  <c r="L223"/>
  <c r="L224"/>
  <c r="L225"/>
  <c r="L226"/>
  <c r="L227"/>
  <c r="L228"/>
  <c r="L229"/>
  <c r="L230"/>
  <c r="L231"/>
  <c r="L232"/>
  <c r="L233"/>
  <c r="L234"/>
  <c r="L235"/>
  <c r="L236"/>
  <c r="L237"/>
  <c r="L238"/>
  <c r="L239"/>
  <c r="L240"/>
  <c r="L241"/>
  <c r="L242"/>
  <c r="L243"/>
  <c r="L244"/>
  <c r="L245"/>
  <c r="L246"/>
  <c r="L247"/>
  <c r="L248"/>
  <c r="L249"/>
  <c r="L250"/>
  <c r="L251"/>
  <c r="L252"/>
  <c r="L253"/>
  <c r="L254"/>
  <c r="L255"/>
  <c r="L256"/>
  <c r="L257"/>
  <c r="L258"/>
  <c r="L259"/>
  <c r="L260"/>
  <c r="L261"/>
  <c r="L262"/>
  <c r="L263"/>
  <c r="L264"/>
  <c r="L265"/>
  <c r="L266"/>
  <c r="L267"/>
  <c r="L268"/>
  <c r="L269"/>
  <c r="L270"/>
  <c r="L271"/>
  <c r="L272"/>
  <c r="L273"/>
  <c r="L274"/>
  <c r="L275"/>
  <c r="L276"/>
  <c r="L277"/>
  <c r="L278"/>
  <c r="L279"/>
  <c r="L280"/>
  <c r="L281"/>
  <c r="L282"/>
  <c r="L283"/>
  <c r="L284"/>
  <c r="L285"/>
  <c r="L286"/>
  <c r="L287"/>
  <c r="L288"/>
  <c r="L289"/>
  <c r="L290"/>
  <c r="L291"/>
  <c r="L292"/>
  <c r="L293"/>
  <c r="L294"/>
  <c r="L295"/>
  <c r="L296"/>
  <c r="L297"/>
  <c r="L298"/>
  <c r="L299"/>
  <c r="L300"/>
  <c r="L301"/>
  <c r="L302"/>
  <c r="L303"/>
  <c r="L304"/>
  <c r="L305"/>
  <c r="L306"/>
  <c r="L307"/>
  <c r="L308"/>
  <c r="L309"/>
  <c r="L310"/>
  <c r="L311"/>
  <c r="L312"/>
  <c r="L313"/>
  <c r="L314"/>
  <c r="L315"/>
  <c r="L316"/>
  <c r="L317"/>
  <c r="L318"/>
  <c r="L319"/>
  <c r="L320"/>
  <c r="L321"/>
  <c r="L322"/>
  <c r="L323"/>
  <c r="L324"/>
  <c r="L325"/>
  <c r="L326"/>
  <c r="L327"/>
  <c r="L328"/>
  <c r="L329"/>
  <c r="L330"/>
  <c r="L331"/>
  <c r="L332"/>
  <c r="L333"/>
  <c r="L334"/>
  <c r="L335"/>
  <c r="L336"/>
  <c r="L337"/>
  <c r="L338"/>
  <c r="L339"/>
  <c r="L340"/>
  <c r="L341"/>
  <c r="L342"/>
  <c r="L343"/>
  <c r="L344"/>
  <c r="L345"/>
  <c r="L346"/>
  <c r="L347"/>
  <c r="L348"/>
  <c r="L349"/>
  <c r="L350"/>
  <c r="L351"/>
  <c r="L352"/>
  <c r="L353"/>
  <c r="L354"/>
  <c r="L355"/>
  <c r="L356"/>
  <c r="L357"/>
  <c r="L358"/>
  <c r="L359"/>
  <c r="L360"/>
  <c r="L361"/>
  <c r="L362"/>
  <c r="L363"/>
  <c r="L364"/>
  <c r="L365"/>
  <c r="L366"/>
  <c r="L367"/>
  <c r="L368"/>
  <c r="L369"/>
  <c r="L370"/>
  <c r="L371"/>
  <c r="L372"/>
  <c r="L373"/>
  <c r="L374"/>
  <c r="L375"/>
  <c r="L376"/>
  <c r="L377"/>
  <c r="L378"/>
  <c r="L379"/>
  <c r="L380"/>
  <c r="L381"/>
  <c r="L382"/>
  <c r="L383"/>
  <c r="L384"/>
  <c r="L385"/>
  <c r="L386"/>
  <c r="L387"/>
  <c r="L388"/>
  <c r="L389"/>
  <c r="L390"/>
  <c r="L391"/>
  <c r="L392"/>
  <c r="L393"/>
  <c r="L394"/>
  <c r="L395"/>
  <c r="L396"/>
  <c r="L397"/>
  <c r="L398"/>
  <c r="L399"/>
  <c r="L400"/>
  <c r="L401"/>
  <c r="L402"/>
  <c r="L403"/>
  <c r="L404"/>
  <c r="L405"/>
  <c r="L406"/>
  <c r="L407"/>
  <c r="L408"/>
  <c r="L409"/>
  <c r="L410"/>
  <c r="L411"/>
  <c r="L412"/>
  <c r="L413"/>
  <c r="L414"/>
  <c r="L415"/>
  <c r="L416"/>
  <c r="L417"/>
  <c r="L418"/>
  <c r="L419"/>
  <c r="L420"/>
  <c r="L421"/>
  <c r="L422"/>
  <c r="L423"/>
  <c r="L424"/>
  <c r="L425"/>
  <c r="L426"/>
  <c r="L427"/>
  <c r="L428"/>
  <c r="L429"/>
  <c r="L430"/>
  <c r="L431"/>
  <c r="L432"/>
  <c r="L433"/>
  <c r="L434"/>
  <c r="L435"/>
  <c r="L436"/>
  <c r="L437"/>
  <c r="L438"/>
  <c r="L439"/>
  <c r="L440"/>
  <c r="L441"/>
  <c r="L442"/>
  <c r="L443"/>
  <c r="L444"/>
  <c r="L445"/>
  <c r="L446"/>
  <c r="L447"/>
  <c r="L448"/>
  <c r="L449"/>
  <c r="L450"/>
  <c r="L451"/>
  <c r="L452"/>
  <c r="L453"/>
  <c r="L454"/>
  <c r="L455"/>
  <c r="L456"/>
  <c r="L457"/>
  <c r="L458"/>
  <c r="L459"/>
  <c r="L460"/>
  <c r="L461"/>
  <c r="L462"/>
  <c r="L463"/>
  <c r="L464"/>
  <c r="L465"/>
  <c r="L466"/>
  <c r="L467"/>
  <c r="L468"/>
  <c r="L469"/>
  <c r="L470"/>
  <c r="L471"/>
  <c r="L472"/>
  <c r="L473"/>
  <c r="L474"/>
  <c r="L475"/>
  <c r="L476"/>
  <c r="L477"/>
  <c r="L478"/>
  <c r="L479"/>
  <c r="L480"/>
  <c r="L481"/>
  <c r="L482"/>
  <c r="L483"/>
  <c r="L484"/>
  <c r="L485"/>
  <c r="L486"/>
  <c r="L487"/>
  <c r="L488"/>
  <c r="L489"/>
  <c r="L490"/>
  <c r="L491"/>
  <c r="L492"/>
  <c r="L493"/>
  <c r="L494"/>
  <c r="L495"/>
  <c r="L496"/>
  <c r="L497"/>
  <c r="L498"/>
  <c r="L499"/>
  <c r="L500"/>
  <c r="L501"/>
  <c r="L502"/>
  <c r="L503"/>
  <c r="L504"/>
  <c r="L505"/>
  <c r="L506"/>
  <c r="L507"/>
  <c r="L508"/>
  <c r="L509"/>
  <c r="L510"/>
  <c r="L511"/>
  <c r="L512"/>
  <c r="L513"/>
  <c r="L514"/>
  <c r="L515"/>
  <c r="L516"/>
  <c r="L517"/>
  <c r="L518"/>
  <c r="L519"/>
  <c r="L520"/>
  <c r="L521"/>
  <c r="L522"/>
  <c r="L523"/>
  <c r="L524"/>
  <c r="L525"/>
  <c r="L526"/>
  <c r="L527"/>
  <c r="L528"/>
  <c r="L529"/>
  <c r="L530"/>
  <c r="L531"/>
  <c r="L532"/>
  <c r="L533"/>
  <c r="L534"/>
  <c r="L535"/>
  <c r="L536"/>
  <c r="L537"/>
  <c r="L538"/>
  <c r="L539"/>
  <c r="L540"/>
  <c r="L541"/>
  <c r="L542"/>
  <c r="L543"/>
  <c r="L544"/>
  <c r="L545"/>
  <c r="L546"/>
  <c r="L547"/>
  <c r="L548"/>
  <c r="L549"/>
  <c r="L550"/>
  <c r="L551"/>
  <c r="L552"/>
  <c r="L553"/>
  <c r="L554"/>
  <c r="L555"/>
  <c r="L556"/>
  <c r="L557"/>
  <c r="L558"/>
  <c r="L559"/>
  <c r="L560"/>
  <c r="L561"/>
  <c r="L562"/>
  <c r="L563"/>
  <c r="L564"/>
  <c r="L565"/>
  <c r="L566"/>
  <c r="L567"/>
  <c r="L568"/>
  <c r="L569"/>
  <c r="L570"/>
  <c r="L571"/>
  <c r="L572"/>
  <c r="L573"/>
  <c r="L574"/>
  <c r="L575"/>
  <c r="L576"/>
  <c r="L577"/>
  <c r="L578"/>
  <c r="L579"/>
  <c r="L580"/>
  <c r="L581"/>
  <c r="L582"/>
  <c r="L583"/>
  <c r="L584"/>
  <c r="L585"/>
  <c r="L586"/>
  <c r="L587"/>
  <c r="L588"/>
  <c r="L589"/>
  <c r="L590"/>
  <c r="L591"/>
  <c r="L592"/>
  <c r="L593"/>
  <c r="L594"/>
  <c r="L595"/>
  <c r="L596"/>
  <c r="L597"/>
  <c r="L598"/>
  <c r="L599"/>
  <c r="L600"/>
  <c r="L601"/>
  <c r="L602"/>
  <c r="L603"/>
  <c r="L604"/>
  <c r="L605"/>
  <c r="L606"/>
  <c r="L607"/>
  <c r="L608"/>
  <c r="L609"/>
  <c r="L610"/>
  <c r="L611"/>
  <c r="L612"/>
  <c r="L613"/>
  <c r="L614"/>
  <c r="L615"/>
  <c r="L616"/>
  <c r="L617"/>
  <c r="L618"/>
  <c r="L619"/>
  <c r="L620"/>
  <c r="L621"/>
  <c r="L622"/>
  <c r="L623"/>
  <c r="L624"/>
  <c r="L625"/>
  <c r="L626"/>
  <c r="L627"/>
  <c r="L628"/>
  <c r="L629"/>
  <c r="L630"/>
  <c r="L631"/>
  <c r="L632"/>
  <c r="L633"/>
  <c r="L634"/>
  <c r="L635"/>
  <c r="L636"/>
  <c r="L637"/>
  <c r="L638"/>
  <c r="L639"/>
  <c r="L640"/>
  <c r="L641"/>
  <c r="L642"/>
  <c r="L643"/>
  <c r="L644"/>
  <c r="L645"/>
  <c r="L646"/>
  <c r="L647"/>
  <c r="L648"/>
  <c r="L649"/>
  <c r="L650"/>
  <c r="L651"/>
  <c r="L652"/>
  <c r="L653"/>
  <c r="L654"/>
  <c r="L655"/>
  <c r="L656"/>
  <c r="L657"/>
  <c r="L658"/>
  <c r="L659"/>
  <c r="L660"/>
  <c r="L661"/>
  <c r="L662"/>
  <c r="L663"/>
  <c r="L664"/>
  <c r="L665"/>
  <c r="L666"/>
  <c r="L667"/>
  <c r="L668"/>
  <c r="L669"/>
  <c r="L670"/>
  <c r="L671"/>
  <c r="L672"/>
  <c r="L673"/>
  <c r="L674"/>
  <c r="L675"/>
  <c r="L676"/>
  <c r="L677"/>
  <c r="L678"/>
  <c r="L679"/>
  <c r="L680"/>
  <c r="L681"/>
  <c r="L682"/>
  <c r="L683"/>
  <c r="L684"/>
  <c r="L685"/>
  <c r="L686"/>
  <c r="L687"/>
  <c r="L688"/>
  <c r="L689"/>
  <c r="L690"/>
  <c r="L691"/>
  <c r="L692"/>
  <c r="L693"/>
  <c r="L694"/>
  <c r="L695"/>
  <c r="L696"/>
  <c r="L697"/>
  <c r="L698"/>
  <c r="L699"/>
  <c r="L700"/>
  <c r="L701"/>
  <c r="L702"/>
  <c r="L703"/>
  <c r="L704"/>
  <c r="L705"/>
  <c r="L706"/>
  <c r="L707"/>
  <c r="L708"/>
  <c r="L709"/>
  <c r="L710"/>
  <c r="L711"/>
  <c r="L712"/>
  <c r="L713"/>
  <c r="L714"/>
  <c r="L715"/>
  <c r="L716"/>
  <c r="L717"/>
  <c r="L718"/>
  <c r="L719"/>
  <c r="L720"/>
  <c r="L721"/>
  <c r="L722"/>
  <c r="L723"/>
  <c r="L724"/>
  <c r="L725"/>
  <c r="L726"/>
  <c r="L727"/>
  <c r="L728"/>
  <c r="L729"/>
  <c r="L730"/>
  <c r="L731"/>
  <c r="L732"/>
  <c r="L733"/>
  <c r="L734"/>
  <c r="L735"/>
  <c r="L736"/>
  <c r="L737"/>
  <c r="L738"/>
  <c r="L739"/>
  <c r="L740"/>
  <c r="L741"/>
  <c r="L742"/>
  <c r="L743"/>
  <c r="L744"/>
  <c r="L745"/>
  <c r="L746"/>
  <c r="L747"/>
  <c r="L748"/>
  <c r="L749"/>
  <c r="L750"/>
  <c r="L751"/>
  <c r="L752"/>
  <c r="L753"/>
  <c r="L754"/>
  <c r="L755"/>
  <c r="L756"/>
  <c r="L757"/>
  <c r="L758"/>
  <c r="L759"/>
  <c r="L760"/>
  <c r="L761"/>
  <c r="L762"/>
  <c r="L763"/>
  <c r="L764"/>
  <c r="L765"/>
  <c r="L766"/>
  <c r="L767"/>
  <c r="L768"/>
  <c r="L769"/>
  <c r="L770"/>
  <c r="L771"/>
  <c r="L772"/>
  <c r="L773"/>
  <c r="L774"/>
  <c r="L775"/>
  <c r="L776"/>
  <c r="L777"/>
  <c r="L778"/>
  <c r="L779"/>
  <c r="L780"/>
  <c r="L781"/>
  <c r="L782"/>
  <c r="L783"/>
  <c r="L784"/>
  <c r="L785"/>
  <c r="L786"/>
  <c r="L787"/>
  <c r="L788"/>
  <c r="L789"/>
  <c r="L790"/>
  <c r="L791"/>
  <c r="L792"/>
  <c r="L793"/>
  <c r="L794"/>
  <c r="L795"/>
  <c r="L796"/>
  <c r="L797"/>
  <c r="L798"/>
  <c r="L799"/>
  <c r="L800"/>
  <c r="L801"/>
  <c r="L802"/>
  <c r="L803"/>
  <c r="L804"/>
  <c r="L805"/>
  <c r="L806"/>
  <c r="L807"/>
  <c r="L808"/>
  <c r="L809"/>
  <c r="L810"/>
  <c r="L811"/>
  <c r="L812"/>
  <c r="L813"/>
  <c r="L814"/>
  <c r="L815"/>
  <c r="L816"/>
  <c r="L817"/>
  <c r="L818"/>
  <c r="L819"/>
  <c r="L820"/>
  <c r="L821"/>
  <c r="L822"/>
  <c r="L823"/>
  <c r="L824"/>
  <c r="L825"/>
  <c r="L826"/>
  <c r="L827"/>
  <c r="L828"/>
  <c r="L829"/>
  <c r="L830"/>
  <c r="L831"/>
  <c r="L832"/>
  <c r="L833"/>
  <c r="L834"/>
  <c r="L835"/>
  <c r="L836"/>
  <c r="L837"/>
  <c r="L838"/>
  <c r="L839"/>
  <c r="L840"/>
  <c r="L841"/>
  <c r="L842"/>
  <c r="L843"/>
  <c r="L844"/>
  <c r="L845"/>
  <c r="L846"/>
  <c r="L847"/>
  <c r="L848"/>
  <c r="L849"/>
  <c r="L850"/>
  <c r="L851"/>
  <c r="L852"/>
  <c r="L853"/>
  <c r="L854"/>
  <c r="L855"/>
  <c r="L856"/>
  <c r="L857"/>
  <c r="L858"/>
  <c r="L859"/>
  <c r="L860"/>
  <c r="L861"/>
  <c r="L862"/>
  <c r="L863"/>
  <c r="L864"/>
  <c r="L865"/>
  <c r="L866"/>
  <c r="L867"/>
  <c r="L868"/>
  <c r="L869"/>
  <c r="L870"/>
  <c r="L871"/>
  <c r="L872"/>
  <c r="L873"/>
  <c r="L874"/>
  <c r="L875"/>
  <c r="L876"/>
  <c r="L877"/>
  <c r="L878"/>
  <c r="L879"/>
  <c r="L880"/>
  <c r="L881"/>
  <c r="L882"/>
  <c r="L883"/>
  <c r="L884"/>
  <c r="L885"/>
  <c r="L886"/>
  <c r="L887"/>
  <c r="L888"/>
  <c r="L889"/>
  <c r="L890"/>
  <c r="L891"/>
  <c r="L892"/>
  <c r="L893"/>
  <c r="L894"/>
  <c r="L895"/>
  <c r="L896"/>
  <c r="L897"/>
  <c r="L898"/>
  <c r="L899"/>
  <c r="L900"/>
  <c r="L901"/>
  <c r="L902"/>
  <c r="L903"/>
  <c r="L904"/>
  <c r="L905"/>
  <c r="L906"/>
  <c r="L907"/>
  <c r="L908"/>
  <c r="L909"/>
  <c r="L910"/>
  <c r="L911"/>
  <c r="L912"/>
  <c r="L913"/>
  <c r="L914"/>
  <c r="L915"/>
  <c r="L916"/>
  <c r="L917"/>
  <c r="L918"/>
  <c r="L919"/>
  <c r="L920"/>
  <c r="L921"/>
  <c r="L922"/>
  <c r="L923"/>
  <c r="L924"/>
  <c r="L925"/>
  <c r="L926"/>
  <c r="L927"/>
  <c r="L928"/>
  <c r="L929"/>
  <c r="L930"/>
  <c r="L931"/>
  <c r="L932"/>
  <c r="L933"/>
  <c r="L934"/>
  <c r="L935"/>
  <c r="L936"/>
  <c r="L937"/>
  <c r="L938"/>
  <c r="L939"/>
  <c r="L940"/>
  <c r="L941"/>
  <c r="L942"/>
  <c r="L943"/>
  <c r="L944"/>
  <c r="L945"/>
  <c r="L946"/>
  <c r="L947"/>
  <c r="L948"/>
  <c r="L949"/>
  <c r="L950"/>
  <c r="L951"/>
  <c r="L952"/>
  <c r="L953"/>
  <c r="L954"/>
  <c r="L955"/>
  <c r="L956"/>
  <c r="L957"/>
  <c r="L958"/>
  <c r="L959"/>
  <c r="L960"/>
  <c r="L961"/>
  <c r="L962"/>
  <c r="L963"/>
  <c r="L964"/>
  <c r="L965"/>
  <c r="L966"/>
  <c r="L967"/>
  <c r="L968"/>
  <c r="L969"/>
  <c r="L970"/>
  <c r="L971"/>
  <c r="L972"/>
  <c r="L973"/>
  <c r="L974"/>
  <c r="L975"/>
  <c r="L976"/>
  <c r="L977"/>
  <c r="L978"/>
  <c r="L979"/>
  <c r="L980"/>
  <c r="L981"/>
  <c r="L982"/>
  <c r="L983"/>
  <c r="L984"/>
  <c r="L985"/>
  <c r="L986"/>
  <c r="L987"/>
  <c r="L988"/>
  <c r="L989"/>
  <c r="L990"/>
  <c r="L991"/>
  <c r="L992"/>
  <c r="L993"/>
  <c r="L994"/>
  <c r="L995"/>
  <c r="L996"/>
  <c r="L997"/>
  <c r="L998"/>
  <c r="L999"/>
  <c r="L1000"/>
  <c r="L1001"/>
  <c r="L1002"/>
  <c r="L1003"/>
  <c r="L1004"/>
  <c r="C20" i="4"/>
  <c r="Q615" i="1"/>
  <c r="Q616"/>
  <c r="Q617"/>
  <c r="Q618"/>
  <c r="Q619"/>
  <c r="Q620"/>
  <c r="Q621"/>
  <c r="Q622"/>
  <c r="Q623"/>
  <c r="Q624"/>
  <c r="Q625"/>
  <c r="Q626"/>
  <c r="Q627"/>
  <c r="Q628"/>
  <c r="Q629"/>
  <c r="Q630"/>
  <c r="Q631"/>
  <c r="Q632"/>
  <c r="Q633"/>
  <c r="Q634"/>
  <c r="Q635"/>
  <c r="Q636"/>
  <c r="Q637"/>
  <c r="Q638"/>
  <c r="Q639"/>
  <c r="Q640"/>
  <c r="Q641"/>
  <c r="Q642"/>
  <c r="Q643"/>
  <c r="Q644"/>
  <c r="Q645"/>
  <c r="Q646"/>
  <c r="Q647"/>
  <c r="Q648"/>
  <c r="Q649"/>
  <c r="Q650"/>
  <c r="Q651"/>
  <c r="Q652"/>
  <c r="Q653"/>
  <c r="Q654"/>
  <c r="Q655"/>
  <c r="Q656"/>
  <c r="Q657"/>
  <c r="Q658"/>
  <c r="Q659"/>
  <c r="Q660"/>
  <c r="Q661"/>
  <c r="Q662"/>
  <c r="Q663"/>
  <c r="Q664"/>
  <c r="Q665"/>
  <c r="Q666"/>
  <c r="Q667"/>
  <c r="Q668"/>
  <c r="Q669"/>
  <c r="Q670"/>
  <c r="Q671"/>
  <c r="Q672"/>
  <c r="Q673"/>
  <c r="Q674"/>
  <c r="Q675"/>
  <c r="Q676"/>
  <c r="Q677"/>
  <c r="Q678"/>
  <c r="Q679"/>
  <c r="Q680"/>
  <c r="Q681"/>
  <c r="Q682"/>
  <c r="Q683"/>
  <c r="Q684"/>
  <c r="Q685"/>
  <c r="Q686"/>
  <c r="Q687"/>
  <c r="Q688"/>
  <c r="Q689"/>
  <c r="Q690"/>
  <c r="Q691"/>
  <c r="Q692"/>
  <c r="Q693"/>
  <c r="Q694"/>
  <c r="Q695"/>
  <c r="Q696"/>
  <c r="Q697"/>
  <c r="Q698"/>
  <c r="Q699"/>
  <c r="Q700"/>
  <c r="Q701"/>
  <c r="Q702"/>
  <c r="Q703"/>
  <c r="Q704"/>
  <c r="Q705"/>
  <c r="Q706"/>
  <c r="Q707"/>
  <c r="Q708"/>
  <c r="Q709"/>
  <c r="Q710"/>
  <c r="Q711"/>
  <c r="Q712"/>
  <c r="Q713"/>
  <c r="Q714"/>
  <c r="Q715"/>
  <c r="Q716"/>
  <c r="Q717"/>
  <c r="Q718"/>
  <c r="Q719"/>
  <c r="Q720"/>
  <c r="Q721"/>
  <c r="Q722"/>
  <c r="Q723"/>
  <c r="Q724"/>
  <c r="Q725"/>
  <c r="Q726"/>
  <c r="Q727"/>
  <c r="Q728"/>
  <c r="Q729"/>
  <c r="Q730"/>
  <c r="Q731"/>
  <c r="Q732"/>
  <c r="Q733"/>
  <c r="Q734"/>
  <c r="Q735"/>
  <c r="Q736"/>
  <c r="Q737"/>
  <c r="Q738"/>
  <c r="Q739"/>
  <c r="Q740"/>
  <c r="Q741"/>
  <c r="Q742"/>
  <c r="Q743"/>
  <c r="Q744"/>
  <c r="Q745"/>
  <c r="Q746"/>
  <c r="Q747"/>
  <c r="Q748"/>
  <c r="Q749"/>
  <c r="Q750"/>
  <c r="Q751"/>
  <c r="Q752"/>
  <c r="Q753"/>
  <c r="Q754"/>
  <c r="Q755"/>
  <c r="Q756"/>
  <c r="Q757"/>
  <c r="Q758"/>
  <c r="Q759"/>
  <c r="Q760"/>
  <c r="Q761"/>
  <c r="Q762"/>
  <c r="Q763"/>
  <c r="Q764"/>
  <c r="Q765"/>
  <c r="Q766"/>
  <c r="Q767"/>
  <c r="Q768"/>
  <c r="Q769"/>
  <c r="Q770"/>
  <c r="Q771"/>
  <c r="Q772"/>
  <c r="Q773"/>
  <c r="Q774"/>
  <c r="Q775"/>
  <c r="Q776"/>
  <c r="Q777"/>
  <c r="Q778"/>
  <c r="Q779"/>
  <c r="Q780"/>
  <c r="Q781"/>
  <c r="Q782"/>
  <c r="Q783"/>
  <c r="Q784"/>
  <c r="Q785"/>
  <c r="Q786"/>
  <c r="Q787"/>
  <c r="Q788"/>
  <c r="Q789"/>
  <c r="Q790"/>
  <c r="Q791"/>
  <c r="Q792"/>
  <c r="Q793"/>
  <c r="Q794"/>
  <c r="Q795"/>
  <c r="Q796"/>
  <c r="Q797"/>
  <c r="Q798"/>
  <c r="Q799"/>
  <c r="Q800"/>
  <c r="Q801"/>
  <c r="Q802"/>
  <c r="Q803"/>
  <c r="Q804"/>
  <c r="Q805"/>
  <c r="Q806"/>
  <c r="Q807"/>
  <c r="Q808"/>
  <c r="Q809"/>
  <c r="Q810"/>
  <c r="Q811"/>
  <c r="Q812"/>
  <c r="Q813"/>
  <c r="Q814"/>
  <c r="Q815"/>
  <c r="Q816"/>
  <c r="Q817"/>
  <c r="Q818"/>
  <c r="Q819"/>
  <c r="Q820"/>
  <c r="Q821"/>
  <c r="Q822"/>
  <c r="Q823"/>
  <c r="Q824"/>
  <c r="Q825"/>
  <c r="Q826"/>
  <c r="Q827"/>
  <c r="Q828"/>
  <c r="Q829"/>
  <c r="Q830"/>
  <c r="Q831"/>
  <c r="Q832"/>
  <c r="Q833"/>
  <c r="Q834"/>
  <c r="Q835"/>
  <c r="Q836"/>
  <c r="Q837"/>
  <c r="Q838"/>
  <c r="Q839"/>
  <c r="Q840"/>
  <c r="Q841"/>
  <c r="Q842"/>
  <c r="Q843"/>
  <c r="Q844"/>
  <c r="Q845"/>
  <c r="Q846"/>
  <c r="Q847"/>
  <c r="Q848"/>
  <c r="Q849"/>
  <c r="Q850"/>
  <c r="Q851"/>
  <c r="Q852"/>
  <c r="Q853"/>
  <c r="Q854"/>
  <c r="Q855"/>
  <c r="Q856"/>
  <c r="Q857"/>
  <c r="Q858"/>
  <c r="Q859"/>
  <c r="Q860"/>
  <c r="Q861"/>
  <c r="Q862"/>
  <c r="Q863"/>
  <c r="Q864"/>
  <c r="Q865"/>
  <c r="Q866"/>
  <c r="Q867"/>
  <c r="Q868"/>
  <c r="Q869"/>
  <c r="Q870"/>
  <c r="Q871"/>
  <c r="Q872"/>
  <c r="Q873"/>
  <c r="Q874"/>
  <c r="Q875"/>
  <c r="Q876"/>
  <c r="Q877"/>
  <c r="Q878"/>
  <c r="Q879"/>
  <c r="Q880"/>
  <c r="Q881"/>
  <c r="Q882"/>
  <c r="Q883"/>
  <c r="Q884"/>
  <c r="Q885"/>
  <c r="Q886"/>
  <c r="Q887"/>
  <c r="Q888"/>
  <c r="Q889"/>
  <c r="Q890"/>
  <c r="Q891"/>
  <c r="Q892"/>
  <c r="Q893"/>
  <c r="Q894"/>
  <c r="Q895"/>
  <c r="Q896"/>
  <c r="Q897"/>
  <c r="Q898"/>
  <c r="Q899"/>
  <c r="Q900"/>
  <c r="Q901"/>
  <c r="Q902"/>
  <c r="Q903"/>
  <c r="Q904"/>
  <c r="Q905"/>
  <c r="Q906"/>
  <c r="Q907"/>
  <c r="Q908"/>
  <c r="Q909"/>
  <c r="Q910"/>
  <c r="Q911"/>
  <c r="Q912"/>
  <c r="Q913"/>
  <c r="Q914"/>
  <c r="Q915"/>
  <c r="Q916"/>
  <c r="Q917"/>
  <c r="Q918"/>
  <c r="Q919"/>
  <c r="Q920"/>
  <c r="Q921"/>
  <c r="Q922"/>
  <c r="Q923"/>
  <c r="Q924"/>
  <c r="Q925"/>
  <c r="Q926"/>
  <c r="Q927"/>
  <c r="Q928"/>
  <c r="Q929"/>
  <c r="Q930"/>
  <c r="Q931"/>
  <c r="Q932"/>
  <c r="Q933"/>
  <c r="Q934"/>
  <c r="Q935"/>
  <c r="Q936"/>
  <c r="Q937"/>
  <c r="Q938"/>
  <c r="Q939"/>
  <c r="Q940"/>
  <c r="Q941"/>
  <c r="Q942"/>
  <c r="Q943"/>
  <c r="Q944"/>
  <c r="Q945"/>
  <c r="Q946"/>
  <c r="Q947"/>
  <c r="Q948"/>
  <c r="Q949"/>
  <c r="Q950"/>
  <c r="Q951"/>
  <c r="Q952"/>
  <c r="Q953"/>
  <c r="Q954"/>
  <c r="Q955"/>
  <c r="Q956"/>
  <c r="Q957"/>
  <c r="Q958"/>
  <c r="Q959"/>
  <c r="Q960"/>
  <c r="Q961"/>
  <c r="Q962"/>
  <c r="Q963"/>
  <c r="Q964"/>
  <c r="Q965"/>
  <c r="Q966"/>
  <c r="Q967"/>
  <c r="Q968"/>
  <c r="Q969"/>
  <c r="Q970"/>
  <c r="Q971"/>
  <c r="Q972"/>
  <c r="Q973"/>
  <c r="Q974"/>
  <c r="Q975"/>
  <c r="Q976"/>
  <c r="Q977"/>
  <c r="Q978"/>
  <c r="Q979"/>
  <c r="Q980"/>
  <c r="Q981"/>
  <c r="Q982"/>
  <c r="Q983"/>
  <c r="Q984"/>
  <c r="Q985"/>
  <c r="Q986"/>
  <c r="Q987"/>
  <c r="Q988"/>
  <c r="Q989"/>
  <c r="Q990"/>
  <c r="Q991"/>
  <c r="Q992"/>
  <c r="Q993"/>
  <c r="Q994"/>
  <c r="Q995"/>
  <c r="Q996"/>
  <c r="Q997"/>
  <c r="Q998"/>
  <c r="Q999"/>
  <c r="Q1000"/>
  <c r="Q1001"/>
  <c r="Q1002"/>
  <c r="Q1003"/>
  <c r="Q1004"/>
  <c r="C12" i="4"/>
  <c r="C11"/>
  <c r="C10"/>
  <c r="G4"/>
  <c r="C6"/>
  <c r="C6" i="1"/>
  <c r="C7"/>
  <c r="C8"/>
  <c r="C9"/>
  <c r="C10"/>
  <c r="C11"/>
  <c r="C12"/>
  <c r="C13"/>
  <c r="C14"/>
  <c r="C15"/>
  <c r="C16"/>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5"/>
  <c r="C157"/>
  <c r="C158"/>
  <c r="C159"/>
  <c r="C160"/>
  <c r="C161"/>
  <c r="C162"/>
  <c r="C163"/>
  <c r="C164"/>
  <c r="C165"/>
  <c r="C166"/>
  <c r="C167"/>
  <c r="C168"/>
  <c r="C169"/>
  <c r="C170"/>
  <c r="C171"/>
  <c r="C172"/>
  <c r="C173"/>
  <c r="C174"/>
  <c r="C175"/>
  <c r="C176"/>
  <c r="C177"/>
  <c r="C178"/>
  <c r="C179"/>
  <c r="C180"/>
  <c r="C181"/>
  <c r="C182"/>
  <c r="C183"/>
  <c r="C184"/>
  <c r="C185"/>
  <c r="C186"/>
  <c r="C187"/>
  <c r="C188"/>
  <c r="C189"/>
  <c r="C190"/>
  <c r="C191"/>
  <c r="C192"/>
  <c r="C193"/>
  <c r="C194"/>
  <c r="C195"/>
  <c r="C196"/>
  <c r="C197"/>
  <c r="C198"/>
  <c r="C199"/>
  <c r="C200"/>
  <c r="C201"/>
  <c r="C202"/>
  <c r="C203"/>
  <c r="C204"/>
  <c r="C205"/>
  <c r="C206"/>
  <c r="C207"/>
  <c r="C208"/>
  <c r="C209"/>
  <c r="C210"/>
  <c r="C211"/>
  <c r="C212"/>
  <c r="C213"/>
  <c r="C214"/>
  <c r="C215"/>
  <c r="C216"/>
  <c r="C217"/>
  <c r="C218"/>
  <c r="C219"/>
  <c r="C220"/>
  <c r="C221"/>
  <c r="C222"/>
  <c r="C223"/>
  <c r="C224"/>
  <c r="C225"/>
  <c r="C226"/>
  <c r="C227"/>
  <c r="C228"/>
  <c r="C229"/>
  <c r="C230"/>
  <c r="C231"/>
  <c r="C232"/>
  <c r="C233"/>
  <c r="C234"/>
  <c r="C235"/>
  <c r="C236"/>
  <c r="C237"/>
  <c r="C238"/>
  <c r="C239"/>
  <c r="C240"/>
  <c r="C241"/>
  <c r="C242"/>
  <c r="C243"/>
  <c r="C244"/>
  <c r="C245"/>
  <c r="C246"/>
  <c r="C247"/>
  <c r="C248"/>
  <c r="C249"/>
  <c r="C250"/>
  <c r="C251"/>
  <c r="C252"/>
  <c r="C253"/>
  <c r="C254"/>
  <c r="C255"/>
  <c r="C256"/>
  <c r="C257"/>
  <c r="C258"/>
  <c r="C259"/>
  <c r="C260"/>
  <c r="C261"/>
  <c r="C262"/>
  <c r="C263"/>
  <c r="C264"/>
  <c r="C265"/>
  <c r="C266"/>
  <c r="C267"/>
  <c r="C268"/>
  <c r="C269"/>
  <c r="C270"/>
  <c r="C271"/>
  <c r="C272"/>
  <c r="C273"/>
  <c r="C274"/>
  <c r="C275"/>
  <c r="C276"/>
  <c r="C277"/>
  <c r="C278"/>
  <c r="C279"/>
  <c r="C280"/>
  <c r="C281"/>
  <c r="C282"/>
  <c r="C283"/>
  <c r="C284"/>
  <c r="C285"/>
  <c r="C286"/>
  <c r="C287"/>
  <c r="C288"/>
  <c r="C289"/>
  <c r="C290"/>
  <c r="C291"/>
  <c r="C292"/>
  <c r="C293"/>
  <c r="C294"/>
  <c r="C295"/>
  <c r="C296"/>
  <c r="C297"/>
  <c r="C298"/>
  <c r="C299"/>
  <c r="C300"/>
  <c r="C301"/>
  <c r="C302"/>
  <c r="C303"/>
  <c r="C304"/>
  <c r="C305"/>
  <c r="C306"/>
  <c r="C307"/>
  <c r="C308"/>
  <c r="C309"/>
  <c r="C310"/>
  <c r="C311"/>
  <c r="C312"/>
  <c r="C313"/>
  <c r="C314"/>
  <c r="C315"/>
  <c r="C316"/>
  <c r="C317"/>
  <c r="C318"/>
  <c r="C319"/>
  <c r="C320"/>
  <c r="C321"/>
  <c r="C322"/>
  <c r="C323"/>
  <c r="C324"/>
  <c r="C325"/>
  <c r="C326"/>
  <c r="C327"/>
  <c r="C328"/>
  <c r="C329"/>
  <c r="C330"/>
  <c r="C331"/>
  <c r="C332"/>
  <c r="C333"/>
  <c r="C334"/>
  <c r="C335"/>
  <c r="C336"/>
  <c r="C337"/>
  <c r="C338"/>
  <c r="C339"/>
  <c r="C340"/>
  <c r="C341"/>
  <c r="C342"/>
  <c r="C343"/>
  <c r="C344"/>
  <c r="C345"/>
  <c r="C346"/>
  <c r="C347"/>
  <c r="C348"/>
  <c r="C349"/>
  <c r="C350"/>
  <c r="C351"/>
  <c r="C352"/>
  <c r="C353"/>
  <c r="C354"/>
  <c r="C355"/>
  <c r="C356"/>
  <c r="C357"/>
  <c r="C358"/>
  <c r="C359"/>
  <c r="C360"/>
  <c r="C361"/>
  <c r="C362"/>
  <c r="C363"/>
  <c r="C364"/>
  <c r="C365"/>
  <c r="C366"/>
  <c r="C367"/>
  <c r="C368"/>
  <c r="C369"/>
  <c r="C370"/>
  <c r="C371"/>
  <c r="C372"/>
  <c r="C373"/>
  <c r="C374"/>
  <c r="C375"/>
  <c r="C376"/>
  <c r="C377"/>
  <c r="C378"/>
  <c r="C379"/>
  <c r="C380"/>
  <c r="C381"/>
  <c r="C382"/>
  <c r="C383"/>
  <c r="C384"/>
  <c r="C385"/>
  <c r="C386"/>
  <c r="C387"/>
  <c r="C388"/>
  <c r="C389"/>
  <c r="C390"/>
  <c r="C391"/>
  <c r="C392"/>
  <c r="C393"/>
  <c r="C394"/>
  <c r="C395"/>
  <c r="C396"/>
  <c r="C397"/>
  <c r="C398"/>
  <c r="C399"/>
  <c r="C400"/>
  <c r="C401"/>
  <c r="C402"/>
  <c r="C403"/>
  <c r="C404"/>
  <c r="C405"/>
  <c r="C406"/>
  <c r="C407"/>
  <c r="C408"/>
  <c r="C409"/>
  <c r="C410"/>
  <c r="C411"/>
  <c r="C412"/>
  <c r="C413"/>
  <c r="C414"/>
  <c r="C415"/>
  <c r="C416"/>
  <c r="C417"/>
  <c r="C418"/>
  <c r="C419"/>
  <c r="C420"/>
  <c r="C421"/>
  <c r="C422"/>
  <c r="C423"/>
  <c r="C424"/>
  <c r="C425"/>
  <c r="C426"/>
  <c r="C427"/>
  <c r="C428"/>
  <c r="C429"/>
  <c r="C430"/>
  <c r="C431"/>
  <c r="C432"/>
  <c r="C433"/>
  <c r="C434"/>
  <c r="C435"/>
  <c r="C436"/>
  <c r="C437"/>
  <c r="C438"/>
  <c r="C439"/>
  <c r="C440"/>
  <c r="C441"/>
  <c r="C442"/>
  <c r="C443"/>
  <c r="C444"/>
  <c r="C445"/>
  <c r="C446"/>
  <c r="C447"/>
  <c r="C448"/>
  <c r="C449"/>
  <c r="C450"/>
  <c r="C451"/>
  <c r="C452"/>
  <c r="C453"/>
  <c r="C454"/>
  <c r="C455"/>
  <c r="C456"/>
  <c r="C457"/>
  <c r="C458"/>
  <c r="C459"/>
  <c r="C460"/>
  <c r="C461"/>
  <c r="C462"/>
  <c r="C463"/>
  <c r="C464"/>
  <c r="C465"/>
  <c r="C466"/>
  <c r="C467"/>
  <c r="C468"/>
  <c r="C469"/>
  <c r="C470"/>
  <c r="C471"/>
  <c r="C472"/>
  <c r="C473"/>
  <c r="C474"/>
  <c r="C475"/>
  <c r="C476"/>
  <c r="C477"/>
  <c r="C478"/>
  <c r="C479"/>
  <c r="C480"/>
  <c r="C481"/>
  <c r="C482"/>
  <c r="C483"/>
  <c r="C484"/>
  <c r="C485"/>
  <c r="C486"/>
  <c r="C487"/>
  <c r="C488"/>
  <c r="C489"/>
  <c r="C490"/>
  <c r="C491"/>
  <c r="C492"/>
  <c r="C493"/>
  <c r="C494"/>
  <c r="C495"/>
  <c r="C496"/>
  <c r="C497"/>
  <c r="C498"/>
  <c r="C499"/>
  <c r="C500"/>
  <c r="C501"/>
  <c r="C502"/>
  <c r="C503"/>
  <c r="C504"/>
  <c r="C505"/>
  <c r="C506"/>
  <c r="C507"/>
  <c r="C508"/>
  <c r="C509"/>
  <c r="C510"/>
  <c r="C511"/>
  <c r="C512"/>
  <c r="C513"/>
  <c r="C514"/>
  <c r="C515"/>
  <c r="C516"/>
  <c r="C517"/>
  <c r="C518"/>
  <c r="C519"/>
  <c r="C520"/>
  <c r="C521"/>
  <c r="C522"/>
  <c r="C523"/>
  <c r="C524"/>
  <c r="C525"/>
  <c r="C526"/>
  <c r="C527"/>
  <c r="C528"/>
  <c r="C529"/>
  <c r="C530"/>
  <c r="C531"/>
  <c r="C532"/>
  <c r="C533"/>
  <c r="C534"/>
  <c r="C535"/>
  <c r="C536"/>
  <c r="C537"/>
  <c r="C538"/>
  <c r="C539"/>
  <c r="C540"/>
  <c r="C541"/>
  <c r="C542"/>
  <c r="C543"/>
  <c r="C544"/>
  <c r="C545"/>
  <c r="C546"/>
  <c r="C547"/>
  <c r="C548"/>
  <c r="C549"/>
  <c r="C550"/>
  <c r="C551"/>
  <c r="C552"/>
  <c r="C553"/>
  <c r="C554"/>
  <c r="C555"/>
  <c r="C556"/>
  <c r="C557"/>
  <c r="C558"/>
  <c r="C559"/>
  <c r="C560"/>
  <c r="C561"/>
  <c r="C562"/>
  <c r="C563"/>
  <c r="C564"/>
  <c r="C565"/>
  <c r="C566"/>
  <c r="C567"/>
  <c r="C568"/>
  <c r="C569"/>
  <c r="C570"/>
  <c r="C571"/>
  <c r="C572"/>
  <c r="C573"/>
  <c r="C574"/>
  <c r="C575"/>
  <c r="C576"/>
  <c r="C577"/>
  <c r="C578"/>
  <c r="C579"/>
  <c r="C580"/>
  <c r="C581"/>
  <c r="C582"/>
  <c r="C583"/>
  <c r="C584"/>
  <c r="C585"/>
  <c r="C586"/>
  <c r="C587"/>
  <c r="C588"/>
  <c r="C589"/>
  <c r="C590"/>
  <c r="C591"/>
  <c r="C592"/>
  <c r="C593"/>
  <c r="C594"/>
  <c r="C595"/>
  <c r="C596"/>
  <c r="C597"/>
  <c r="C598"/>
  <c r="C599"/>
  <c r="C600"/>
  <c r="C601"/>
  <c r="C602"/>
  <c r="C603"/>
  <c r="C604"/>
  <c r="C605"/>
  <c r="C606"/>
  <c r="C607"/>
  <c r="C608"/>
  <c r="C609"/>
  <c r="C610"/>
  <c r="C611"/>
  <c r="C612"/>
  <c r="C613"/>
  <c r="C614"/>
  <c r="C615"/>
  <c r="C616"/>
  <c r="C617"/>
  <c r="C618"/>
  <c r="C619"/>
  <c r="C620"/>
  <c r="C621"/>
  <c r="C622"/>
  <c r="C623"/>
  <c r="C624"/>
  <c r="C625"/>
  <c r="C626"/>
  <c r="C627"/>
  <c r="C628"/>
  <c r="C629"/>
  <c r="C630"/>
  <c r="C631"/>
  <c r="C632"/>
  <c r="C633"/>
  <c r="C634"/>
  <c r="C635"/>
  <c r="C636"/>
  <c r="C637"/>
  <c r="C638"/>
  <c r="C639"/>
  <c r="C640"/>
  <c r="C641"/>
  <c r="C642"/>
  <c r="C643"/>
  <c r="C644"/>
  <c r="C645"/>
  <c r="C646"/>
  <c r="C647"/>
  <c r="C648"/>
  <c r="C649"/>
  <c r="C650"/>
  <c r="C651"/>
  <c r="C652"/>
  <c r="C653"/>
  <c r="C654"/>
  <c r="C655"/>
  <c r="C656"/>
  <c r="C657"/>
  <c r="C658"/>
  <c r="C659"/>
  <c r="C660"/>
  <c r="C661"/>
  <c r="C662"/>
  <c r="C663"/>
  <c r="C664"/>
  <c r="C665"/>
  <c r="C666"/>
  <c r="C667"/>
  <c r="C668"/>
  <c r="C669"/>
  <c r="C670"/>
  <c r="C671"/>
  <c r="C672"/>
  <c r="C673"/>
  <c r="C674"/>
  <c r="C675"/>
  <c r="C676"/>
  <c r="C677"/>
  <c r="C678"/>
  <c r="C679"/>
  <c r="C680"/>
  <c r="C681"/>
  <c r="C682"/>
  <c r="C683"/>
  <c r="C684"/>
  <c r="C685"/>
  <c r="C686"/>
  <c r="C687"/>
  <c r="C688"/>
  <c r="C689"/>
  <c r="C690"/>
  <c r="C691"/>
  <c r="C692"/>
  <c r="C693"/>
  <c r="C694"/>
  <c r="C695"/>
  <c r="C696"/>
  <c r="C697"/>
  <c r="C698"/>
  <c r="C699"/>
  <c r="C700"/>
  <c r="C701"/>
  <c r="C702"/>
  <c r="C703"/>
  <c r="C704"/>
  <c r="C705"/>
  <c r="C706"/>
  <c r="C707"/>
  <c r="C708"/>
  <c r="C709"/>
  <c r="C710"/>
  <c r="C711"/>
  <c r="C712"/>
  <c r="C713"/>
  <c r="C714"/>
  <c r="C715"/>
  <c r="C716"/>
  <c r="C717"/>
  <c r="C718"/>
  <c r="C719"/>
  <c r="C720"/>
  <c r="C721"/>
  <c r="C722"/>
  <c r="C723"/>
  <c r="C724"/>
  <c r="C725"/>
  <c r="C726"/>
  <c r="C727"/>
  <c r="C728"/>
  <c r="C729"/>
  <c r="C730"/>
  <c r="C731"/>
  <c r="C732"/>
  <c r="C733"/>
  <c r="C734"/>
  <c r="C735"/>
  <c r="C736"/>
  <c r="C737"/>
  <c r="C738"/>
  <c r="C739"/>
  <c r="C740"/>
  <c r="C741"/>
  <c r="C742"/>
  <c r="C743"/>
  <c r="C744"/>
  <c r="C745"/>
  <c r="C746"/>
  <c r="C747"/>
  <c r="C748"/>
  <c r="C749"/>
  <c r="C750"/>
  <c r="C751"/>
  <c r="C752"/>
  <c r="C753"/>
  <c r="C754"/>
  <c r="C755"/>
  <c r="C756"/>
  <c r="C757"/>
  <c r="C758"/>
  <c r="C759"/>
  <c r="C760"/>
  <c r="C761"/>
  <c r="C762"/>
  <c r="C763"/>
  <c r="C764"/>
  <c r="C765"/>
  <c r="C766"/>
  <c r="C767"/>
  <c r="C768"/>
  <c r="C769"/>
  <c r="C770"/>
  <c r="C771"/>
  <c r="C772"/>
  <c r="C773"/>
  <c r="C774"/>
  <c r="C775"/>
  <c r="C776"/>
  <c r="C777"/>
  <c r="C778"/>
  <c r="C779"/>
  <c r="C780"/>
  <c r="C781"/>
  <c r="C782"/>
  <c r="C783"/>
  <c r="C784"/>
  <c r="C785"/>
  <c r="C786"/>
  <c r="C787"/>
  <c r="C788"/>
  <c r="C789"/>
  <c r="C790"/>
  <c r="C791"/>
  <c r="C792"/>
  <c r="C793"/>
  <c r="C794"/>
  <c r="C795"/>
  <c r="C796"/>
  <c r="C797"/>
  <c r="C798"/>
  <c r="C799"/>
  <c r="C800"/>
  <c r="C801"/>
  <c r="C802"/>
  <c r="C803"/>
  <c r="C804"/>
  <c r="C805"/>
  <c r="C806"/>
  <c r="C807"/>
  <c r="C808"/>
  <c r="C809"/>
  <c r="C810"/>
  <c r="C811"/>
  <c r="C812"/>
  <c r="C813"/>
  <c r="C814"/>
  <c r="C815"/>
  <c r="C816"/>
  <c r="C817"/>
  <c r="C818"/>
  <c r="C819"/>
  <c r="C820"/>
  <c r="C821"/>
  <c r="C822"/>
  <c r="C823"/>
  <c r="C824"/>
  <c r="C825"/>
  <c r="C826"/>
  <c r="C827"/>
  <c r="C828"/>
  <c r="C829"/>
  <c r="C830"/>
  <c r="C831"/>
  <c r="C832"/>
  <c r="C833"/>
  <c r="C834"/>
  <c r="C835"/>
  <c r="C836"/>
  <c r="C837"/>
  <c r="C838"/>
  <c r="C839"/>
  <c r="C840"/>
  <c r="C841"/>
  <c r="C842"/>
  <c r="C843"/>
  <c r="C844"/>
  <c r="C845"/>
  <c r="C846"/>
  <c r="C847"/>
  <c r="C848"/>
  <c r="C849"/>
  <c r="C850"/>
  <c r="C851"/>
  <c r="C852"/>
  <c r="C853"/>
  <c r="C854"/>
  <c r="C855"/>
  <c r="C856"/>
  <c r="C857"/>
  <c r="C858"/>
  <c r="C859"/>
  <c r="C860"/>
  <c r="C861"/>
  <c r="C862"/>
  <c r="C863"/>
  <c r="C864"/>
  <c r="C865"/>
  <c r="C866"/>
  <c r="C867"/>
  <c r="C868"/>
  <c r="C869"/>
  <c r="C870"/>
  <c r="C871"/>
  <c r="C872"/>
  <c r="C873"/>
  <c r="C874"/>
  <c r="C875"/>
  <c r="C876"/>
  <c r="C877"/>
  <c r="C878"/>
  <c r="C879"/>
  <c r="C880"/>
  <c r="C881"/>
  <c r="C882"/>
  <c r="C883"/>
  <c r="C884"/>
  <c r="C885"/>
  <c r="C886"/>
  <c r="C887"/>
  <c r="C888"/>
  <c r="C889"/>
  <c r="C890"/>
  <c r="C891"/>
  <c r="C892"/>
  <c r="C893"/>
  <c r="C894"/>
  <c r="C895"/>
  <c r="C896"/>
  <c r="C897"/>
  <c r="C898"/>
  <c r="C899"/>
  <c r="C900"/>
  <c r="C901"/>
  <c r="C902"/>
  <c r="C903"/>
  <c r="C904"/>
  <c r="C905"/>
  <c r="C906"/>
  <c r="C907"/>
  <c r="C908"/>
  <c r="C909"/>
  <c r="C910"/>
  <c r="C911"/>
  <c r="C912"/>
  <c r="C913"/>
  <c r="C914"/>
  <c r="C915"/>
  <c r="C916"/>
  <c r="C917"/>
  <c r="C918"/>
  <c r="C919"/>
  <c r="C920"/>
  <c r="C921"/>
  <c r="C922"/>
  <c r="C923"/>
  <c r="C924"/>
  <c r="C925"/>
  <c r="C926"/>
  <c r="C927"/>
  <c r="C928"/>
  <c r="C929"/>
  <c r="C930"/>
  <c r="C931"/>
  <c r="C932"/>
  <c r="C933"/>
  <c r="C934"/>
  <c r="C935"/>
  <c r="C936"/>
  <c r="C937"/>
  <c r="C938"/>
  <c r="C939"/>
  <c r="C940"/>
  <c r="C941"/>
  <c r="C942"/>
  <c r="C943"/>
  <c r="C944"/>
  <c r="C945"/>
  <c r="C946"/>
  <c r="C947"/>
  <c r="C948"/>
  <c r="C949"/>
  <c r="C950"/>
  <c r="C951"/>
  <c r="C952"/>
  <c r="C953"/>
  <c r="C954"/>
  <c r="C955"/>
  <c r="C956"/>
  <c r="C957"/>
  <c r="C958"/>
  <c r="C959"/>
  <c r="C960"/>
  <c r="C961"/>
  <c r="C962"/>
  <c r="C963"/>
  <c r="C964"/>
  <c r="C965"/>
  <c r="C966"/>
  <c r="C967"/>
  <c r="C968"/>
  <c r="C969"/>
  <c r="C970"/>
  <c r="C971"/>
  <c r="C972"/>
  <c r="C973"/>
  <c r="C974"/>
  <c r="C975"/>
  <c r="C976"/>
  <c r="C977"/>
  <c r="C978"/>
  <c r="C979"/>
  <c r="C980"/>
  <c r="C981"/>
  <c r="C982"/>
  <c r="C983"/>
  <c r="C984"/>
  <c r="C985"/>
  <c r="C986"/>
  <c r="C987"/>
  <c r="C988"/>
  <c r="C989"/>
  <c r="C990"/>
  <c r="C991"/>
  <c r="C992"/>
  <c r="C993"/>
  <c r="C994"/>
  <c r="C995"/>
  <c r="C996"/>
  <c r="C997"/>
  <c r="C998"/>
  <c r="C999"/>
  <c r="C1000"/>
  <c r="C1001"/>
  <c r="C1002"/>
  <c r="C1003"/>
  <c r="C1004"/>
  <c r="C156"/>
  <c r="O615"/>
  <c r="O616"/>
  <c r="O617"/>
  <c r="O618"/>
  <c r="O619"/>
  <c r="O620"/>
  <c r="O621"/>
  <c r="O622"/>
  <c r="O623"/>
  <c r="O624"/>
  <c r="O625"/>
  <c r="O626"/>
  <c r="O627"/>
  <c r="O628"/>
  <c r="O629"/>
  <c r="O630"/>
  <c r="O631"/>
  <c r="O632"/>
  <c r="O633"/>
  <c r="O634"/>
  <c r="O635"/>
  <c r="O636"/>
  <c r="O637"/>
  <c r="O638"/>
  <c r="O639"/>
  <c r="O640"/>
  <c r="O641"/>
  <c r="O642"/>
  <c r="O643"/>
  <c r="O644"/>
  <c r="O645"/>
  <c r="O646"/>
  <c r="O647"/>
  <c r="O648"/>
  <c r="O649"/>
  <c r="O650"/>
  <c r="O651"/>
  <c r="O652"/>
  <c r="O653"/>
  <c r="O654"/>
  <c r="O655"/>
  <c r="O656"/>
  <c r="O657"/>
  <c r="O658"/>
  <c r="O659"/>
  <c r="O660"/>
  <c r="O661"/>
  <c r="O662"/>
  <c r="O663"/>
  <c r="O664"/>
  <c r="O665"/>
  <c r="O666"/>
  <c r="O667"/>
  <c r="O668"/>
  <c r="O669"/>
  <c r="O670"/>
  <c r="O671"/>
  <c r="O672"/>
  <c r="O673"/>
  <c r="O674"/>
  <c r="O675"/>
  <c r="O676"/>
  <c r="O677"/>
  <c r="O678"/>
  <c r="O679"/>
  <c r="O680"/>
  <c r="O681"/>
  <c r="O682"/>
  <c r="O683"/>
  <c r="O684"/>
  <c r="O685"/>
  <c r="O686"/>
  <c r="O687"/>
  <c r="O688"/>
  <c r="O689"/>
  <c r="O690"/>
  <c r="O691"/>
  <c r="O692"/>
  <c r="O693"/>
  <c r="O694"/>
  <c r="O695"/>
  <c r="O696"/>
  <c r="O697"/>
  <c r="O698"/>
  <c r="O699"/>
  <c r="O700"/>
  <c r="O701"/>
  <c r="O702"/>
  <c r="O703"/>
  <c r="O704"/>
  <c r="O705"/>
  <c r="O706"/>
  <c r="O707"/>
  <c r="O708"/>
  <c r="O709"/>
  <c r="O710"/>
  <c r="O711"/>
  <c r="O712"/>
  <c r="O713"/>
  <c r="O714"/>
  <c r="O715"/>
  <c r="O716"/>
  <c r="O717"/>
  <c r="O718"/>
  <c r="O719"/>
  <c r="O720"/>
  <c r="O721"/>
  <c r="O722"/>
  <c r="O723"/>
  <c r="O724"/>
  <c r="O725"/>
  <c r="O726"/>
  <c r="O727"/>
  <c r="O728"/>
  <c r="O729"/>
  <c r="O730"/>
  <c r="O731"/>
  <c r="O732"/>
  <c r="O733"/>
  <c r="O734"/>
  <c r="O735"/>
  <c r="O736"/>
  <c r="O737"/>
  <c r="O738"/>
  <c r="O739"/>
  <c r="O740"/>
  <c r="O741"/>
  <c r="O742"/>
  <c r="O743"/>
  <c r="O744"/>
  <c r="O745"/>
  <c r="O746"/>
  <c r="O747"/>
  <c r="O748"/>
  <c r="O749"/>
  <c r="O750"/>
  <c r="O751"/>
  <c r="O752"/>
  <c r="O753"/>
  <c r="O754"/>
  <c r="O755"/>
  <c r="O756"/>
  <c r="O757"/>
  <c r="O758"/>
  <c r="O759"/>
  <c r="O760"/>
  <c r="O761"/>
  <c r="O762"/>
  <c r="O763"/>
  <c r="O764"/>
  <c r="O765"/>
  <c r="O766"/>
  <c r="O767"/>
  <c r="O768"/>
  <c r="O769"/>
  <c r="O770"/>
  <c r="O771"/>
  <c r="O772"/>
  <c r="O773"/>
  <c r="O774"/>
  <c r="O775"/>
  <c r="O776"/>
  <c r="O777"/>
  <c r="O778"/>
  <c r="O779"/>
  <c r="O780"/>
  <c r="O781"/>
  <c r="O782"/>
  <c r="O783"/>
  <c r="O784"/>
  <c r="O785"/>
  <c r="O786"/>
  <c r="O787"/>
  <c r="O788"/>
  <c r="O789"/>
  <c r="O790"/>
  <c r="O791"/>
  <c r="O792"/>
  <c r="O793"/>
  <c r="O794"/>
  <c r="O795"/>
  <c r="O796"/>
  <c r="O797"/>
  <c r="O798"/>
  <c r="O799"/>
  <c r="O800"/>
  <c r="O801"/>
  <c r="O802"/>
  <c r="O803"/>
  <c r="O804"/>
  <c r="O805"/>
  <c r="O806"/>
  <c r="O807"/>
  <c r="O808"/>
  <c r="O809"/>
  <c r="O810"/>
  <c r="O811"/>
  <c r="O812"/>
  <c r="O813"/>
  <c r="O814"/>
  <c r="O815"/>
  <c r="O816"/>
  <c r="O817"/>
  <c r="O818"/>
  <c r="O819"/>
  <c r="O820"/>
  <c r="O821"/>
  <c r="O822"/>
  <c r="O823"/>
  <c r="O824"/>
  <c r="O825"/>
  <c r="O826"/>
  <c r="O827"/>
  <c r="O828"/>
  <c r="O829"/>
  <c r="O830"/>
  <c r="O831"/>
  <c r="O832"/>
  <c r="O833"/>
  <c r="O834"/>
  <c r="O835"/>
  <c r="O836"/>
  <c r="O837"/>
  <c r="O838"/>
  <c r="O839"/>
  <c r="O840"/>
  <c r="O841"/>
  <c r="O842"/>
  <c r="O843"/>
  <c r="O844"/>
  <c r="O845"/>
  <c r="O846"/>
  <c r="O847"/>
  <c r="O848"/>
  <c r="O849"/>
  <c r="O850"/>
  <c r="O851"/>
  <c r="O852"/>
  <c r="O853"/>
  <c r="O854"/>
  <c r="O855"/>
  <c r="O856"/>
  <c r="O857"/>
  <c r="O858"/>
  <c r="O859"/>
  <c r="O860"/>
  <c r="O861"/>
  <c r="O862"/>
  <c r="O863"/>
  <c r="O864"/>
  <c r="O865"/>
  <c r="O866"/>
  <c r="O867"/>
  <c r="O868"/>
  <c r="O869"/>
  <c r="O870"/>
  <c r="O871"/>
  <c r="O872"/>
  <c r="O873"/>
  <c r="O874"/>
  <c r="O875"/>
  <c r="O876"/>
  <c r="O877"/>
  <c r="O878"/>
  <c r="O879"/>
  <c r="O880"/>
  <c r="O881"/>
  <c r="O882"/>
  <c r="O883"/>
  <c r="O884"/>
  <c r="O885"/>
  <c r="O886"/>
  <c r="O887"/>
  <c r="O888"/>
  <c r="O889"/>
  <c r="O890"/>
  <c r="O891"/>
  <c r="O892"/>
  <c r="O893"/>
  <c r="O894"/>
  <c r="O895"/>
  <c r="O896"/>
  <c r="O897"/>
  <c r="O898"/>
  <c r="O899"/>
  <c r="O900"/>
  <c r="O901"/>
  <c r="O902"/>
  <c r="O903"/>
  <c r="O904"/>
  <c r="O905"/>
  <c r="O906"/>
  <c r="O907"/>
  <c r="O908"/>
  <c r="O909"/>
  <c r="O910"/>
  <c r="O911"/>
  <c r="O912"/>
  <c r="O913"/>
  <c r="O914"/>
  <c r="O915"/>
  <c r="O916"/>
  <c r="O917"/>
  <c r="O918"/>
  <c r="O919"/>
  <c r="O920"/>
  <c r="O921"/>
  <c r="O922"/>
  <c r="O923"/>
  <c r="O924"/>
  <c r="O925"/>
  <c r="O926"/>
  <c r="O927"/>
  <c r="O928"/>
  <c r="O929"/>
  <c r="O930"/>
  <c r="O931"/>
  <c r="O932"/>
  <c r="O933"/>
  <c r="O934"/>
  <c r="O935"/>
  <c r="O936"/>
  <c r="O937"/>
  <c r="O938"/>
  <c r="O939"/>
  <c r="O940"/>
  <c r="O941"/>
  <c r="O942"/>
  <c r="O943"/>
  <c r="O944"/>
  <c r="O945"/>
  <c r="O946"/>
  <c r="O947"/>
  <c r="O948"/>
  <c r="O949"/>
  <c r="O950"/>
  <c r="O951"/>
  <c r="O952"/>
  <c r="O953"/>
  <c r="O954"/>
  <c r="O955"/>
  <c r="O956"/>
  <c r="O957"/>
  <c r="O958"/>
  <c r="O959"/>
  <c r="O960"/>
  <c r="O961"/>
  <c r="O962"/>
  <c r="O963"/>
  <c r="O964"/>
  <c r="O965"/>
  <c r="O966"/>
  <c r="O967"/>
  <c r="O968"/>
  <c r="O969"/>
  <c r="O970"/>
  <c r="O971"/>
  <c r="O972"/>
  <c r="O973"/>
  <c r="O974"/>
  <c r="O975"/>
  <c r="O976"/>
  <c r="O977"/>
  <c r="O978"/>
  <c r="O979"/>
  <c r="O980"/>
  <c r="O981"/>
  <c r="O982"/>
  <c r="O983"/>
  <c r="O984"/>
  <c r="O985"/>
  <c r="O986"/>
  <c r="O987"/>
  <c r="O988"/>
  <c r="O989"/>
  <c r="O990"/>
  <c r="O991"/>
  <c r="O992"/>
  <c r="O993"/>
  <c r="O994"/>
  <c r="O995"/>
  <c r="O996"/>
  <c r="O997"/>
  <c r="O998"/>
  <c r="O999"/>
  <c r="O1000"/>
  <c r="O1001"/>
  <c r="O1002"/>
  <c r="O1003"/>
  <c r="O1004"/>
  <c r="N615"/>
  <c r="N616"/>
  <c r="N617"/>
  <c r="N618"/>
  <c r="N619"/>
  <c r="N620"/>
  <c r="N621"/>
  <c r="N622"/>
  <c r="N623"/>
  <c r="N624"/>
  <c r="N625"/>
  <c r="N626"/>
  <c r="N627"/>
  <c r="N628"/>
  <c r="N629"/>
  <c r="N630"/>
  <c r="N631"/>
  <c r="N632"/>
  <c r="N633"/>
  <c r="N634"/>
  <c r="N635"/>
  <c r="N636"/>
  <c r="N637"/>
  <c r="N638"/>
  <c r="N639"/>
  <c r="N640"/>
  <c r="N641"/>
  <c r="N642"/>
  <c r="N643"/>
  <c r="N644"/>
  <c r="N645"/>
  <c r="N646"/>
  <c r="N647"/>
  <c r="N648"/>
  <c r="N649"/>
  <c r="N650"/>
  <c r="N651"/>
  <c r="N652"/>
  <c r="N653"/>
  <c r="N654"/>
  <c r="N655"/>
  <c r="N656"/>
  <c r="N657"/>
  <c r="N658"/>
  <c r="N659"/>
  <c r="N660"/>
  <c r="N661"/>
  <c r="N662"/>
  <c r="N663"/>
  <c r="N664"/>
  <c r="N665"/>
  <c r="N666"/>
  <c r="N667"/>
  <c r="N668"/>
  <c r="N669"/>
  <c r="N670"/>
  <c r="N671"/>
  <c r="N672"/>
  <c r="N673"/>
  <c r="N674"/>
  <c r="N675"/>
  <c r="N676"/>
  <c r="N677"/>
  <c r="N678"/>
  <c r="N679"/>
  <c r="N680"/>
  <c r="N681"/>
  <c r="N682"/>
  <c r="N683"/>
  <c r="N684"/>
  <c r="N685"/>
  <c r="N686"/>
  <c r="N687"/>
  <c r="N688"/>
  <c r="N689"/>
  <c r="N690"/>
  <c r="N691"/>
  <c r="N692"/>
  <c r="N693"/>
  <c r="N694"/>
  <c r="N695"/>
  <c r="N696"/>
  <c r="N697"/>
  <c r="N698"/>
  <c r="N699"/>
  <c r="N700"/>
  <c r="N701"/>
  <c r="N702"/>
  <c r="N703"/>
  <c r="N704"/>
  <c r="N705"/>
  <c r="N706"/>
  <c r="N707"/>
  <c r="N708"/>
  <c r="N709"/>
  <c r="N710"/>
  <c r="N711"/>
  <c r="N712"/>
  <c r="N713"/>
  <c r="N714"/>
  <c r="N715"/>
  <c r="N716"/>
  <c r="N717"/>
  <c r="N718"/>
  <c r="N719"/>
  <c r="N720"/>
  <c r="N721"/>
  <c r="N722"/>
  <c r="N723"/>
  <c r="N724"/>
  <c r="N725"/>
  <c r="N726"/>
  <c r="N727"/>
  <c r="N728"/>
  <c r="N729"/>
  <c r="N730"/>
  <c r="N731"/>
  <c r="N732"/>
  <c r="N733"/>
  <c r="N734"/>
  <c r="N735"/>
  <c r="N736"/>
  <c r="N737"/>
  <c r="N738"/>
  <c r="N739"/>
  <c r="N740"/>
  <c r="N741"/>
  <c r="N742"/>
  <c r="N743"/>
  <c r="N744"/>
  <c r="N745"/>
  <c r="N746"/>
  <c r="N747"/>
  <c r="N748"/>
  <c r="N749"/>
  <c r="N750"/>
  <c r="N751"/>
  <c r="N752"/>
  <c r="N753"/>
  <c r="N754"/>
  <c r="N755"/>
  <c r="N756"/>
  <c r="N757"/>
  <c r="N758"/>
  <c r="N759"/>
  <c r="N760"/>
  <c r="N761"/>
  <c r="N762"/>
  <c r="N763"/>
  <c r="N764"/>
  <c r="N765"/>
  <c r="N766"/>
  <c r="N767"/>
  <c r="N768"/>
  <c r="N769"/>
  <c r="N770"/>
  <c r="N771"/>
  <c r="N772"/>
  <c r="N773"/>
  <c r="N774"/>
  <c r="N775"/>
  <c r="N776"/>
  <c r="N777"/>
  <c r="N778"/>
  <c r="N779"/>
  <c r="N780"/>
  <c r="N781"/>
  <c r="N782"/>
  <c r="N783"/>
  <c r="N784"/>
  <c r="N785"/>
  <c r="N786"/>
  <c r="N787"/>
  <c r="N788"/>
  <c r="N789"/>
  <c r="N790"/>
  <c r="N791"/>
  <c r="N792"/>
  <c r="N793"/>
  <c r="N794"/>
  <c r="N795"/>
  <c r="N796"/>
  <c r="N797"/>
  <c r="N798"/>
  <c r="N799"/>
  <c r="N800"/>
  <c r="N801"/>
  <c r="N802"/>
  <c r="N803"/>
  <c r="N804"/>
  <c r="N805"/>
  <c r="N806"/>
  <c r="N807"/>
  <c r="N808"/>
  <c r="N809"/>
  <c r="N810"/>
  <c r="N811"/>
  <c r="N812"/>
  <c r="N813"/>
  <c r="N814"/>
  <c r="N815"/>
  <c r="N816"/>
  <c r="N817"/>
  <c r="N818"/>
  <c r="N819"/>
  <c r="N820"/>
  <c r="N821"/>
  <c r="N822"/>
  <c r="N823"/>
  <c r="N824"/>
  <c r="N825"/>
  <c r="N826"/>
  <c r="N827"/>
  <c r="N828"/>
  <c r="N829"/>
  <c r="N830"/>
  <c r="N831"/>
  <c r="N832"/>
  <c r="N833"/>
  <c r="N834"/>
  <c r="N835"/>
  <c r="N836"/>
  <c r="N837"/>
  <c r="N838"/>
  <c r="N839"/>
  <c r="N840"/>
  <c r="N841"/>
  <c r="N842"/>
  <c r="N843"/>
  <c r="N844"/>
  <c r="N845"/>
  <c r="N846"/>
  <c r="N847"/>
  <c r="N848"/>
  <c r="N849"/>
  <c r="N850"/>
  <c r="N851"/>
  <c r="N852"/>
  <c r="N853"/>
  <c r="N854"/>
  <c r="N855"/>
  <c r="N856"/>
  <c r="N857"/>
  <c r="N858"/>
  <c r="N859"/>
  <c r="N860"/>
  <c r="N861"/>
  <c r="N862"/>
  <c r="N863"/>
  <c r="N864"/>
  <c r="N865"/>
  <c r="N866"/>
  <c r="N867"/>
  <c r="N868"/>
  <c r="N869"/>
  <c r="N870"/>
  <c r="N871"/>
  <c r="N872"/>
  <c r="N873"/>
  <c r="N874"/>
  <c r="N875"/>
  <c r="N876"/>
  <c r="N877"/>
  <c r="N878"/>
  <c r="N879"/>
  <c r="N880"/>
  <c r="N881"/>
  <c r="N882"/>
  <c r="N883"/>
  <c r="N884"/>
  <c r="N885"/>
  <c r="N886"/>
  <c r="N887"/>
  <c r="N888"/>
  <c r="N889"/>
  <c r="N890"/>
  <c r="N891"/>
  <c r="N892"/>
  <c r="N893"/>
  <c r="N894"/>
  <c r="N895"/>
  <c r="N896"/>
  <c r="N897"/>
  <c r="N898"/>
  <c r="N899"/>
  <c r="N900"/>
  <c r="N901"/>
  <c r="N902"/>
  <c r="N903"/>
  <c r="N904"/>
  <c r="N905"/>
  <c r="N906"/>
  <c r="N907"/>
  <c r="N908"/>
  <c r="N909"/>
  <c r="N910"/>
  <c r="N911"/>
  <c r="N912"/>
  <c r="N913"/>
  <c r="N914"/>
  <c r="N915"/>
  <c r="N916"/>
  <c r="N917"/>
  <c r="N918"/>
  <c r="N919"/>
  <c r="N920"/>
  <c r="N921"/>
  <c r="N922"/>
  <c r="N923"/>
  <c r="N924"/>
  <c r="N925"/>
  <c r="N926"/>
  <c r="N927"/>
  <c r="N928"/>
  <c r="N929"/>
  <c r="N930"/>
  <c r="N931"/>
  <c r="N932"/>
  <c r="N933"/>
  <c r="N934"/>
  <c r="N935"/>
  <c r="N936"/>
  <c r="N937"/>
  <c r="N938"/>
  <c r="N939"/>
  <c r="N940"/>
  <c r="N941"/>
  <c r="N942"/>
  <c r="N943"/>
  <c r="N944"/>
  <c r="N945"/>
  <c r="N946"/>
  <c r="N947"/>
  <c r="N948"/>
  <c r="N949"/>
  <c r="N950"/>
  <c r="N951"/>
  <c r="N952"/>
  <c r="N953"/>
  <c r="N954"/>
  <c r="N955"/>
  <c r="N956"/>
  <c r="N957"/>
  <c r="N958"/>
  <c r="N959"/>
  <c r="N960"/>
  <c r="N961"/>
  <c r="N962"/>
  <c r="N963"/>
  <c r="N964"/>
  <c r="N965"/>
  <c r="N966"/>
  <c r="N967"/>
  <c r="N968"/>
  <c r="N969"/>
  <c r="N970"/>
  <c r="N971"/>
  <c r="N972"/>
  <c r="N973"/>
  <c r="N974"/>
  <c r="N975"/>
  <c r="N976"/>
  <c r="N977"/>
  <c r="N978"/>
  <c r="N979"/>
  <c r="N980"/>
  <c r="N981"/>
  <c r="N982"/>
  <c r="N983"/>
  <c r="N984"/>
  <c r="N985"/>
  <c r="N986"/>
  <c r="N987"/>
  <c r="N988"/>
  <c r="N989"/>
  <c r="N990"/>
  <c r="N991"/>
  <c r="N992"/>
  <c r="N993"/>
  <c r="N994"/>
  <c r="N995"/>
  <c r="N996"/>
  <c r="N997"/>
  <c r="N998"/>
  <c r="N999"/>
  <c r="N1000"/>
  <c r="N1001"/>
  <c r="N1002"/>
  <c r="N1003"/>
  <c r="N1004"/>
  <c r="N614"/>
  <c r="V614"/>
  <c r="U614"/>
  <c r="T614"/>
  <c r="S614"/>
  <c r="R614"/>
  <c r="P614"/>
  <c r="Q614" s="1"/>
  <c r="O614"/>
  <c r="V613"/>
  <c r="U613"/>
  <c r="T613"/>
  <c r="S613"/>
  <c r="R613"/>
  <c r="P613"/>
  <c r="Q613" s="1"/>
  <c r="O613"/>
  <c r="N613"/>
  <c r="V612"/>
  <c r="U612"/>
  <c r="T612"/>
  <c r="S612"/>
  <c r="R612"/>
  <c r="P612"/>
  <c r="Q612" s="1"/>
  <c r="O612"/>
  <c r="N612"/>
  <c r="V611"/>
  <c r="U611"/>
  <c r="T611"/>
  <c r="S611"/>
  <c r="R611"/>
  <c r="P611"/>
  <c r="Q611" s="1"/>
  <c r="O611"/>
  <c r="N611"/>
  <c r="V610"/>
  <c r="U610"/>
  <c r="T610"/>
  <c r="S610"/>
  <c r="R610"/>
  <c r="P610"/>
  <c r="Q610" s="1"/>
  <c r="O610"/>
  <c r="N610"/>
  <c r="V609"/>
  <c r="U609"/>
  <c r="T609"/>
  <c r="S609"/>
  <c r="R609"/>
  <c r="P609"/>
  <c r="Q609" s="1"/>
  <c r="O609"/>
  <c r="N609"/>
  <c r="V608"/>
  <c r="U608"/>
  <c r="T608"/>
  <c r="S608"/>
  <c r="R608"/>
  <c r="P608"/>
  <c r="Q608" s="1"/>
  <c r="O608"/>
  <c r="N608"/>
  <c r="V607"/>
  <c r="U607"/>
  <c r="T607"/>
  <c r="S607"/>
  <c r="R607"/>
  <c r="P607"/>
  <c r="Q607" s="1"/>
  <c r="O607"/>
  <c r="N607"/>
  <c r="V606"/>
  <c r="U606"/>
  <c r="T606"/>
  <c r="S606"/>
  <c r="R606"/>
  <c r="P606"/>
  <c r="Q606" s="1"/>
  <c r="O606"/>
  <c r="N606"/>
  <c r="V605"/>
  <c r="U605"/>
  <c r="T605"/>
  <c r="S605"/>
  <c r="R605"/>
  <c r="P605"/>
  <c r="Q605" s="1"/>
  <c r="O605"/>
  <c r="N605"/>
  <c r="V604"/>
  <c r="U604"/>
  <c r="T604"/>
  <c r="S604"/>
  <c r="R604"/>
  <c r="P604"/>
  <c r="Q604" s="1"/>
  <c r="O604"/>
  <c r="N604"/>
  <c r="V603"/>
  <c r="U603"/>
  <c r="T603"/>
  <c r="S603"/>
  <c r="R603"/>
  <c r="P603"/>
  <c r="Q603" s="1"/>
  <c r="O603"/>
  <c r="N603"/>
  <c r="V602"/>
  <c r="U602"/>
  <c r="T602"/>
  <c r="S602"/>
  <c r="R602"/>
  <c r="P602"/>
  <c r="Q602" s="1"/>
  <c r="O602"/>
  <c r="N602"/>
  <c r="V601"/>
  <c r="U601"/>
  <c r="T601"/>
  <c r="S601"/>
  <c r="R601"/>
  <c r="P601"/>
  <c r="Q601" s="1"/>
  <c r="O601"/>
  <c r="N601"/>
  <c r="V600"/>
  <c r="U600"/>
  <c r="T600"/>
  <c r="S600"/>
  <c r="R600"/>
  <c r="P600"/>
  <c r="Q600" s="1"/>
  <c r="O600"/>
  <c r="N600"/>
  <c r="V599"/>
  <c r="U599"/>
  <c r="T599"/>
  <c r="S599"/>
  <c r="R599"/>
  <c r="P599"/>
  <c r="Q599" s="1"/>
  <c r="O599"/>
  <c r="N599"/>
  <c r="V598"/>
  <c r="U598"/>
  <c r="T598"/>
  <c r="S598"/>
  <c r="R598"/>
  <c r="P598"/>
  <c r="Q598" s="1"/>
  <c r="O598"/>
  <c r="N598"/>
  <c r="V597"/>
  <c r="U597"/>
  <c r="T597"/>
  <c r="S597"/>
  <c r="R597"/>
  <c r="P597"/>
  <c r="Q597" s="1"/>
  <c r="O597"/>
  <c r="N597"/>
  <c r="V596"/>
  <c r="U596"/>
  <c r="T596"/>
  <c r="S596"/>
  <c r="R596"/>
  <c r="P596"/>
  <c r="Q596" s="1"/>
  <c r="O596"/>
  <c r="N596"/>
  <c r="V595"/>
  <c r="U595"/>
  <c r="T595"/>
  <c r="S595"/>
  <c r="R595"/>
  <c r="P595"/>
  <c r="Q595" s="1"/>
  <c r="O595"/>
  <c r="N595"/>
  <c r="V594"/>
  <c r="U594"/>
  <c r="T594"/>
  <c r="S594"/>
  <c r="R594"/>
  <c r="P594"/>
  <c r="Q594" s="1"/>
  <c r="O594"/>
  <c r="N594"/>
  <c r="V593"/>
  <c r="U593"/>
  <c r="T593"/>
  <c r="S593"/>
  <c r="R593"/>
  <c r="P593"/>
  <c r="Q593" s="1"/>
  <c r="O593"/>
  <c r="N593"/>
  <c r="V592"/>
  <c r="U592"/>
  <c r="T592"/>
  <c r="S592"/>
  <c r="R592"/>
  <c r="P592"/>
  <c r="Q592" s="1"/>
  <c r="O592"/>
  <c r="N592"/>
  <c r="V591"/>
  <c r="U591"/>
  <c r="T591"/>
  <c r="S591"/>
  <c r="R591"/>
  <c r="P591"/>
  <c r="Q591" s="1"/>
  <c r="O591"/>
  <c r="N591"/>
  <c r="V590"/>
  <c r="U590"/>
  <c r="T590"/>
  <c r="S590"/>
  <c r="R590"/>
  <c r="P590"/>
  <c r="Q590" s="1"/>
  <c r="O590"/>
  <c r="N590"/>
  <c r="V589"/>
  <c r="U589"/>
  <c r="T589"/>
  <c r="S589"/>
  <c r="R589"/>
  <c r="P589"/>
  <c r="Q589" s="1"/>
  <c r="O589"/>
  <c r="N589"/>
  <c r="V588"/>
  <c r="U588"/>
  <c r="T588"/>
  <c r="S588"/>
  <c r="R588"/>
  <c r="P588"/>
  <c r="Q588" s="1"/>
  <c r="O588"/>
  <c r="N588"/>
  <c r="V587"/>
  <c r="U587"/>
  <c r="T587"/>
  <c r="S587"/>
  <c r="R587"/>
  <c r="P587"/>
  <c r="Q587" s="1"/>
  <c r="O587"/>
  <c r="N587"/>
  <c r="V586"/>
  <c r="U586"/>
  <c r="T586"/>
  <c r="S586"/>
  <c r="R586"/>
  <c r="P586"/>
  <c r="Q586" s="1"/>
  <c r="O586"/>
  <c r="N586"/>
  <c r="V585"/>
  <c r="U585"/>
  <c r="T585"/>
  <c r="S585"/>
  <c r="R585"/>
  <c r="P585"/>
  <c r="Q585" s="1"/>
  <c r="O585"/>
  <c r="N585"/>
  <c r="V584"/>
  <c r="U584"/>
  <c r="T584"/>
  <c r="S584"/>
  <c r="R584"/>
  <c r="P584"/>
  <c r="Q584" s="1"/>
  <c r="O584"/>
  <c r="N584"/>
  <c r="V583"/>
  <c r="U583"/>
  <c r="T583"/>
  <c r="S583"/>
  <c r="R583"/>
  <c r="P583"/>
  <c r="Q583" s="1"/>
  <c r="O583"/>
  <c r="N583"/>
  <c r="V582"/>
  <c r="U582"/>
  <c r="T582"/>
  <c r="S582"/>
  <c r="R582"/>
  <c r="P582"/>
  <c r="Q582" s="1"/>
  <c r="O582"/>
  <c r="N582"/>
  <c r="V581"/>
  <c r="U581"/>
  <c r="T581"/>
  <c r="S581"/>
  <c r="R581"/>
  <c r="P581"/>
  <c r="Q581" s="1"/>
  <c r="O581"/>
  <c r="N581"/>
  <c r="V580"/>
  <c r="U580"/>
  <c r="T580"/>
  <c r="S580"/>
  <c r="R580"/>
  <c r="P580"/>
  <c r="Q580" s="1"/>
  <c r="O580"/>
  <c r="N580"/>
  <c r="V579"/>
  <c r="U579"/>
  <c r="T579"/>
  <c r="S579"/>
  <c r="R579"/>
  <c r="P579"/>
  <c r="Q579" s="1"/>
  <c r="O579"/>
  <c r="N579"/>
  <c r="V578"/>
  <c r="U578"/>
  <c r="T578"/>
  <c r="S578"/>
  <c r="R578"/>
  <c r="P578"/>
  <c r="Q578" s="1"/>
  <c r="O578"/>
  <c r="N578"/>
  <c r="V577"/>
  <c r="U577"/>
  <c r="T577"/>
  <c r="S577"/>
  <c r="R577"/>
  <c r="P577"/>
  <c r="Q577" s="1"/>
  <c r="O577"/>
  <c r="N577"/>
  <c r="V576"/>
  <c r="U576"/>
  <c r="T576"/>
  <c r="S576"/>
  <c r="R576"/>
  <c r="P576"/>
  <c r="Q576" s="1"/>
  <c r="O576"/>
  <c r="N576"/>
  <c r="V575"/>
  <c r="U575"/>
  <c r="T575"/>
  <c r="S575"/>
  <c r="R575"/>
  <c r="P575"/>
  <c r="Q575" s="1"/>
  <c r="O575"/>
  <c r="N575"/>
  <c r="V574"/>
  <c r="U574"/>
  <c r="T574"/>
  <c r="S574"/>
  <c r="R574"/>
  <c r="P574"/>
  <c r="Q574" s="1"/>
  <c r="O574"/>
  <c r="N574"/>
  <c r="V573"/>
  <c r="U573"/>
  <c r="T573"/>
  <c r="S573"/>
  <c r="R573"/>
  <c r="P573"/>
  <c r="Q573" s="1"/>
  <c r="O573"/>
  <c r="N573"/>
  <c r="V572"/>
  <c r="U572"/>
  <c r="T572"/>
  <c r="S572"/>
  <c r="R572"/>
  <c r="P572"/>
  <c r="Q572" s="1"/>
  <c r="O572"/>
  <c r="N572"/>
  <c r="V571"/>
  <c r="U571"/>
  <c r="T571"/>
  <c r="S571"/>
  <c r="R571"/>
  <c r="P571"/>
  <c r="Q571" s="1"/>
  <c r="O571"/>
  <c r="N571"/>
  <c r="V570"/>
  <c r="U570"/>
  <c r="T570"/>
  <c r="S570"/>
  <c r="R570"/>
  <c r="P570"/>
  <c r="Q570" s="1"/>
  <c r="O570"/>
  <c r="N570"/>
  <c r="V569"/>
  <c r="U569"/>
  <c r="T569"/>
  <c r="S569"/>
  <c r="R569"/>
  <c r="P569"/>
  <c r="Q569" s="1"/>
  <c r="O569"/>
  <c r="N569"/>
  <c r="V568"/>
  <c r="U568"/>
  <c r="T568"/>
  <c r="S568"/>
  <c r="R568"/>
  <c r="P568"/>
  <c r="Q568" s="1"/>
  <c r="O568"/>
  <c r="N568"/>
  <c r="V567"/>
  <c r="U567"/>
  <c r="T567"/>
  <c r="S567"/>
  <c r="R567"/>
  <c r="P567"/>
  <c r="Q567" s="1"/>
  <c r="O567"/>
  <c r="N567"/>
  <c r="V566"/>
  <c r="U566"/>
  <c r="T566"/>
  <c r="S566"/>
  <c r="R566"/>
  <c r="P566"/>
  <c r="Q566" s="1"/>
  <c r="O566"/>
  <c r="N566"/>
  <c r="V565"/>
  <c r="U565"/>
  <c r="T565"/>
  <c r="S565"/>
  <c r="R565"/>
  <c r="P565"/>
  <c r="Q565" s="1"/>
  <c r="O565"/>
  <c r="N565"/>
  <c r="V564"/>
  <c r="U564"/>
  <c r="T564"/>
  <c r="S564"/>
  <c r="R564"/>
  <c r="P564"/>
  <c r="Q564" s="1"/>
  <c r="O564"/>
  <c r="N564"/>
  <c r="V563"/>
  <c r="U563"/>
  <c r="T563"/>
  <c r="S563"/>
  <c r="R563"/>
  <c r="P563"/>
  <c r="Q563" s="1"/>
  <c r="O563"/>
  <c r="N563"/>
  <c r="V562"/>
  <c r="U562"/>
  <c r="T562"/>
  <c r="S562"/>
  <c r="R562"/>
  <c r="P562"/>
  <c r="Q562" s="1"/>
  <c r="O562"/>
  <c r="N562"/>
  <c r="V561"/>
  <c r="U561"/>
  <c r="T561"/>
  <c r="S561"/>
  <c r="R561"/>
  <c r="P561"/>
  <c r="Q561" s="1"/>
  <c r="O561"/>
  <c r="N561"/>
  <c r="V560"/>
  <c r="U560"/>
  <c r="T560"/>
  <c r="S560"/>
  <c r="R560"/>
  <c r="P560"/>
  <c r="Q560" s="1"/>
  <c r="O560"/>
  <c r="N560"/>
  <c r="V559"/>
  <c r="U559"/>
  <c r="T559"/>
  <c r="S559"/>
  <c r="R559"/>
  <c r="P559"/>
  <c r="Q559" s="1"/>
  <c r="O559"/>
  <c r="N559"/>
  <c r="V558"/>
  <c r="U558"/>
  <c r="T558"/>
  <c r="S558"/>
  <c r="R558"/>
  <c r="P558"/>
  <c r="Q558" s="1"/>
  <c r="O558"/>
  <c r="N558"/>
  <c r="V557"/>
  <c r="U557"/>
  <c r="T557"/>
  <c r="S557"/>
  <c r="R557"/>
  <c r="P557"/>
  <c r="Q557" s="1"/>
  <c r="O557"/>
  <c r="N557"/>
  <c r="V556"/>
  <c r="U556"/>
  <c r="T556"/>
  <c r="S556"/>
  <c r="R556"/>
  <c r="P556"/>
  <c r="Q556" s="1"/>
  <c r="O556"/>
  <c r="N556"/>
  <c r="V555"/>
  <c r="U555"/>
  <c r="T555"/>
  <c r="S555"/>
  <c r="R555"/>
  <c r="P555"/>
  <c r="Q555" s="1"/>
  <c r="O555"/>
  <c r="N555"/>
  <c r="V554"/>
  <c r="U554"/>
  <c r="T554"/>
  <c r="S554"/>
  <c r="R554"/>
  <c r="P554"/>
  <c r="Q554" s="1"/>
  <c r="O554"/>
  <c r="N554"/>
  <c r="V553"/>
  <c r="U553"/>
  <c r="T553"/>
  <c r="S553"/>
  <c r="R553"/>
  <c r="P553"/>
  <c r="Q553" s="1"/>
  <c r="O553"/>
  <c r="N553"/>
  <c r="V552"/>
  <c r="U552"/>
  <c r="T552"/>
  <c r="S552"/>
  <c r="R552"/>
  <c r="P552"/>
  <c r="Q552" s="1"/>
  <c r="O552"/>
  <c r="N552"/>
  <c r="V551"/>
  <c r="U551"/>
  <c r="T551"/>
  <c r="S551"/>
  <c r="R551"/>
  <c r="P551"/>
  <c r="Q551" s="1"/>
  <c r="O551"/>
  <c r="N551"/>
  <c r="V550"/>
  <c r="U550"/>
  <c r="T550"/>
  <c r="S550"/>
  <c r="R550"/>
  <c r="P550"/>
  <c r="Q550" s="1"/>
  <c r="O550"/>
  <c r="N550"/>
  <c r="V549"/>
  <c r="U549"/>
  <c r="T549"/>
  <c r="S549"/>
  <c r="R549"/>
  <c r="P549"/>
  <c r="Q549" s="1"/>
  <c r="O549"/>
  <c r="N549"/>
  <c r="V548"/>
  <c r="U548"/>
  <c r="T548"/>
  <c r="S548"/>
  <c r="R548"/>
  <c r="P548"/>
  <c r="Q548" s="1"/>
  <c r="O548"/>
  <c r="N548"/>
  <c r="V547"/>
  <c r="U547"/>
  <c r="T547"/>
  <c r="S547"/>
  <c r="R547"/>
  <c r="P547"/>
  <c r="Q547" s="1"/>
  <c r="O547"/>
  <c r="N547"/>
  <c r="V546"/>
  <c r="U546"/>
  <c r="T546"/>
  <c r="S546"/>
  <c r="R546"/>
  <c r="P546"/>
  <c r="Q546" s="1"/>
  <c r="O546"/>
  <c r="N546"/>
  <c r="V545"/>
  <c r="U545"/>
  <c r="T545"/>
  <c r="S545"/>
  <c r="R545"/>
  <c r="P545"/>
  <c r="Q545" s="1"/>
  <c r="O545"/>
  <c r="N545"/>
  <c r="V544"/>
  <c r="U544"/>
  <c r="T544"/>
  <c r="S544"/>
  <c r="R544"/>
  <c r="P544"/>
  <c r="Q544" s="1"/>
  <c r="O544"/>
  <c r="N544"/>
  <c r="V543"/>
  <c r="U543"/>
  <c r="T543"/>
  <c r="S543"/>
  <c r="R543"/>
  <c r="P543"/>
  <c r="Q543" s="1"/>
  <c r="O543"/>
  <c r="N543"/>
  <c r="V542"/>
  <c r="U542"/>
  <c r="T542"/>
  <c r="S542"/>
  <c r="R542"/>
  <c r="P542"/>
  <c r="Q542" s="1"/>
  <c r="O542"/>
  <c r="N542"/>
  <c r="V541"/>
  <c r="U541"/>
  <c r="T541"/>
  <c r="S541"/>
  <c r="R541"/>
  <c r="P541"/>
  <c r="Q541" s="1"/>
  <c r="O541"/>
  <c r="N541"/>
  <c r="V540"/>
  <c r="U540"/>
  <c r="T540"/>
  <c r="S540"/>
  <c r="R540"/>
  <c r="P540"/>
  <c r="Q540" s="1"/>
  <c r="O540"/>
  <c r="N540"/>
  <c r="V539"/>
  <c r="U539"/>
  <c r="T539"/>
  <c r="S539"/>
  <c r="R539"/>
  <c r="P539"/>
  <c r="Q539" s="1"/>
  <c r="O539"/>
  <c r="N539"/>
  <c r="V538"/>
  <c r="U538"/>
  <c r="T538"/>
  <c r="S538"/>
  <c r="R538"/>
  <c r="P538"/>
  <c r="Q538" s="1"/>
  <c r="O538"/>
  <c r="N538"/>
  <c r="V537"/>
  <c r="U537"/>
  <c r="T537"/>
  <c r="S537"/>
  <c r="R537"/>
  <c r="P537"/>
  <c r="Q537" s="1"/>
  <c r="O537"/>
  <c r="N537"/>
  <c r="V536"/>
  <c r="U536"/>
  <c r="T536"/>
  <c r="S536"/>
  <c r="R536"/>
  <c r="P536"/>
  <c r="Q536" s="1"/>
  <c r="O536"/>
  <c r="N536"/>
  <c r="V535"/>
  <c r="U535"/>
  <c r="T535"/>
  <c r="S535"/>
  <c r="R535"/>
  <c r="P535"/>
  <c r="Q535" s="1"/>
  <c r="O535"/>
  <c r="N535"/>
  <c r="V534"/>
  <c r="U534"/>
  <c r="T534"/>
  <c r="S534"/>
  <c r="R534"/>
  <c r="P534"/>
  <c r="Q534" s="1"/>
  <c r="O534"/>
  <c r="N534"/>
  <c r="V533"/>
  <c r="U533"/>
  <c r="T533"/>
  <c r="S533"/>
  <c r="R533"/>
  <c r="P533"/>
  <c r="Q533" s="1"/>
  <c r="O533"/>
  <c r="N533"/>
  <c r="V532"/>
  <c r="U532"/>
  <c r="T532"/>
  <c r="S532"/>
  <c r="R532"/>
  <c r="P532"/>
  <c r="Q532" s="1"/>
  <c r="O532"/>
  <c r="N532"/>
  <c r="V531"/>
  <c r="U531"/>
  <c r="T531"/>
  <c r="S531"/>
  <c r="R531"/>
  <c r="P531"/>
  <c r="Q531" s="1"/>
  <c r="O531"/>
  <c r="N531"/>
  <c r="V530"/>
  <c r="U530"/>
  <c r="T530"/>
  <c r="S530"/>
  <c r="R530"/>
  <c r="P530"/>
  <c r="Q530" s="1"/>
  <c r="O530"/>
  <c r="N530"/>
  <c r="V529"/>
  <c r="U529"/>
  <c r="T529"/>
  <c r="S529"/>
  <c r="R529"/>
  <c r="P529"/>
  <c r="Q529" s="1"/>
  <c r="O529"/>
  <c r="N529"/>
  <c r="V528"/>
  <c r="U528"/>
  <c r="T528"/>
  <c r="S528"/>
  <c r="R528"/>
  <c r="P528"/>
  <c r="Q528" s="1"/>
  <c r="O528"/>
  <c r="N528"/>
  <c r="V527"/>
  <c r="U527"/>
  <c r="T527"/>
  <c r="S527"/>
  <c r="R527"/>
  <c r="P527"/>
  <c r="Q527" s="1"/>
  <c r="O527"/>
  <c r="N527"/>
  <c r="V526"/>
  <c r="U526"/>
  <c r="T526"/>
  <c r="S526"/>
  <c r="R526"/>
  <c r="P526"/>
  <c r="Q526" s="1"/>
  <c r="O526"/>
  <c r="N526"/>
  <c r="V525"/>
  <c r="U525"/>
  <c r="T525"/>
  <c r="S525"/>
  <c r="R525"/>
  <c r="P525"/>
  <c r="Q525" s="1"/>
  <c r="O525"/>
  <c r="N525"/>
  <c r="V524"/>
  <c r="U524"/>
  <c r="T524"/>
  <c r="S524"/>
  <c r="R524"/>
  <c r="P524"/>
  <c r="Q524" s="1"/>
  <c r="O524"/>
  <c r="N524"/>
  <c r="V523"/>
  <c r="U523"/>
  <c r="T523"/>
  <c r="S523"/>
  <c r="R523"/>
  <c r="P523"/>
  <c r="Q523" s="1"/>
  <c r="O523"/>
  <c r="N523"/>
  <c r="V522"/>
  <c r="U522"/>
  <c r="T522"/>
  <c r="S522"/>
  <c r="R522"/>
  <c r="P522"/>
  <c r="Q522" s="1"/>
  <c r="O522"/>
  <c r="N522"/>
  <c r="V521"/>
  <c r="U521"/>
  <c r="T521"/>
  <c r="S521"/>
  <c r="R521"/>
  <c r="P521"/>
  <c r="Q521" s="1"/>
  <c r="O521"/>
  <c r="N521"/>
  <c r="V520"/>
  <c r="U520"/>
  <c r="T520"/>
  <c r="S520"/>
  <c r="R520"/>
  <c r="P520"/>
  <c r="Q520" s="1"/>
  <c r="O520"/>
  <c r="N520"/>
  <c r="V519"/>
  <c r="U519"/>
  <c r="T519"/>
  <c r="S519"/>
  <c r="R519"/>
  <c r="P519"/>
  <c r="Q519" s="1"/>
  <c r="O519"/>
  <c r="N519"/>
  <c r="V518"/>
  <c r="U518"/>
  <c r="T518"/>
  <c r="S518"/>
  <c r="R518"/>
  <c r="P518"/>
  <c r="Q518" s="1"/>
  <c r="O518"/>
  <c r="N518"/>
  <c r="V517"/>
  <c r="U517"/>
  <c r="T517"/>
  <c r="S517"/>
  <c r="R517"/>
  <c r="P517"/>
  <c r="Q517" s="1"/>
  <c r="O517"/>
  <c r="N517"/>
  <c r="V516"/>
  <c r="U516"/>
  <c r="T516"/>
  <c r="S516"/>
  <c r="R516"/>
  <c r="P516"/>
  <c r="Q516" s="1"/>
  <c r="O516"/>
  <c r="N516"/>
  <c r="V515"/>
  <c r="U515"/>
  <c r="T515"/>
  <c r="S515"/>
  <c r="R515"/>
  <c r="P515"/>
  <c r="Q515" s="1"/>
  <c r="O515"/>
  <c r="N515"/>
  <c r="V514"/>
  <c r="U514"/>
  <c r="T514"/>
  <c r="S514"/>
  <c r="R514"/>
  <c r="P514"/>
  <c r="Q514" s="1"/>
  <c r="O514"/>
  <c r="N514"/>
  <c r="V513"/>
  <c r="U513"/>
  <c r="T513"/>
  <c r="S513"/>
  <c r="R513"/>
  <c r="P513"/>
  <c r="Q513" s="1"/>
  <c r="O513"/>
  <c r="N513"/>
  <c r="V512"/>
  <c r="U512"/>
  <c r="T512"/>
  <c r="S512"/>
  <c r="R512"/>
  <c r="P512"/>
  <c r="Q512" s="1"/>
  <c r="O512"/>
  <c r="N512"/>
  <c r="V511"/>
  <c r="U511"/>
  <c r="T511"/>
  <c r="S511"/>
  <c r="R511"/>
  <c r="P511"/>
  <c r="Q511" s="1"/>
  <c r="O511"/>
  <c r="N511"/>
  <c r="V510"/>
  <c r="U510"/>
  <c r="T510"/>
  <c r="S510"/>
  <c r="R510"/>
  <c r="P510"/>
  <c r="Q510" s="1"/>
  <c r="O510"/>
  <c r="N510"/>
  <c r="V509"/>
  <c r="U509"/>
  <c r="T509"/>
  <c r="S509"/>
  <c r="R509"/>
  <c r="P509"/>
  <c r="Q509" s="1"/>
  <c r="O509"/>
  <c r="N509"/>
  <c r="V508"/>
  <c r="U508"/>
  <c r="T508"/>
  <c r="S508"/>
  <c r="R508"/>
  <c r="P508"/>
  <c r="Q508" s="1"/>
  <c r="O508"/>
  <c r="N508"/>
  <c r="V507"/>
  <c r="U507"/>
  <c r="T507"/>
  <c r="S507"/>
  <c r="R507"/>
  <c r="P507"/>
  <c r="Q507" s="1"/>
  <c r="O507"/>
  <c r="N507"/>
  <c r="V506"/>
  <c r="U506"/>
  <c r="T506"/>
  <c r="S506"/>
  <c r="R506"/>
  <c r="P506"/>
  <c r="Q506" s="1"/>
  <c r="O506"/>
  <c r="N506"/>
  <c r="V505"/>
  <c r="U505"/>
  <c r="T505"/>
  <c r="S505"/>
  <c r="R505"/>
  <c r="P505"/>
  <c r="Q505" s="1"/>
  <c r="O505"/>
  <c r="N505"/>
  <c r="V504"/>
  <c r="U504"/>
  <c r="T504"/>
  <c r="S504"/>
  <c r="R504"/>
  <c r="P504"/>
  <c r="Q504" s="1"/>
  <c r="O504"/>
  <c r="N504"/>
  <c r="V503"/>
  <c r="U503"/>
  <c r="T503"/>
  <c r="S503"/>
  <c r="R503"/>
  <c r="P503"/>
  <c r="Q503" s="1"/>
  <c r="O503"/>
  <c r="N503"/>
  <c r="V502"/>
  <c r="U502"/>
  <c r="T502"/>
  <c r="S502"/>
  <c r="R502"/>
  <c r="P502"/>
  <c r="Q502" s="1"/>
  <c r="O502"/>
  <c r="N502"/>
  <c r="V501"/>
  <c r="U501"/>
  <c r="T501"/>
  <c r="S501"/>
  <c r="R501"/>
  <c r="P501"/>
  <c r="Q501" s="1"/>
  <c r="O501"/>
  <c r="N501"/>
  <c r="V500"/>
  <c r="U500"/>
  <c r="T500"/>
  <c r="S500"/>
  <c r="R500"/>
  <c r="P500"/>
  <c r="Q500" s="1"/>
  <c r="O500"/>
  <c r="N500"/>
  <c r="V499"/>
  <c r="U499"/>
  <c r="T499"/>
  <c r="S499"/>
  <c r="R499"/>
  <c r="P499"/>
  <c r="Q499" s="1"/>
  <c r="O499"/>
  <c r="N499"/>
  <c r="V498"/>
  <c r="U498"/>
  <c r="T498"/>
  <c r="S498"/>
  <c r="R498"/>
  <c r="P498"/>
  <c r="Q498" s="1"/>
  <c r="O498"/>
  <c r="N498"/>
  <c r="V497"/>
  <c r="U497"/>
  <c r="T497"/>
  <c r="S497"/>
  <c r="R497"/>
  <c r="P497"/>
  <c r="Q497" s="1"/>
  <c r="O497"/>
  <c r="N497"/>
  <c r="V496"/>
  <c r="U496"/>
  <c r="T496"/>
  <c r="S496"/>
  <c r="R496"/>
  <c r="P496"/>
  <c r="Q496" s="1"/>
  <c r="O496"/>
  <c r="N496"/>
  <c r="V495"/>
  <c r="U495"/>
  <c r="T495"/>
  <c r="S495"/>
  <c r="R495"/>
  <c r="P495"/>
  <c r="Q495" s="1"/>
  <c r="O495"/>
  <c r="N495"/>
  <c r="V494"/>
  <c r="U494"/>
  <c r="T494"/>
  <c r="S494"/>
  <c r="R494"/>
  <c r="P494"/>
  <c r="Q494" s="1"/>
  <c r="O494"/>
  <c r="N494"/>
  <c r="V493"/>
  <c r="U493"/>
  <c r="T493"/>
  <c r="S493"/>
  <c r="R493"/>
  <c r="P493"/>
  <c r="Q493" s="1"/>
  <c r="O493"/>
  <c r="N493"/>
  <c r="V492"/>
  <c r="U492"/>
  <c r="T492"/>
  <c r="S492"/>
  <c r="R492"/>
  <c r="P492"/>
  <c r="Q492" s="1"/>
  <c r="O492"/>
  <c r="N492"/>
  <c r="V491"/>
  <c r="U491"/>
  <c r="T491"/>
  <c r="S491"/>
  <c r="R491"/>
  <c r="P491"/>
  <c r="Q491" s="1"/>
  <c r="O491"/>
  <c r="N491"/>
  <c r="V490"/>
  <c r="U490"/>
  <c r="T490"/>
  <c r="S490"/>
  <c r="R490"/>
  <c r="P490"/>
  <c r="Q490" s="1"/>
  <c r="O490"/>
  <c r="N490"/>
  <c r="V489"/>
  <c r="U489"/>
  <c r="T489"/>
  <c r="S489"/>
  <c r="R489"/>
  <c r="P489"/>
  <c r="Q489" s="1"/>
  <c r="O489"/>
  <c r="N489"/>
  <c r="V488"/>
  <c r="U488"/>
  <c r="T488"/>
  <c r="S488"/>
  <c r="R488"/>
  <c r="P488"/>
  <c r="Q488" s="1"/>
  <c r="O488"/>
  <c r="N488"/>
  <c r="V487"/>
  <c r="U487"/>
  <c r="T487"/>
  <c r="S487"/>
  <c r="R487"/>
  <c r="P487"/>
  <c r="Q487" s="1"/>
  <c r="O487"/>
  <c r="N487"/>
  <c r="V486"/>
  <c r="U486"/>
  <c r="T486"/>
  <c r="S486"/>
  <c r="R486"/>
  <c r="P486"/>
  <c r="Q486" s="1"/>
  <c r="O486"/>
  <c r="N486"/>
  <c r="V485"/>
  <c r="U485"/>
  <c r="T485"/>
  <c r="S485"/>
  <c r="R485"/>
  <c r="P485"/>
  <c r="Q485" s="1"/>
  <c r="O485"/>
  <c r="N485"/>
  <c r="V484"/>
  <c r="U484"/>
  <c r="T484"/>
  <c r="S484"/>
  <c r="R484"/>
  <c r="P484"/>
  <c r="Q484" s="1"/>
  <c r="O484"/>
  <c r="N484"/>
  <c r="V483"/>
  <c r="U483"/>
  <c r="T483"/>
  <c r="S483"/>
  <c r="R483"/>
  <c r="P483"/>
  <c r="Q483" s="1"/>
  <c r="O483"/>
  <c r="N483"/>
  <c r="V482"/>
  <c r="U482"/>
  <c r="T482"/>
  <c r="S482"/>
  <c r="R482"/>
  <c r="P482"/>
  <c r="Q482" s="1"/>
  <c r="O482"/>
  <c r="N482"/>
  <c r="V481"/>
  <c r="U481"/>
  <c r="T481"/>
  <c r="S481"/>
  <c r="R481"/>
  <c r="P481"/>
  <c r="Q481" s="1"/>
  <c r="O481"/>
  <c r="N481"/>
  <c r="V480"/>
  <c r="U480"/>
  <c r="T480"/>
  <c r="S480"/>
  <c r="R480"/>
  <c r="P480"/>
  <c r="Q480" s="1"/>
  <c r="O480"/>
  <c r="N480"/>
  <c r="V479"/>
  <c r="U479"/>
  <c r="T479"/>
  <c r="S479"/>
  <c r="R479"/>
  <c r="P479"/>
  <c r="Q479" s="1"/>
  <c r="O479"/>
  <c r="N479"/>
  <c r="V478"/>
  <c r="U478"/>
  <c r="T478"/>
  <c r="S478"/>
  <c r="R478"/>
  <c r="P478"/>
  <c r="Q478" s="1"/>
  <c r="O478"/>
  <c r="N478"/>
  <c r="V477"/>
  <c r="U477"/>
  <c r="T477"/>
  <c r="S477"/>
  <c r="R477"/>
  <c r="P477"/>
  <c r="Q477" s="1"/>
  <c r="O477"/>
  <c r="N477"/>
  <c r="V476"/>
  <c r="U476"/>
  <c r="T476"/>
  <c r="S476"/>
  <c r="R476"/>
  <c r="P476"/>
  <c r="Q476" s="1"/>
  <c r="O476"/>
  <c r="N476"/>
  <c r="V475"/>
  <c r="U475"/>
  <c r="T475"/>
  <c r="S475"/>
  <c r="R475"/>
  <c r="P475"/>
  <c r="Q475" s="1"/>
  <c r="O475"/>
  <c r="N475"/>
  <c r="V474"/>
  <c r="U474"/>
  <c r="T474"/>
  <c r="S474"/>
  <c r="R474"/>
  <c r="P474"/>
  <c r="Q474" s="1"/>
  <c r="O474"/>
  <c r="N474"/>
  <c r="V473"/>
  <c r="U473"/>
  <c r="T473"/>
  <c r="S473"/>
  <c r="R473"/>
  <c r="P473"/>
  <c r="Q473" s="1"/>
  <c r="O473"/>
  <c r="N473"/>
  <c r="V472"/>
  <c r="U472"/>
  <c r="T472"/>
  <c r="S472"/>
  <c r="R472"/>
  <c r="P472"/>
  <c r="Q472" s="1"/>
  <c r="O472"/>
  <c r="N472"/>
  <c r="V471"/>
  <c r="U471"/>
  <c r="T471"/>
  <c r="S471"/>
  <c r="R471"/>
  <c r="P471"/>
  <c r="Q471" s="1"/>
  <c r="O471"/>
  <c r="N471"/>
  <c r="V470"/>
  <c r="U470"/>
  <c r="T470"/>
  <c r="S470"/>
  <c r="R470"/>
  <c r="P470"/>
  <c r="Q470" s="1"/>
  <c r="O470"/>
  <c r="N470"/>
  <c r="V469"/>
  <c r="U469"/>
  <c r="T469"/>
  <c r="S469"/>
  <c r="R469"/>
  <c r="P469"/>
  <c r="Q469" s="1"/>
  <c r="O469"/>
  <c r="N469"/>
  <c r="V468"/>
  <c r="U468"/>
  <c r="T468"/>
  <c r="S468"/>
  <c r="R468"/>
  <c r="P468"/>
  <c r="Q468" s="1"/>
  <c r="O468"/>
  <c r="N468"/>
  <c r="V467"/>
  <c r="U467"/>
  <c r="T467"/>
  <c r="S467"/>
  <c r="R467"/>
  <c r="P467"/>
  <c r="Q467" s="1"/>
  <c r="O467"/>
  <c r="N467"/>
  <c r="V466"/>
  <c r="U466"/>
  <c r="T466"/>
  <c r="S466"/>
  <c r="R466"/>
  <c r="P466"/>
  <c r="Q466" s="1"/>
  <c r="O466"/>
  <c r="N466"/>
  <c r="V465"/>
  <c r="U465"/>
  <c r="T465"/>
  <c r="S465"/>
  <c r="R465"/>
  <c r="P465"/>
  <c r="Q465" s="1"/>
  <c r="O465"/>
  <c r="N465"/>
  <c r="V464"/>
  <c r="U464"/>
  <c r="T464"/>
  <c r="S464"/>
  <c r="R464"/>
  <c r="P464"/>
  <c r="Q464" s="1"/>
  <c r="O464"/>
  <c r="N464"/>
  <c r="V463"/>
  <c r="U463"/>
  <c r="T463"/>
  <c r="S463"/>
  <c r="R463"/>
  <c r="P463"/>
  <c r="Q463" s="1"/>
  <c r="O463"/>
  <c r="N463"/>
  <c r="V462"/>
  <c r="U462"/>
  <c r="T462"/>
  <c r="S462"/>
  <c r="R462"/>
  <c r="P462"/>
  <c r="Q462" s="1"/>
  <c r="O462"/>
  <c r="N462"/>
  <c r="V461"/>
  <c r="U461"/>
  <c r="T461"/>
  <c r="S461"/>
  <c r="R461"/>
  <c r="P461"/>
  <c r="Q461" s="1"/>
  <c r="O461"/>
  <c r="N461"/>
  <c r="V460"/>
  <c r="U460"/>
  <c r="T460"/>
  <c r="S460"/>
  <c r="R460"/>
  <c r="P460"/>
  <c r="Q460" s="1"/>
  <c r="O460"/>
  <c r="N460"/>
  <c r="V459"/>
  <c r="U459"/>
  <c r="T459"/>
  <c r="S459"/>
  <c r="R459"/>
  <c r="P459"/>
  <c r="Q459" s="1"/>
  <c r="O459"/>
  <c r="N459"/>
  <c r="V458"/>
  <c r="U458"/>
  <c r="T458"/>
  <c r="S458"/>
  <c r="R458"/>
  <c r="P458"/>
  <c r="Q458" s="1"/>
  <c r="O458"/>
  <c r="N458"/>
  <c r="V457"/>
  <c r="U457"/>
  <c r="T457"/>
  <c r="S457"/>
  <c r="R457"/>
  <c r="P457"/>
  <c r="Q457" s="1"/>
  <c r="O457"/>
  <c r="N457"/>
  <c r="V456"/>
  <c r="U456"/>
  <c r="T456"/>
  <c r="S456"/>
  <c r="R456"/>
  <c r="P456"/>
  <c r="Q456" s="1"/>
  <c r="O456"/>
  <c r="N456"/>
  <c r="V455"/>
  <c r="U455"/>
  <c r="T455"/>
  <c r="S455"/>
  <c r="R455"/>
  <c r="P455"/>
  <c r="Q455" s="1"/>
  <c r="O455"/>
  <c r="N455"/>
  <c r="V454"/>
  <c r="U454"/>
  <c r="T454"/>
  <c r="S454"/>
  <c r="R454"/>
  <c r="P454"/>
  <c r="Q454" s="1"/>
  <c r="O454"/>
  <c r="N454"/>
  <c r="V453"/>
  <c r="U453"/>
  <c r="T453"/>
  <c r="S453"/>
  <c r="R453"/>
  <c r="P453"/>
  <c r="Q453" s="1"/>
  <c r="O453"/>
  <c r="N453"/>
  <c r="V452"/>
  <c r="U452"/>
  <c r="T452"/>
  <c r="S452"/>
  <c r="R452"/>
  <c r="P452"/>
  <c r="Q452" s="1"/>
  <c r="O452"/>
  <c r="N452"/>
  <c r="V451"/>
  <c r="U451"/>
  <c r="T451"/>
  <c r="S451"/>
  <c r="R451"/>
  <c r="P451"/>
  <c r="Q451" s="1"/>
  <c r="O451"/>
  <c r="N451"/>
  <c r="V450"/>
  <c r="U450"/>
  <c r="T450"/>
  <c r="S450"/>
  <c r="R450"/>
  <c r="P450"/>
  <c r="Q450" s="1"/>
  <c r="O450"/>
  <c r="N450"/>
  <c r="V449"/>
  <c r="U449"/>
  <c r="T449"/>
  <c r="S449"/>
  <c r="R449"/>
  <c r="P449"/>
  <c r="Q449" s="1"/>
  <c r="O449"/>
  <c r="N449"/>
  <c r="V448"/>
  <c r="U448"/>
  <c r="T448"/>
  <c r="S448"/>
  <c r="R448"/>
  <c r="P448"/>
  <c r="Q448" s="1"/>
  <c r="O448"/>
  <c r="N448"/>
  <c r="V447"/>
  <c r="U447"/>
  <c r="T447"/>
  <c r="S447"/>
  <c r="R447"/>
  <c r="P447"/>
  <c r="Q447" s="1"/>
  <c r="O447"/>
  <c r="N447"/>
  <c r="V446"/>
  <c r="U446"/>
  <c r="T446"/>
  <c r="S446"/>
  <c r="R446"/>
  <c r="P446"/>
  <c r="Q446" s="1"/>
  <c r="O446"/>
  <c r="N446"/>
  <c r="V445"/>
  <c r="U445"/>
  <c r="T445"/>
  <c r="S445"/>
  <c r="R445"/>
  <c r="P445"/>
  <c r="Q445" s="1"/>
  <c r="O445"/>
  <c r="N445"/>
  <c r="V444"/>
  <c r="U444"/>
  <c r="T444"/>
  <c r="S444"/>
  <c r="R444"/>
  <c r="P444"/>
  <c r="Q444" s="1"/>
  <c r="O444"/>
  <c r="N444"/>
  <c r="V443"/>
  <c r="U443"/>
  <c r="T443"/>
  <c r="S443"/>
  <c r="R443"/>
  <c r="P443"/>
  <c r="Q443" s="1"/>
  <c r="O443"/>
  <c r="N443"/>
  <c r="V442"/>
  <c r="U442"/>
  <c r="T442"/>
  <c r="S442"/>
  <c r="R442"/>
  <c r="P442"/>
  <c r="Q442" s="1"/>
  <c r="O442"/>
  <c r="N442"/>
  <c r="V441"/>
  <c r="U441"/>
  <c r="T441"/>
  <c r="S441"/>
  <c r="R441"/>
  <c r="P441"/>
  <c r="Q441" s="1"/>
  <c r="O441"/>
  <c r="N441"/>
  <c r="V440"/>
  <c r="U440"/>
  <c r="T440"/>
  <c r="S440"/>
  <c r="R440"/>
  <c r="P440"/>
  <c r="Q440" s="1"/>
  <c r="O440"/>
  <c r="N440"/>
  <c r="V439"/>
  <c r="U439"/>
  <c r="T439"/>
  <c r="S439"/>
  <c r="R439"/>
  <c r="P439"/>
  <c r="Q439" s="1"/>
  <c r="O439"/>
  <c r="N439"/>
  <c r="V438"/>
  <c r="U438"/>
  <c r="T438"/>
  <c r="S438"/>
  <c r="R438"/>
  <c r="P438"/>
  <c r="Q438" s="1"/>
  <c r="O438"/>
  <c r="N438"/>
  <c r="V437"/>
  <c r="U437"/>
  <c r="T437"/>
  <c r="S437"/>
  <c r="R437"/>
  <c r="P437"/>
  <c r="Q437" s="1"/>
  <c r="O437"/>
  <c r="N437"/>
  <c r="V436"/>
  <c r="U436"/>
  <c r="T436"/>
  <c r="S436"/>
  <c r="R436"/>
  <c r="P436"/>
  <c r="Q436" s="1"/>
  <c r="O436"/>
  <c r="N436"/>
  <c r="V435"/>
  <c r="U435"/>
  <c r="T435"/>
  <c r="S435"/>
  <c r="R435"/>
  <c r="P435"/>
  <c r="Q435" s="1"/>
  <c r="O435"/>
  <c r="N435"/>
  <c r="V434"/>
  <c r="U434"/>
  <c r="T434"/>
  <c r="S434"/>
  <c r="R434"/>
  <c r="P434"/>
  <c r="Q434" s="1"/>
  <c r="O434"/>
  <c r="N434"/>
  <c r="V433"/>
  <c r="U433"/>
  <c r="T433"/>
  <c r="S433"/>
  <c r="R433"/>
  <c r="P433"/>
  <c r="Q433" s="1"/>
  <c r="O433"/>
  <c r="N433"/>
  <c r="V432"/>
  <c r="U432"/>
  <c r="T432"/>
  <c r="S432"/>
  <c r="R432"/>
  <c r="P432"/>
  <c r="Q432" s="1"/>
  <c r="O432"/>
  <c r="N432"/>
  <c r="V431"/>
  <c r="U431"/>
  <c r="T431"/>
  <c r="S431"/>
  <c r="R431"/>
  <c r="P431"/>
  <c r="Q431" s="1"/>
  <c r="O431"/>
  <c r="N431"/>
  <c r="V430"/>
  <c r="U430"/>
  <c r="T430"/>
  <c r="S430"/>
  <c r="R430"/>
  <c r="P430"/>
  <c r="Q430" s="1"/>
  <c r="O430"/>
  <c r="N430"/>
  <c r="V429"/>
  <c r="U429"/>
  <c r="T429"/>
  <c r="S429"/>
  <c r="R429"/>
  <c r="P429"/>
  <c r="Q429" s="1"/>
  <c r="O429"/>
  <c r="N429"/>
  <c r="V428"/>
  <c r="U428"/>
  <c r="T428"/>
  <c r="S428"/>
  <c r="R428"/>
  <c r="P428"/>
  <c r="Q428" s="1"/>
  <c r="O428"/>
  <c r="N428"/>
  <c r="V427"/>
  <c r="U427"/>
  <c r="T427"/>
  <c r="S427"/>
  <c r="R427"/>
  <c r="P427"/>
  <c r="Q427" s="1"/>
  <c r="O427"/>
  <c r="N427"/>
  <c r="V426"/>
  <c r="U426"/>
  <c r="T426"/>
  <c r="S426"/>
  <c r="R426"/>
  <c r="P426"/>
  <c r="Q426" s="1"/>
  <c r="O426"/>
  <c r="N426"/>
  <c r="V425"/>
  <c r="U425"/>
  <c r="T425"/>
  <c r="S425"/>
  <c r="R425"/>
  <c r="P425"/>
  <c r="Q425" s="1"/>
  <c r="O425"/>
  <c r="N425"/>
  <c r="V424"/>
  <c r="U424"/>
  <c r="T424"/>
  <c r="S424"/>
  <c r="R424"/>
  <c r="P424"/>
  <c r="Q424" s="1"/>
  <c r="O424"/>
  <c r="N424"/>
  <c r="V423"/>
  <c r="U423"/>
  <c r="T423"/>
  <c r="S423"/>
  <c r="R423"/>
  <c r="P423"/>
  <c r="Q423" s="1"/>
  <c r="O423"/>
  <c r="N423"/>
  <c r="V422"/>
  <c r="U422"/>
  <c r="T422"/>
  <c r="S422"/>
  <c r="R422"/>
  <c r="P422"/>
  <c r="Q422" s="1"/>
  <c r="O422"/>
  <c r="N422"/>
  <c r="V421"/>
  <c r="U421"/>
  <c r="T421"/>
  <c r="S421"/>
  <c r="R421"/>
  <c r="P421"/>
  <c r="Q421" s="1"/>
  <c r="O421"/>
  <c r="N421"/>
  <c r="V420"/>
  <c r="U420"/>
  <c r="T420"/>
  <c r="S420"/>
  <c r="R420"/>
  <c r="P420"/>
  <c r="Q420" s="1"/>
  <c r="O420"/>
  <c r="N420"/>
  <c r="V419"/>
  <c r="U419"/>
  <c r="T419"/>
  <c r="S419"/>
  <c r="R419"/>
  <c r="P419"/>
  <c r="Q419" s="1"/>
  <c r="O419"/>
  <c r="N419"/>
  <c r="V418"/>
  <c r="U418"/>
  <c r="T418"/>
  <c r="S418"/>
  <c r="R418"/>
  <c r="P418"/>
  <c r="Q418" s="1"/>
  <c r="O418"/>
  <c r="N418"/>
  <c r="V417"/>
  <c r="U417"/>
  <c r="T417"/>
  <c r="S417"/>
  <c r="R417"/>
  <c r="P417"/>
  <c r="Q417" s="1"/>
  <c r="O417"/>
  <c r="N417"/>
  <c r="V416"/>
  <c r="U416"/>
  <c r="T416"/>
  <c r="S416"/>
  <c r="R416"/>
  <c r="P416"/>
  <c r="Q416" s="1"/>
  <c r="O416"/>
  <c r="N416"/>
  <c r="V415"/>
  <c r="U415"/>
  <c r="T415"/>
  <c r="S415"/>
  <c r="R415"/>
  <c r="P415"/>
  <c r="Q415" s="1"/>
  <c r="O415"/>
  <c r="N415"/>
  <c r="V414"/>
  <c r="U414"/>
  <c r="T414"/>
  <c r="S414"/>
  <c r="R414"/>
  <c r="P414"/>
  <c r="Q414" s="1"/>
  <c r="O414"/>
  <c r="N414"/>
  <c r="V413"/>
  <c r="U413"/>
  <c r="T413"/>
  <c r="S413"/>
  <c r="R413"/>
  <c r="P413"/>
  <c r="Q413" s="1"/>
  <c r="O413"/>
  <c r="N413"/>
  <c r="V412"/>
  <c r="U412"/>
  <c r="T412"/>
  <c r="S412"/>
  <c r="R412"/>
  <c r="P412"/>
  <c r="Q412" s="1"/>
  <c r="O412"/>
  <c r="N412"/>
  <c r="V411"/>
  <c r="U411"/>
  <c r="T411"/>
  <c r="S411"/>
  <c r="R411"/>
  <c r="P411"/>
  <c r="Q411" s="1"/>
  <c r="O411"/>
  <c r="N411"/>
  <c r="V410"/>
  <c r="U410"/>
  <c r="T410"/>
  <c r="S410"/>
  <c r="R410"/>
  <c r="P410"/>
  <c r="Q410" s="1"/>
  <c r="O410"/>
  <c r="N410"/>
  <c r="V409"/>
  <c r="U409"/>
  <c r="T409"/>
  <c r="S409"/>
  <c r="R409"/>
  <c r="P409"/>
  <c r="Q409" s="1"/>
  <c r="O409"/>
  <c r="N409"/>
  <c r="V408"/>
  <c r="U408"/>
  <c r="T408"/>
  <c r="S408"/>
  <c r="R408"/>
  <c r="P408"/>
  <c r="Q408" s="1"/>
  <c r="O408"/>
  <c r="N408"/>
  <c r="V407"/>
  <c r="U407"/>
  <c r="T407"/>
  <c r="S407"/>
  <c r="R407"/>
  <c r="P407"/>
  <c r="Q407" s="1"/>
  <c r="O407"/>
  <c r="N407"/>
  <c r="V406"/>
  <c r="U406"/>
  <c r="T406"/>
  <c r="S406"/>
  <c r="R406"/>
  <c r="P406"/>
  <c r="Q406" s="1"/>
  <c r="O406"/>
  <c r="N406"/>
  <c r="V405"/>
  <c r="U405"/>
  <c r="T405"/>
  <c r="S405"/>
  <c r="R405"/>
  <c r="P405"/>
  <c r="Q405" s="1"/>
  <c r="O405"/>
  <c r="N405"/>
  <c r="V404"/>
  <c r="U404"/>
  <c r="T404"/>
  <c r="S404"/>
  <c r="R404"/>
  <c r="P404"/>
  <c r="Q404" s="1"/>
  <c r="O404"/>
  <c r="N404"/>
  <c r="V403"/>
  <c r="U403"/>
  <c r="T403"/>
  <c r="S403"/>
  <c r="R403"/>
  <c r="P403"/>
  <c r="Q403" s="1"/>
  <c r="O403"/>
  <c r="N403"/>
  <c r="V402"/>
  <c r="U402"/>
  <c r="T402"/>
  <c r="S402"/>
  <c r="R402"/>
  <c r="P402"/>
  <c r="Q402" s="1"/>
  <c r="O402"/>
  <c r="N402"/>
  <c r="V401"/>
  <c r="U401"/>
  <c r="T401"/>
  <c r="S401"/>
  <c r="R401"/>
  <c r="P401"/>
  <c r="Q401" s="1"/>
  <c r="O401"/>
  <c r="N401"/>
  <c r="V400"/>
  <c r="U400"/>
  <c r="T400"/>
  <c r="S400"/>
  <c r="R400"/>
  <c r="P400"/>
  <c r="Q400" s="1"/>
  <c r="O400"/>
  <c r="N400"/>
  <c r="V399"/>
  <c r="U399"/>
  <c r="T399"/>
  <c r="S399"/>
  <c r="R399"/>
  <c r="P399"/>
  <c r="Q399" s="1"/>
  <c r="O399"/>
  <c r="N399"/>
  <c r="V398"/>
  <c r="U398"/>
  <c r="T398"/>
  <c r="S398"/>
  <c r="R398"/>
  <c r="P398"/>
  <c r="Q398" s="1"/>
  <c r="O398"/>
  <c r="N398"/>
  <c r="V397"/>
  <c r="U397"/>
  <c r="T397"/>
  <c r="S397"/>
  <c r="R397"/>
  <c r="P397"/>
  <c r="Q397" s="1"/>
  <c r="O397"/>
  <c r="N397"/>
  <c r="V396"/>
  <c r="U396"/>
  <c r="T396"/>
  <c r="S396"/>
  <c r="R396"/>
  <c r="P396"/>
  <c r="Q396" s="1"/>
  <c r="O396"/>
  <c r="N396"/>
  <c r="V395"/>
  <c r="U395"/>
  <c r="T395"/>
  <c r="S395"/>
  <c r="R395"/>
  <c r="P395"/>
  <c r="Q395" s="1"/>
  <c r="O395"/>
  <c r="N395"/>
  <c r="V394"/>
  <c r="U394"/>
  <c r="T394"/>
  <c r="S394"/>
  <c r="R394"/>
  <c r="P394"/>
  <c r="Q394" s="1"/>
  <c r="O394"/>
  <c r="N394"/>
  <c r="V393"/>
  <c r="U393"/>
  <c r="T393"/>
  <c r="S393"/>
  <c r="R393"/>
  <c r="P393"/>
  <c r="Q393" s="1"/>
  <c r="O393"/>
  <c r="N393"/>
  <c r="V392"/>
  <c r="U392"/>
  <c r="T392"/>
  <c r="S392"/>
  <c r="R392"/>
  <c r="P392"/>
  <c r="Q392" s="1"/>
  <c r="O392"/>
  <c r="N392"/>
  <c r="V391"/>
  <c r="U391"/>
  <c r="T391"/>
  <c r="S391"/>
  <c r="R391"/>
  <c r="P391"/>
  <c r="Q391" s="1"/>
  <c r="O391"/>
  <c r="N391"/>
  <c r="V390"/>
  <c r="U390"/>
  <c r="T390"/>
  <c r="S390"/>
  <c r="R390"/>
  <c r="P390"/>
  <c r="Q390" s="1"/>
  <c r="O390"/>
  <c r="N390"/>
  <c r="V389"/>
  <c r="U389"/>
  <c r="T389"/>
  <c r="S389"/>
  <c r="R389"/>
  <c r="P389"/>
  <c r="Q389" s="1"/>
  <c r="O389"/>
  <c r="N389"/>
  <c r="V388"/>
  <c r="U388"/>
  <c r="T388"/>
  <c r="S388"/>
  <c r="R388"/>
  <c r="P388"/>
  <c r="Q388" s="1"/>
  <c r="O388"/>
  <c r="N388"/>
  <c r="V387"/>
  <c r="U387"/>
  <c r="T387"/>
  <c r="S387"/>
  <c r="R387"/>
  <c r="P387"/>
  <c r="Q387" s="1"/>
  <c r="O387"/>
  <c r="N387"/>
  <c r="V386"/>
  <c r="U386"/>
  <c r="T386"/>
  <c r="S386"/>
  <c r="R386"/>
  <c r="P386"/>
  <c r="Q386" s="1"/>
  <c r="O386"/>
  <c r="N386"/>
  <c r="V385"/>
  <c r="U385"/>
  <c r="T385"/>
  <c r="S385"/>
  <c r="R385"/>
  <c r="P385"/>
  <c r="Q385" s="1"/>
  <c r="O385"/>
  <c r="N385"/>
  <c r="V384"/>
  <c r="U384"/>
  <c r="T384"/>
  <c r="S384"/>
  <c r="R384"/>
  <c r="P384"/>
  <c r="Q384" s="1"/>
  <c r="O384"/>
  <c r="N384"/>
  <c r="V383"/>
  <c r="U383"/>
  <c r="T383"/>
  <c r="S383"/>
  <c r="R383"/>
  <c r="P383"/>
  <c r="Q383" s="1"/>
  <c r="O383"/>
  <c r="N383"/>
  <c r="V382"/>
  <c r="U382"/>
  <c r="T382"/>
  <c r="S382"/>
  <c r="R382"/>
  <c r="P382"/>
  <c r="Q382" s="1"/>
  <c r="O382"/>
  <c r="N382"/>
  <c r="V381"/>
  <c r="U381"/>
  <c r="T381"/>
  <c r="S381"/>
  <c r="R381"/>
  <c r="P381"/>
  <c r="Q381" s="1"/>
  <c r="O381"/>
  <c r="N381"/>
  <c r="V380"/>
  <c r="U380"/>
  <c r="T380"/>
  <c r="S380"/>
  <c r="R380"/>
  <c r="P380"/>
  <c r="Q380" s="1"/>
  <c r="O380"/>
  <c r="N380"/>
  <c r="V379"/>
  <c r="U379"/>
  <c r="T379"/>
  <c r="S379"/>
  <c r="R379"/>
  <c r="P379"/>
  <c r="Q379" s="1"/>
  <c r="O379"/>
  <c r="N379"/>
  <c r="V378"/>
  <c r="U378"/>
  <c r="T378"/>
  <c r="S378"/>
  <c r="R378"/>
  <c r="P378"/>
  <c r="Q378" s="1"/>
  <c r="O378"/>
  <c r="N378"/>
  <c r="V377"/>
  <c r="C16" i="4" s="1"/>
  <c r="U377" i="1"/>
  <c r="T377"/>
  <c r="S377"/>
  <c r="R377"/>
  <c r="P377"/>
  <c r="Q377" s="1"/>
  <c r="O377"/>
  <c r="N377"/>
  <c r="V376"/>
  <c r="U376"/>
  <c r="T376"/>
  <c r="S376"/>
  <c r="R376"/>
  <c r="P376"/>
  <c r="Q376" s="1"/>
  <c r="O376"/>
  <c r="N376"/>
  <c r="V375"/>
  <c r="U375"/>
  <c r="T375"/>
  <c r="S375"/>
  <c r="R375"/>
  <c r="P375"/>
  <c r="Q375" s="1"/>
  <c r="O375"/>
  <c r="N375"/>
  <c r="V374"/>
  <c r="U374"/>
  <c r="T374"/>
  <c r="S374"/>
  <c r="R374"/>
  <c r="P374"/>
  <c r="Q374" s="1"/>
  <c r="O374"/>
  <c r="N374"/>
  <c r="V373"/>
  <c r="U373"/>
  <c r="T373"/>
  <c r="S373"/>
  <c r="R373"/>
  <c r="P373"/>
  <c r="Q373" s="1"/>
  <c r="O373"/>
  <c r="N373"/>
  <c r="V372"/>
  <c r="U372"/>
  <c r="T372"/>
  <c r="S372"/>
  <c r="R372"/>
  <c r="P372"/>
  <c r="Q372" s="1"/>
  <c r="O372"/>
  <c r="N372"/>
  <c r="V371"/>
  <c r="U371"/>
  <c r="T371"/>
  <c r="S371"/>
  <c r="R371"/>
  <c r="P371"/>
  <c r="Q371" s="1"/>
  <c r="O371"/>
  <c r="N371"/>
  <c r="V370"/>
  <c r="U370"/>
  <c r="T370"/>
  <c r="S370"/>
  <c r="R370"/>
  <c r="P370"/>
  <c r="Q370" s="1"/>
  <c r="O370"/>
  <c r="N370"/>
  <c r="V369"/>
  <c r="U369"/>
  <c r="T369"/>
  <c r="S369"/>
  <c r="R369"/>
  <c r="P369"/>
  <c r="Q369" s="1"/>
  <c r="O369"/>
  <c r="N369"/>
  <c r="V368"/>
  <c r="U368"/>
  <c r="T368"/>
  <c r="S368"/>
  <c r="R368"/>
  <c r="P368"/>
  <c r="Q368" s="1"/>
  <c r="O368"/>
  <c r="N368"/>
  <c r="V367"/>
  <c r="U367"/>
  <c r="T367"/>
  <c r="S367"/>
  <c r="R367"/>
  <c r="P367"/>
  <c r="Q367" s="1"/>
  <c r="O367"/>
  <c r="N367"/>
  <c r="V366"/>
  <c r="U366"/>
  <c r="T366"/>
  <c r="S366"/>
  <c r="R366"/>
  <c r="P366"/>
  <c r="Q366" s="1"/>
  <c r="O366"/>
  <c r="N366"/>
  <c r="V365"/>
  <c r="U365"/>
  <c r="T365"/>
  <c r="S365"/>
  <c r="R365"/>
  <c r="P365"/>
  <c r="Q365" s="1"/>
  <c r="O365"/>
  <c r="N365"/>
  <c r="V364"/>
  <c r="U364"/>
  <c r="T364"/>
  <c r="S364"/>
  <c r="R364"/>
  <c r="P364"/>
  <c r="Q364" s="1"/>
  <c r="O364"/>
  <c r="N364"/>
  <c r="V363"/>
  <c r="U363"/>
  <c r="T363"/>
  <c r="S363"/>
  <c r="R363"/>
  <c r="P363"/>
  <c r="Q363" s="1"/>
  <c r="O363"/>
  <c r="N363"/>
  <c r="V362"/>
  <c r="U362"/>
  <c r="T362"/>
  <c r="S362"/>
  <c r="R362"/>
  <c r="P362"/>
  <c r="Q362" s="1"/>
  <c r="O362"/>
  <c r="N362"/>
  <c r="V361"/>
  <c r="U361"/>
  <c r="T361"/>
  <c r="S361"/>
  <c r="R361"/>
  <c r="P361"/>
  <c r="Q361" s="1"/>
  <c r="O361"/>
  <c r="N361"/>
  <c r="V360"/>
  <c r="U360"/>
  <c r="T360"/>
  <c r="S360"/>
  <c r="R360"/>
  <c r="P360"/>
  <c r="Q360" s="1"/>
  <c r="O360"/>
  <c r="N360"/>
  <c r="V359"/>
  <c r="U359"/>
  <c r="T359"/>
  <c r="S359"/>
  <c r="R359"/>
  <c r="P359"/>
  <c r="Q359" s="1"/>
  <c r="O359"/>
  <c r="N359"/>
  <c r="V358"/>
  <c r="U358"/>
  <c r="T358"/>
  <c r="S358"/>
  <c r="R358"/>
  <c r="P358"/>
  <c r="Q358" s="1"/>
  <c r="O358"/>
  <c r="N358"/>
  <c r="V357"/>
  <c r="U357"/>
  <c r="T357"/>
  <c r="S357"/>
  <c r="R357"/>
  <c r="P357"/>
  <c r="Q357" s="1"/>
  <c r="O357"/>
  <c r="N357"/>
  <c r="V356"/>
  <c r="U356"/>
  <c r="T356"/>
  <c r="S356"/>
  <c r="R356"/>
  <c r="P356"/>
  <c r="Q356" s="1"/>
  <c r="O356"/>
  <c r="N356"/>
  <c r="V355"/>
  <c r="U355"/>
  <c r="T355"/>
  <c r="S355"/>
  <c r="R355"/>
  <c r="P355"/>
  <c r="Q355" s="1"/>
  <c r="O355"/>
  <c r="N355"/>
  <c r="V354"/>
  <c r="U354"/>
  <c r="T354"/>
  <c r="S354"/>
  <c r="R354"/>
  <c r="P354"/>
  <c r="Q354" s="1"/>
  <c r="O354"/>
  <c r="N354"/>
  <c r="V353"/>
  <c r="U353"/>
  <c r="T353"/>
  <c r="S353"/>
  <c r="R353"/>
  <c r="P353"/>
  <c r="Q353" s="1"/>
  <c r="O353"/>
  <c r="N353"/>
  <c r="V352"/>
  <c r="U352"/>
  <c r="T352"/>
  <c r="S352"/>
  <c r="R352"/>
  <c r="P352"/>
  <c r="Q352" s="1"/>
  <c r="O352"/>
  <c r="N352"/>
  <c r="V351"/>
  <c r="U351"/>
  <c r="T351"/>
  <c r="S351"/>
  <c r="R351"/>
  <c r="P351"/>
  <c r="Q351" s="1"/>
  <c r="O351"/>
  <c r="N351"/>
  <c r="V350"/>
  <c r="U350"/>
  <c r="T350"/>
  <c r="S350"/>
  <c r="R350"/>
  <c r="P350"/>
  <c r="Q350" s="1"/>
  <c r="O350"/>
  <c r="N350"/>
  <c r="V349"/>
  <c r="U349"/>
  <c r="T349"/>
  <c r="S349"/>
  <c r="R349"/>
  <c r="P349"/>
  <c r="Q349" s="1"/>
  <c r="O349"/>
  <c r="N349"/>
  <c r="V348"/>
  <c r="U348"/>
  <c r="T348"/>
  <c r="S348"/>
  <c r="R348"/>
  <c r="P348"/>
  <c r="Q348" s="1"/>
  <c r="O348"/>
  <c r="N348"/>
  <c r="V347"/>
  <c r="U347"/>
  <c r="T347"/>
  <c r="S347"/>
  <c r="R347"/>
  <c r="P347"/>
  <c r="Q347" s="1"/>
  <c r="O347"/>
  <c r="N347"/>
  <c r="V346"/>
  <c r="U346"/>
  <c r="T346"/>
  <c r="S346"/>
  <c r="R346"/>
  <c r="P346"/>
  <c r="Q346" s="1"/>
  <c r="O346"/>
  <c r="N346"/>
  <c r="V345"/>
  <c r="U345"/>
  <c r="T345"/>
  <c r="S345"/>
  <c r="R345"/>
  <c r="P345"/>
  <c r="Q345" s="1"/>
  <c r="O345"/>
  <c r="N345"/>
  <c r="V344"/>
  <c r="U344"/>
  <c r="T344"/>
  <c r="S344"/>
  <c r="R344"/>
  <c r="P344"/>
  <c r="Q344" s="1"/>
  <c r="O344"/>
  <c r="N344"/>
  <c r="V343"/>
  <c r="U343"/>
  <c r="T343"/>
  <c r="S343"/>
  <c r="R343"/>
  <c r="P343"/>
  <c r="Q343" s="1"/>
  <c r="O343"/>
  <c r="N343"/>
  <c r="V342"/>
  <c r="U342"/>
  <c r="T342"/>
  <c r="S342"/>
  <c r="R342"/>
  <c r="P342"/>
  <c r="Q342" s="1"/>
  <c r="O342"/>
  <c r="N342"/>
  <c r="V341"/>
  <c r="U341"/>
  <c r="T341"/>
  <c r="S341"/>
  <c r="R341"/>
  <c r="P341"/>
  <c r="Q341" s="1"/>
  <c r="O341"/>
  <c r="N341"/>
  <c r="V340"/>
  <c r="U340"/>
  <c r="T340"/>
  <c r="S340"/>
  <c r="R340"/>
  <c r="P340"/>
  <c r="Q340" s="1"/>
  <c r="O340"/>
  <c r="N340"/>
  <c r="V339"/>
  <c r="U339"/>
  <c r="T339"/>
  <c r="S339"/>
  <c r="R339"/>
  <c r="P339"/>
  <c r="Q339" s="1"/>
  <c r="O339"/>
  <c r="N339"/>
  <c r="V338"/>
  <c r="U338"/>
  <c r="T338"/>
  <c r="S338"/>
  <c r="R338"/>
  <c r="P338"/>
  <c r="Q338" s="1"/>
  <c r="O338"/>
  <c r="N338"/>
  <c r="V337"/>
  <c r="U337"/>
  <c r="T337"/>
  <c r="S337"/>
  <c r="R337"/>
  <c r="P337"/>
  <c r="Q337" s="1"/>
  <c r="O337"/>
  <c r="N337"/>
  <c r="V336"/>
  <c r="U336"/>
  <c r="T336"/>
  <c r="S336"/>
  <c r="R336"/>
  <c r="P336"/>
  <c r="Q336" s="1"/>
  <c r="O336"/>
  <c r="N336"/>
  <c r="V335"/>
  <c r="U335"/>
  <c r="T335"/>
  <c r="S335"/>
  <c r="R335"/>
  <c r="P335"/>
  <c r="Q335" s="1"/>
  <c r="O335"/>
  <c r="N335"/>
  <c r="V334"/>
  <c r="U334"/>
  <c r="T334"/>
  <c r="S334"/>
  <c r="R334"/>
  <c r="P334"/>
  <c r="Q334" s="1"/>
  <c r="O334"/>
  <c r="N334"/>
  <c r="V333"/>
  <c r="U333"/>
  <c r="T333"/>
  <c r="S333"/>
  <c r="R333"/>
  <c r="P333"/>
  <c r="Q333" s="1"/>
  <c r="O333"/>
  <c r="N333"/>
  <c r="V332"/>
  <c r="U332"/>
  <c r="T332"/>
  <c r="S332"/>
  <c r="R332"/>
  <c r="P332"/>
  <c r="Q332" s="1"/>
  <c r="O332"/>
  <c r="N332"/>
  <c r="V331"/>
  <c r="U331"/>
  <c r="T331"/>
  <c r="S331"/>
  <c r="R331"/>
  <c r="P331"/>
  <c r="Q331" s="1"/>
  <c r="O331"/>
  <c r="N331"/>
  <c r="V330"/>
  <c r="U330"/>
  <c r="T330"/>
  <c r="S330"/>
  <c r="R330"/>
  <c r="P330"/>
  <c r="Q330" s="1"/>
  <c r="O330"/>
  <c r="N330"/>
  <c r="V329"/>
  <c r="U329"/>
  <c r="T329"/>
  <c r="S329"/>
  <c r="R329"/>
  <c r="P329"/>
  <c r="Q329" s="1"/>
  <c r="O329"/>
  <c r="N329"/>
  <c r="V328"/>
  <c r="U328"/>
  <c r="T328"/>
  <c r="S328"/>
  <c r="R328"/>
  <c r="P328"/>
  <c r="Q328" s="1"/>
  <c r="O328"/>
  <c r="N328"/>
  <c r="V327"/>
  <c r="U327"/>
  <c r="T327"/>
  <c r="S327"/>
  <c r="R327"/>
  <c r="P327"/>
  <c r="Q327" s="1"/>
  <c r="O327"/>
  <c r="N327"/>
  <c r="V326"/>
  <c r="U326"/>
  <c r="T326"/>
  <c r="S326"/>
  <c r="R326"/>
  <c r="P326"/>
  <c r="Q326" s="1"/>
  <c r="O326"/>
  <c r="N326"/>
  <c r="V325"/>
  <c r="U325"/>
  <c r="T325"/>
  <c r="S325"/>
  <c r="R325"/>
  <c r="P325"/>
  <c r="Q325" s="1"/>
  <c r="O325"/>
  <c r="N325"/>
  <c r="V324"/>
  <c r="U324"/>
  <c r="T324"/>
  <c r="S324"/>
  <c r="R324"/>
  <c r="P324"/>
  <c r="Q324" s="1"/>
  <c r="O324"/>
  <c r="N324"/>
  <c r="V323"/>
  <c r="U323"/>
  <c r="T323"/>
  <c r="S323"/>
  <c r="R323"/>
  <c r="P323"/>
  <c r="Q323" s="1"/>
  <c r="O323"/>
  <c r="N323"/>
  <c r="V322"/>
  <c r="U322"/>
  <c r="T322"/>
  <c r="S322"/>
  <c r="R322"/>
  <c r="P322"/>
  <c r="Q322" s="1"/>
  <c r="O322"/>
  <c r="N322"/>
  <c r="V321"/>
  <c r="U321"/>
  <c r="T321"/>
  <c r="S321"/>
  <c r="R321"/>
  <c r="P321"/>
  <c r="Q321" s="1"/>
  <c r="O321"/>
  <c r="N321"/>
  <c r="V320"/>
  <c r="U320"/>
  <c r="T320"/>
  <c r="S320"/>
  <c r="R320"/>
  <c r="P320"/>
  <c r="Q320" s="1"/>
  <c r="O320"/>
  <c r="N320"/>
  <c r="V319"/>
  <c r="U319"/>
  <c r="T319"/>
  <c r="S319"/>
  <c r="R319"/>
  <c r="P319"/>
  <c r="Q319" s="1"/>
  <c r="O319"/>
  <c r="N319"/>
  <c r="V318"/>
  <c r="U318"/>
  <c r="T318"/>
  <c r="S318"/>
  <c r="R318"/>
  <c r="P318"/>
  <c r="Q318" s="1"/>
  <c r="O318"/>
  <c r="N318"/>
  <c r="V317"/>
  <c r="U317"/>
  <c r="T317"/>
  <c r="S317"/>
  <c r="R317"/>
  <c r="P317"/>
  <c r="Q317" s="1"/>
  <c r="O317"/>
  <c r="N317"/>
  <c r="V316"/>
  <c r="U316"/>
  <c r="T316"/>
  <c r="S316"/>
  <c r="R316"/>
  <c r="P316"/>
  <c r="Q316" s="1"/>
  <c r="O316"/>
  <c r="N316"/>
  <c r="V315"/>
  <c r="U315"/>
  <c r="T315"/>
  <c r="S315"/>
  <c r="R315"/>
  <c r="P315"/>
  <c r="Q315" s="1"/>
  <c r="O315"/>
  <c r="N315"/>
  <c r="V314"/>
  <c r="U314"/>
  <c r="T314"/>
  <c r="S314"/>
  <c r="R314"/>
  <c r="P314"/>
  <c r="Q314" s="1"/>
  <c r="O314"/>
  <c r="N314"/>
  <c r="V313"/>
  <c r="U313"/>
  <c r="T313"/>
  <c r="S313"/>
  <c r="R313"/>
  <c r="P313"/>
  <c r="Q313" s="1"/>
  <c r="O313"/>
  <c r="N313"/>
  <c r="V312"/>
  <c r="U312"/>
  <c r="T312"/>
  <c r="S312"/>
  <c r="R312"/>
  <c r="P312"/>
  <c r="Q312" s="1"/>
  <c r="O312"/>
  <c r="N312"/>
  <c r="V311"/>
  <c r="U311"/>
  <c r="T311"/>
  <c r="S311"/>
  <c r="R311"/>
  <c r="P311"/>
  <c r="Q311" s="1"/>
  <c r="O311"/>
  <c r="N311"/>
  <c r="V310"/>
  <c r="U310"/>
  <c r="T310"/>
  <c r="S310"/>
  <c r="R310"/>
  <c r="P310"/>
  <c r="Q310" s="1"/>
  <c r="O310"/>
  <c r="N310"/>
  <c r="V309"/>
  <c r="U309"/>
  <c r="T309"/>
  <c r="S309"/>
  <c r="R309"/>
  <c r="P309"/>
  <c r="Q309" s="1"/>
  <c r="O309"/>
  <c r="N309"/>
  <c r="V308"/>
  <c r="U308"/>
  <c r="T308"/>
  <c r="S308"/>
  <c r="R308"/>
  <c r="P308"/>
  <c r="Q308" s="1"/>
  <c r="O308"/>
  <c r="N308"/>
  <c r="V307"/>
  <c r="U307"/>
  <c r="T307"/>
  <c r="S307"/>
  <c r="R307"/>
  <c r="P307"/>
  <c r="Q307" s="1"/>
  <c r="O307"/>
  <c r="N307"/>
  <c r="V306"/>
  <c r="U306"/>
  <c r="T306"/>
  <c r="S306"/>
  <c r="R306"/>
  <c r="P306"/>
  <c r="Q306" s="1"/>
  <c r="O306"/>
  <c r="N306"/>
  <c r="V305"/>
  <c r="U305"/>
  <c r="T305"/>
  <c r="S305"/>
  <c r="R305"/>
  <c r="P305"/>
  <c r="Q305" s="1"/>
  <c r="O305"/>
  <c r="N305"/>
  <c r="V304"/>
  <c r="U304"/>
  <c r="T304"/>
  <c r="S304"/>
  <c r="R304"/>
  <c r="P304"/>
  <c r="Q304" s="1"/>
  <c r="O304"/>
  <c r="N304"/>
  <c r="V303"/>
  <c r="U303"/>
  <c r="T303"/>
  <c r="S303"/>
  <c r="R303"/>
  <c r="P303"/>
  <c r="Q303" s="1"/>
  <c r="O303"/>
  <c r="N303"/>
  <c r="V302"/>
  <c r="U302"/>
  <c r="T302"/>
  <c r="S302"/>
  <c r="R302"/>
  <c r="P302"/>
  <c r="Q302" s="1"/>
  <c r="O302"/>
  <c r="N302"/>
  <c r="V301"/>
  <c r="U301"/>
  <c r="T301"/>
  <c r="S301"/>
  <c r="R301"/>
  <c r="P301"/>
  <c r="Q301" s="1"/>
  <c r="O301"/>
  <c r="N301"/>
  <c r="V300"/>
  <c r="U300"/>
  <c r="T300"/>
  <c r="S300"/>
  <c r="R300"/>
  <c r="P300"/>
  <c r="Q300" s="1"/>
  <c r="O300"/>
  <c r="N300"/>
  <c r="V299"/>
  <c r="U299"/>
  <c r="T299"/>
  <c r="S299"/>
  <c r="R299"/>
  <c r="P299"/>
  <c r="Q299" s="1"/>
  <c r="O299"/>
  <c r="N299"/>
  <c r="V298"/>
  <c r="U298"/>
  <c r="T298"/>
  <c r="S298"/>
  <c r="R298"/>
  <c r="P298"/>
  <c r="Q298" s="1"/>
  <c r="O298"/>
  <c r="N298"/>
  <c r="V297"/>
  <c r="U297"/>
  <c r="T297"/>
  <c r="S297"/>
  <c r="R297"/>
  <c r="P297"/>
  <c r="Q297" s="1"/>
  <c r="O297"/>
  <c r="N297"/>
  <c r="V296"/>
  <c r="U296"/>
  <c r="T296"/>
  <c r="S296"/>
  <c r="R296"/>
  <c r="P296"/>
  <c r="Q296" s="1"/>
  <c r="O296"/>
  <c r="N296"/>
  <c r="V295"/>
  <c r="U295"/>
  <c r="T295"/>
  <c r="S295"/>
  <c r="R295"/>
  <c r="P295"/>
  <c r="Q295" s="1"/>
  <c r="O295"/>
  <c r="N295"/>
  <c r="V294"/>
  <c r="U294"/>
  <c r="T294"/>
  <c r="S294"/>
  <c r="R294"/>
  <c r="P294"/>
  <c r="Q294" s="1"/>
  <c r="O294"/>
  <c r="N294"/>
  <c r="V293"/>
  <c r="U293"/>
  <c r="T293"/>
  <c r="S293"/>
  <c r="R293"/>
  <c r="P293"/>
  <c r="Q293" s="1"/>
  <c r="O293"/>
  <c r="N293"/>
  <c r="V292"/>
  <c r="U292"/>
  <c r="T292"/>
  <c r="S292"/>
  <c r="R292"/>
  <c r="P292"/>
  <c r="Q292" s="1"/>
  <c r="O292"/>
  <c r="N292"/>
  <c r="V291"/>
  <c r="U291"/>
  <c r="T291"/>
  <c r="S291"/>
  <c r="R291"/>
  <c r="P291"/>
  <c r="Q291" s="1"/>
  <c r="O291"/>
  <c r="N291"/>
  <c r="V290"/>
  <c r="U290"/>
  <c r="T290"/>
  <c r="S290"/>
  <c r="R290"/>
  <c r="P290"/>
  <c r="Q290" s="1"/>
  <c r="O290"/>
  <c r="N290"/>
  <c r="V289"/>
  <c r="U289"/>
  <c r="T289"/>
  <c r="S289"/>
  <c r="R289"/>
  <c r="P289"/>
  <c r="Q289" s="1"/>
  <c r="O289"/>
  <c r="N289"/>
  <c r="V288"/>
  <c r="U288"/>
  <c r="T288"/>
  <c r="S288"/>
  <c r="R288"/>
  <c r="P288"/>
  <c r="Q288" s="1"/>
  <c r="O288"/>
  <c r="N288"/>
  <c r="V287"/>
  <c r="U287"/>
  <c r="T287"/>
  <c r="S287"/>
  <c r="R287"/>
  <c r="P287"/>
  <c r="Q287" s="1"/>
  <c r="O287"/>
  <c r="N287"/>
  <c r="V286"/>
  <c r="U286"/>
  <c r="T286"/>
  <c r="S286"/>
  <c r="R286"/>
  <c r="P286"/>
  <c r="Q286" s="1"/>
  <c r="O286"/>
  <c r="N286"/>
  <c r="V285"/>
  <c r="U285"/>
  <c r="T285"/>
  <c r="S285"/>
  <c r="R285"/>
  <c r="P285"/>
  <c r="Q285" s="1"/>
  <c r="O285"/>
  <c r="N285"/>
  <c r="V284"/>
  <c r="U284"/>
  <c r="T284"/>
  <c r="S284"/>
  <c r="R284"/>
  <c r="P284"/>
  <c r="Q284" s="1"/>
  <c r="O284"/>
  <c r="N284"/>
  <c r="V283"/>
  <c r="U283"/>
  <c r="T283"/>
  <c r="S283"/>
  <c r="R283"/>
  <c r="P283"/>
  <c r="Q283" s="1"/>
  <c r="O283"/>
  <c r="N283"/>
  <c r="V282"/>
  <c r="U282"/>
  <c r="T282"/>
  <c r="S282"/>
  <c r="R282"/>
  <c r="P282"/>
  <c r="Q282" s="1"/>
  <c r="O282"/>
  <c r="N282"/>
  <c r="V281"/>
  <c r="U281"/>
  <c r="T281"/>
  <c r="S281"/>
  <c r="R281"/>
  <c r="P281"/>
  <c r="Q281" s="1"/>
  <c r="O281"/>
  <c r="N281"/>
  <c r="V280"/>
  <c r="U280"/>
  <c r="T280"/>
  <c r="S280"/>
  <c r="R280"/>
  <c r="P280"/>
  <c r="Q280" s="1"/>
  <c r="O280"/>
  <c r="N280"/>
  <c r="V279"/>
  <c r="U279"/>
  <c r="T279"/>
  <c r="S279"/>
  <c r="R279"/>
  <c r="P279"/>
  <c r="Q279" s="1"/>
  <c r="O279"/>
  <c r="N279"/>
  <c r="V278"/>
  <c r="U278"/>
  <c r="T278"/>
  <c r="S278"/>
  <c r="R278"/>
  <c r="P278"/>
  <c r="Q278" s="1"/>
  <c r="O278"/>
  <c r="N278"/>
  <c r="V277"/>
  <c r="U277"/>
  <c r="T277"/>
  <c r="S277"/>
  <c r="R277"/>
  <c r="P277"/>
  <c r="Q277" s="1"/>
  <c r="O277"/>
  <c r="N277"/>
  <c r="V276"/>
  <c r="U276"/>
  <c r="T276"/>
  <c r="S276"/>
  <c r="R276"/>
  <c r="P276"/>
  <c r="Q276" s="1"/>
  <c r="O276"/>
  <c r="N276"/>
  <c r="V275"/>
  <c r="U275"/>
  <c r="T275"/>
  <c r="S275"/>
  <c r="R275"/>
  <c r="P275"/>
  <c r="Q275" s="1"/>
  <c r="O275"/>
  <c r="N275"/>
  <c r="V274"/>
  <c r="U274"/>
  <c r="T274"/>
  <c r="S274"/>
  <c r="R274"/>
  <c r="P274"/>
  <c r="Q274" s="1"/>
  <c r="O274"/>
  <c r="N274"/>
  <c r="V273"/>
  <c r="U273"/>
  <c r="T273"/>
  <c r="S273"/>
  <c r="R273"/>
  <c r="P273"/>
  <c r="Q273" s="1"/>
  <c r="O273"/>
  <c r="N273"/>
  <c r="V272"/>
  <c r="U272"/>
  <c r="T272"/>
  <c r="S272"/>
  <c r="R272"/>
  <c r="P272"/>
  <c r="Q272" s="1"/>
  <c r="O272"/>
  <c r="N272"/>
  <c r="V271"/>
  <c r="U271"/>
  <c r="T271"/>
  <c r="S271"/>
  <c r="R271"/>
  <c r="P271"/>
  <c r="Q271" s="1"/>
  <c r="O271"/>
  <c r="N271"/>
  <c r="V270"/>
  <c r="U270"/>
  <c r="T270"/>
  <c r="S270"/>
  <c r="R270"/>
  <c r="P270"/>
  <c r="Q270" s="1"/>
  <c r="O270"/>
  <c r="N270"/>
  <c r="V269"/>
  <c r="U269"/>
  <c r="T269"/>
  <c r="S269"/>
  <c r="R269"/>
  <c r="P269"/>
  <c r="Q269" s="1"/>
  <c r="O269"/>
  <c r="N269"/>
  <c r="V268"/>
  <c r="U268"/>
  <c r="T268"/>
  <c r="S268"/>
  <c r="R268"/>
  <c r="P268"/>
  <c r="Q268" s="1"/>
  <c r="O268"/>
  <c r="N268"/>
  <c r="V267"/>
  <c r="U267"/>
  <c r="T267"/>
  <c r="S267"/>
  <c r="R267"/>
  <c r="P267"/>
  <c r="Q267" s="1"/>
  <c r="O267"/>
  <c r="N267"/>
  <c r="V266"/>
  <c r="U266"/>
  <c r="T266"/>
  <c r="S266"/>
  <c r="R266"/>
  <c r="P266"/>
  <c r="Q266" s="1"/>
  <c r="O266"/>
  <c r="N266"/>
  <c r="V265"/>
  <c r="U265"/>
  <c r="T265"/>
  <c r="S265"/>
  <c r="R265"/>
  <c r="P265"/>
  <c r="Q265" s="1"/>
  <c r="O265"/>
  <c r="N265"/>
  <c r="V264"/>
  <c r="U264"/>
  <c r="T264"/>
  <c r="S264"/>
  <c r="R264"/>
  <c r="P264"/>
  <c r="Q264" s="1"/>
  <c r="O264"/>
  <c r="N264"/>
  <c r="V263"/>
  <c r="U263"/>
  <c r="T263"/>
  <c r="S263"/>
  <c r="R263"/>
  <c r="P263"/>
  <c r="Q263" s="1"/>
  <c r="O263"/>
  <c r="N263"/>
  <c r="V262"/>
  <c r="U262"/>
  <c r="T262"/>
  <c r="S262"/>
  <c r="R262"/>
  <c r="P262"/>
  <c r="Q262" s="1"/>
  <c r="O262"/>
  <c r="N262"/>
  <c r="V261"/>
  <c r="U261"/>
  <c r="T261"/>
  <c r="S261"/>
  <c r="R261"/>
  <c r="P261"/>
  <c r="Q261" s="1"/>
  <c r="O261"/>
  <c r="N261"/>
  <c r="V260"/>
  <c r="U260"/>
  <c r="T260"/>
  <c r="S260"/>
  <c r="R260"/>
  <c r="P260"/>
  <c r="Q260" s="1"/>
  <c r="O260"/>
  <c r="N260"/>
  <c r="V259"/>
  <c r="U259"/>
  <c r="T259"/>
  <c r="S259"/>
  <c r="R259"/>
  <c r="P259"/>
  <c r="Q259" s="1"/>
  <c r="O259"/>
  <c r="N259"/>
  <c r="V258"/>
  <c r="U258"/>
  <c r="T258"/>
  <c r="S258"/>
  <c r="R258"/>
  <c r="P258"/>
  <c r="Q258" s="1"/>
  <c r="O258"/>
  <c r="N258"/>
  <c r="V257"/>
  <c r="U257"/>
  <c r="T257"/>
  <c r="S257"/>
  <c r="R257"/>
  <c r="P257"/>
  <c r="Q257" s="1"/>
  <c r="O257"/>
  <c r="N257"/>
  <c r="V256"/>
  <c r="U256"/>
  <c r="T256"/>
  <c r="S256"/>
  <c r="R256"/>
  <c r="P256"/>
  <c r="Q256" s="1"/>
  <c r="O256"/>
  <c r="N256"/>
  <c r="V255"/>
  <c r="U255"/>
  <c r="T255"/>
  <c r="S255"/>
  <c r="R255"/>
  <c r="P255"/>
  <c r="Q255" s="1"/>
  <c r="O255"/>
  <c r="N255"/>
  <c r="V254"/>
  <c r="U254"/>
  <c r="T254"/>
  <c r="S254"/>
  <c r="R254"/>
  <c r="P254"/>
  <c r="Q254" s="1"/>
  <c r="O254"/>
  <c r="N254"/>
  <c r="V253"/>
  <c r="U253"/>
  <c r="T253"/>
  <c r="S253"/>
  <c r="R253"/>
  <c r="P253"/>
  <c r="Q253" s="1"/>
  <c r="O253"/>
  <c r="N253"/>
  <c r="V252"/>
  <c r="U252"/>
  <c r="T252"/>
  <c r="S252"/>
  <c r="R252"/>
  <c r="P252"/>
  <c r="Q252" s="1"/>
  <c r="O252"/>
  <c r="N252"/>
  <c r="V251"/>
  <c r="U251"/>
  <c r="T251"/>
  <c r="S251"/>
  <c r="R251"/>
  <c r="P251"/>
  <c r="Q251" s="1"/>
  <c r="O251"/>
  <c r="N251"/>
  <c r="V250"/>
  <c r="U250"/>
  <c r="T250"/>
  <c r="S250"/>
  <c r="R250"/>
  <c r="P250"/>
  <c r="Q250" s="1"/>
  <c r="O250"/>
  <c r="N250"/>
  <c r="V249"/>
  <c r="U249"/>
  <c r="T249"/>
  <c r="S249"/>
  <c r="R249"/>
  <c r="P249"/>
  <c r="Q249" s="1"/>
  <c r="O249"/>
  <c r="N249"/>
  <c r="V248"/>
  <c r="U248"/>
  <c r="T248"/>
  <c r="S248"/>
  <c r="R248"/>
  <c r="P248"/>
  <c r="Q248" s="1"/>
  <c r="O248"/>
  <c r="N248"/>
  <c r="V247"/>
  <c r="U247"/>
  <c r="T247"/>
  <c r="S247"/>
  <c r="R247"/>
  <c r="P247"/>
  <c r="Q247" s="1"/>
  <c r="O247"/>
  <c r="N247"/>
  <c r="V246"/>
  <c r="U246"/>
  <c r="T246"/>
  <c r="S246"/>
  <c r="R246"/>
  <c r="P246"/>
  <c r="Q246" s="1"/>
  <c r="O246"/>
  <c r="N246"/>
  <c r="V245"/>
  <c r="U245"/>
  <c r="T245"/>
  <c r="S245"/>
  <c r="R245"/>
  <c r="P245"/>
  <c r="Q245" s="1"/>
  <c r="O245"/>
  <c r="N245"/>
  <c r="V244"/>
  <c r="U244"/>
  <c r="T244"/>
  <c r="S244"/>
  <c r="R244"/>
  <c r="P244"/>
  <c r="Q244" s="1"/>
  <c r="O244"/>
  <c r="N244"/>
  <c r="V243"/>
  <c r="U243"/>
  <c r="T243"/>
  <c r="S243"/>
  <c r="R243"/>
  <c r="P243"/>
  <c r="Q243" s="1"/>
  <c r="O243"/>
  <c r="N243"/>
  <c r="V242"/>
  <c r="U242"/>
  <c r="T242"/>
  <c r="S242"/>
  <c r="R242"/>
  <c r="P242"/>
  <c r="Q242" s="1"/>
  <c r="O242"/>
  <c r="N242"/>
  <c r="V241"/>
  <c r="U241"/>
  <c r="T241"/>
  <c r="S241"/>
  <c r="R241"/>
  <c r="P241"/>
  <c r="Q241" s="1"/>
  <c r="O241"/>
  <c r="N241"/>
  <c r="V240"/>
  <c r="U240"/>
  <c r="T240"/>
  <c r="S240"/>
  <c r="R240"/>
  <c r="P240"/>
  <c r="Q240" s="1"/>
  <c r="O240"/>
  <c r="N240"/>
  <c r="V239"/>
  <c r="U239"/>
  <c r="T239"/>
  <c r="S239"/>
  <c r="R239"/>
  <c r="P239"/>
  <c r="Q239" s="1"/>
  <c r="O239"/>
  <c r="N239"/>
  <c r="V238"/>
  <c r="U238"/>
  <c r="T238"/>
  <c r="S238"/>
  <c r="R238"/>
  <c r="P238"/>
  <c r="Q238" s="1"/>
  <c r="O238"/>
  <c r="N238"/>
  <c r="V237"/>
  <c r="U237"/>
  <c r="T237"/>
  <c r="S237"/>
  <c r="R237"/>
  <c r="P237"/>
  <c r="Q237" s="1"/>
  <c r="O237"/>
  <c r="N237"/>
  <c r="V236"/>
  <c r="U236"/>
  <c r="T236"/>
  <c r="S236"/>
  <c r="R236"/>
  <c r="P236"/>
  <c r="Q236" s="1"/>
  <c r="O236"/>
  <c r="N236"/>
  <c r="V235"/>
  <c r="U235"/>
  <c r="T235"/>
  <c r="S235"/>
  <c r="R235"/>
  <c r="P235"/>
  <c r="Q235" s="1"/>
  <c r="O235"/>
  <c r="N235"/>
  <c r="V234"/>
  <c r="U234"/>
  <c r="T234"/>
  <c r="S234"/>
  <c r="R234"/>
  <c r="P234"/>
  <c r="Q234" s="1"/>
  <c r="O234"/>
  <c r="N234"/>
  <c r="V233"/>
  <c r="U233"/>
  <c r="T233"/>
  <c r="S233"/>
  <c r="R233"/>
  <c r="P233"/>
  <c r="Q233" s="1"/>
  <c r="O233"/>
  <c r="N233"/>
  <c r="V232"/>
  <c r="U232"/>
  <c r="T232"/>
  <c r="S232"/>
  <c r="R232"/>
  <c r="P232"/>
  <c r="Q232" s="1"/>
  <c r="O232"/>
  <c r="N232"/>
  <c r="V231"/>
  <c r="U231"/>
  <c r="T231"/>
  <c r="S231"/>
  <c r="R231"/>
  <c r="P231"/>
  <c r="Q231" s="1"/>
  <c r="O231"/>
  <c r="N231"/>
  <c r="V230"/>
  <c r="U230"/>
  <c r="T230"/>
  <c r="S230"/>
  <c r="R230"/>
  <c r="P230"/>
  <c r="Q230" s="1"/>
  <c r="O230"/>
  <c r="N230"/>
  <c r="V229"/>
  <c r="U229"/>
  <c r="T229"/>
  <c r="S229"/>
  <c r="R229"/>
  <c r="P229"/>
  <c r="Q229" s="1"/>
  <c r="O229"/>
  <c r="N229"/>
  <c r="V228"/>
  <c r="U228"/>
  <c r="T228"/>
  <c r="S228"/>
  <c r="R228"/>
  <c r="P228"/>
  <c r="Q228" s="1"/>
  <c r="O228"/>
  <c r="N228"/>
  <c r="V227"/>
  <c r="U227"/>
  <c r="T227"/>
  <c r="S227"/>
  <c r="R227"/>
  <c r="P227"/>
  <c r="Q227" s="1"/>
  <c r="O227"/>
  <c r="N227"/>
  <c r="V226"/>
  <c r="U226"/>
  <c r="T226"/>
  <c r="S226"/>
  <c r="R226"/>
  <c r="P226"/>
  <c r="Q226" s="1"/>
  <c r="O226"/>
  <c r="N226"/>
  <c r="V225"/>
  <c r="U225"/>
  <c r="T225"/>
  <c r="S225"/>
  <c r="R225"/>
  <c r="P225"/>
  <c r="Q225" s="1"/>
  <c r="O225"/>
  <c r="N225"/>
  <c r="V224"/>
  <c r="U224"/>
  <c r="T224"/>
  <c r="S224"/>
  <c r="R224"/>
  <c r="P224"/>
  <c r="Q224" s="1"/>
  <c r="O224"/>
  <c r="N224"/>
  <c r="V223"/>
  <c r="U223"/>
  <c r="T223"/>
  <c r="S223"/>
  <c r="R223"/>
  <c r="P223"/>
  <c r="Q223" s="1"/>
  <c r="O223"/>
  <c r="N223"/>
  <c r="V222"/>
  <c r="U222"/>
  <c r="T222"/>
  <c r="S222"/>
  <c r="R222"/>
  <c r="P222"/>
  <c r="Q222" s="1"/>
  <c r="O222"/>
  <c r="N222"/>
  <c r="V221"/>
  <c r="U221"/>
  <c r="T221"/>
  <c r="S221"/>
  <c r="R221"/>
  <c r="P221"/>
  <c r="Q221" s="1"/>
  <c r="O221"/>
  <c r="N221"/>
  <c r="V220"/>
  <c r="U220"/>
  <c r="T220"/>
  <c r="S220"/>
  <c r="R220"/>
  <c r="P220"/>
  <c r="Q220" s="1"/>
  <c r="O220"/>
  <c r="N220"/>
  <c r="V219"/>
  <c r="U219"/>
  <c r="T219"/>
  <c r="S219"/>
  <c r="R219"/>
  <c r="P219"/>
  <c r="Q219" s="1"/>
  <c r="O219"/>
  <c r="N219"/>
  <c r="V218"/>
  <c r="U218"/>
  <c r="T218"/>
  <c r="S218"/>
  <c r="R218"/>
  <c r="P218"/>
  <c r="Q218" s="1"/>
  <c r="O218"/>
  <c r="N218"/>
  <c r="V217"/>
  <c r="U217"/>
  <c r="T217"/>
  <c r="S217"/>
  <c r="R217"/>
  <c r="P217"/>
  <c r="Q217" s="1"/>
  <c r="O217"/>
  <c r="N217"/>
  <c r="V216"/>
  <c r="U216"/>
  <c r="T216"/>
  <c r="S216"/>
  <c r="R216"/>
  <c r="P216"/>
  <c r="Q216" s="1"/>
  <c r="O216"/>
  <c r="N216"/>
  <c r="V215"/>
  <c r="U215"/>
  <c r="T215"/>
  <c r="S215"/>
  <c r="R215"/>
  <c r="P215"/>
  <c r="Q215" s="1"/>
  <c r="O215"/>
  <c r="N215"/>
  <c r="V214"/>
  <c r="U214"/>
  <c r="T214"/>
  <c r="S214"/>
  <c r="R214"/>
  <c r="P214"/>
  <c r="Q214" s="1"/>
  <c r="O214"/>
  <c r="N214"/>
  <c r="V213"/>
  <c r="U213"/>
  <c r="T213"/>
  <c r="S213"/>
  <c r="R213"/>
  <c r="P213"/>
  <c r="Q213" s="1"/>
  <c r="O213"/>
  <c r="N213"/>
  <c r="V212"/>
  <c r="U212"/>
  <c r="T212"/>
  <c r="S212"/>
  <c r="R212"/>
  <c r="P212"/>
  <c r="Q212" s="1"/>
  <c r="O212"/>
  <c r="N212"/>
  <c r="V211"/>
  <c r="U211"/>
  <c r="T211"/>
  <c r="S211"/>
  <c r="R211"/>
  <c r="P211"/>
  <c r="Q211" s="1"/>
  <c r="O211"/>
  <c r="N211"/>
  <c r="V210"/>
  <c r="U210"/>
  <c r="T210"/>
  <c r="S210"/>
  <c r="R210"/>
  <c r="P210"/>
  <c r="Q210" s="1"/>
  <c r="O210"/>
  <c r="N210"/>
  <c r="V209"/>
  <c r="U209"/>
  <c r="T209"/>
  <c r="S209"/>
  <c r="R209"/>
  <c r="P209"/>
  <c r="Q209" s="1"/>
  <c r="O209"/>
  <c r="N209"/>
  <c r="V208"/>
  <c r="U208"/>
  <c r="T208"/>
  <c r="S208"/>
  <c r="R208"/>
  <c r="P208"/>
  <c r="Q208" s="1"/>
  <c r="O208"/>
  <c r="N208"/>
  <c r="V207"/>
  <c r="U207"/>
  <c r="T207"/>
  <c r="S207"/>
  <c r="R207"/>
  <c r="P207"/>
  <c r="Q207" s="1"/>
  <c r="O207"/>
  <c r="N207"/>
  <c r="V206"/>
  <c r="U206"/>
  <c r="T206"/>
  <c r="S206"/>
  <c r="R206"/>
  <c r="P206"/>
  <c r="Q206" s="1"/>
  <c r="O206"/>
  <c r="N206"/>
  <c r="V205"/>
  <c r="U205"/>
  <c r="T205"/>
  <c r="S205"/>
  <c r="R205"/>
  <c r="P205"/>
  <c r="Q205" s="1"/>
  <c r="O205"/>
  <c r="N205"/>
  <c r="V204"/>
  <c r="U204"/>
  <c r="T204"/>
  <c r="S204"/>
  <c r="R204"/>
  <c r="P204"/>
  <c r="Q204" s="1"/>
  <c r="O204"/>
  <c r="N204"/>
  <c r="V203"/>
  <c r="U203"/>
  <c r="T203"/>
  <c r="S203"/>
  <c r="R203"/>
  <c r="P203"/>
  <c r="Q203" s="1"/>
  <c r="O203"/>
  <c r="N203"/>
  <c r="V202"/>
  <c r="U202"/>
  <c r="T202"/>
  <c r="S202"/>
  <c r="R202"/>
  <c r="P202"/>
  <c r="Q202" s="1"/>
  <c r="O202"/>
  <c r="N202"/>
  <c r="V201"/>
  <c r="U201"/>
  <c r="T201"/>
  <c r="S201"/>
  <c r="R201"/>
  <c r="P201"/>
  <c r="Q201" s="1"/>
  <c r="O201"/>
  <c r="N201"/>
  <c r="V200"/>
  <c r="U200"/>
  <c r="T200"/>
  <c r="S200"/>
  <c r="R200"/>
  <c r="P200"/>
  <c r="Q200" s="1"/>
  <c r="O200"/>
  <c r="N200"/>
  <c r="V199"/>
  <c r="U199"/>
  <c r="T199"/>
  <c r="S199"/>
  <c r="R199"/>
  <c r="P199"/>
  <c r="Q199" s="1"/>
  <c r="O199"/>
  <c r="N199"/>
  <c r="V198"/>
  <c r="U198"/>
  <c r="T198"/>
  <c r="S198"/>
  <c r="R198"/>
  <c r="P198"/>
  <c r="Q198" s="1"/>
  <c r="O198"/>
  <c r="N198"/>
  <c r="V197"/>
  <c r="U197"/>
  <c r="T197"/>
  <c r="S197"/>
  <c r="R197"/>
  <c r="P197"/>
  <c r="Q197" s="1"/>
  <c r="O197"/>
  <c r="N197"/>
  <c r="V196"/>
  <c r="U196"/>
  <c r="T196"/>
  <c r="S196"/>
  <c r="R196"/>
  <c r="P196"/>
  <c r="Q196" s="1"/>
  <c r="O196"/>
  <c r="N196"/>
  <c r="V195"/>
  <c r="U195"/>
  <c r="T195"/>
  <c r="S195"/>
  <c r="R195"/>
  <c r="P195"/>
  <c r="Q195" s="1"/>
  <c r="O195"/>
  <c r="N195"/>
  <c r="V194"/>
  <c r="U194"/>
  <c r="T194"/>
  <c r="S194"/>
  <c r="R194"/>
  <c r="P194"/>
  <c r="Q194" s="1"/>
  <c r="O194"/>
  <c r="N194"/>
  <c r="V193"/>
  <c r="U193"/>
  <c r="T193"/>
  <c r="S193"/>
  <c r="R193"/>
  <c r="P193"/>
  <c r="Q193" s="1"/>
  <c r="O193"/>
  <c r="N193"/>
  <c r="V192"/>
  <c r="U192"/>
  <c r="T192"/>
  <c r="S192"/>
  <c r="R192"/>
  <c r="P192"/>
  <c r="Q192" s="1"/>
  <c r="O192"/>
  <c r="N192"/>
  <c r="V191"/>
  <c r="U191"/>
  <c r="T191"/>
  <c r="S191"/>
  <c r="R191"/>
  <c r="P191"/>
  <c r="Q191" s="1"/>
  <c r="O191"/>
  <c r="N191"/>
  <c r="V190"/>
  <c r="U190"/>
  <c r="T190"/>
  <c r="S190"/>
  <c r="R190"/>
  <c r="P190"/>
  <c r="Q190" s="1"/>
  <c r="O190"/>
  <c r="N190"/>
  <c r="V189"/>
  <c r="U189"/>
  <c r="T189"/>
  <c r="S189"/>
  <c r="R189"/>
  <c r="P189"/>
  <c r="Q189" s="1"/>
  <c r="O189"/>
  <c r="N189"/>
  <c r="V188"/>
  <c r="U188"/>
  <c r="T188"/>
  <c r="S188"/>
  <c r="R188"/>
  <c r="P188"/>
  <c r="Q188" s="1"/>
  <c r="O188"/>
  <c r="N188"/>
  <c r="V187"/>
  <c r="U187"/>
  <c r="T187"/>
  <c r="S187"/>
  <c r="R187"/>
  <c r="P187"/>
  <c r="Q187" s="1"/>
  <c r="O187"/>
  <c r="N187"/>
  <c r="V186"/>
  <c r="U186"/>
  <c r="T186"/>
  <c r="S186"/>
  <c r="R186"/>
  <c r="P186"/>
  <c r="Q186" s="1"/>
  <c r="O186"/>
  <c r="N186"/>
  <c r="V185"/>
  <c r="U185"/>
  <c r="T185"/>
  <c r="S185"/>
  <c r="R185"/>
  <c r="P185"/>
  <c r="Q185" s="1"/>
  <c r="O185"/>
  <c r="N185"/>
  <c r="V184"/>
  <c r="U184"/>
  <c r="T184"/>
  <c r="S184"/>
  <c r="R184"/>
  <c r="P184"/>
  <c r="Q184" s="1"/>
  <c r="O184"/>
  <c r="N184"/>
  <c r="V183"/>
  <c r="U183"/>
  <c r="T183"/>
  <c r="S183"/>
  <c r="R183"/>
  <c r="P183"/>
  <c r="Q183" s="1"/>
  <c r="O183"/>
  <c r="N183"/>
  <c r="V182"/>
  <c r="U182"/>
  <c r="T182"/>
  <c r="S182"/>
  <c r="R182"/>
  <c r="P182"/>
  <c r="Q182" s="1"/>
  <c r="O182"/>
  <c r="N182"/>
  <c r="V181"/>
  <c r="U181"/>
  <c r="T181"/>
  <c r="S181"/>
  <c r="R181"/>
  <c r="P181"/>
  <c r="Q181" s="1"/>
  <c r="O181"/>
  <c r="N181"/>
  <c r="V180"/>
  <c r="U180"/>
  <c r="T180"/>
  <c r="S180"/>
  <c r="R180"/>
  <c r="P180"/>
  <c r="Q180" s="1"/>
  <c r="O180"/>
  <c r="N180"/>
  <c r="V179"/>
  <c r="U179"/>
  <c r="T179"/>
  <c r="S179"/>
  <c r="R179"/>
  <c r="P179"/>
  <c r="Q179" s="1"/>
  <c r="O179"/>
  <c r="N179"/>
  <c r="V178"/>
  <c r="U178"/>
  <c r="T178"/>
  <c r="S178"/>
  <c r="R178"/>
  <c r="P178"/>
  <c r="Q178" s="1"/>
  <c r="O178"/>
  <c r="N178"/>
  <c r="V177"/>
  <c r="U177"/>
  <c r="T177"/>
  <c r="S177"/>
  <c r="R177"/>
  <c r="P177"/>
  <c r="Q177" s="1"/>
  <c r="O177"/>
  <c r="N177"/>
  <c r="V176"/>
  <c r="U176"/>
  <c r="T176"/>
  <c r="S176"/>
  <c r="R176"/>
  <c r="P176"/>
  <c r="Q176" s="1"/>
  <c r="O176"/>
  <c r="N176"/>
  <c r="V175"/>
  <c r="U175"/>
  <c r="T175"/>
  <c r="S175"/>
  <c r="R175"/>
  <c r="P175"/>
  <c r="Q175" s="1"/>
  <c r="O175"/>
  <c r="N175"/>
  <c r="V174"/>
  <c r="U174"/>
  <c r="T174"/>
  <c r="S174"/>
  <c r="R174"/>
  <c r="P174"/>
  <c r="Q174" s="1"/>
  <c r="O174"/>
  <c r="N174"/>
  <c r="V173"/>
  <c r="U173"/>
  <c r="T173"/>
  <c r="S173"/>
  <c r="R173"/>
  <c r="P173"/>
  <c r="Q173" s="1"/>
  <c r="O173"/>
  <c r="N173"/>
  <c r="V172"/>
  <c r="U172"/>
  <c r="T172"/>
  <c r="S172"/>
  <c r="R172"/>
  <c r="P172"/>
  <c r="Q172" s="1"/>
  <c r="O172"/>
  <c r="N172"/>
  <c r="V171"/>
  <c r="U171"/>
  <c r="T171"/>
  <c r="S171"/>
  <c r="R171"/>
  <c r="P171"/>
  <c r="Q171" s="1"/>
  <c r="O171"/>
  <c r="N171"/>
  <c r="V170"/>
  <c r="U170"/>
  <c r="T170"/>
  <c r="S170"/>
  <c r="R170"/>
  <c r="P170"/>
  <c r="Q170" s="1"/>
  <c r="O170"/>
  <c r="N170"/>
  <c r="V169"/>
  <c r="U169"/>
  <c r="T169"/>
  <c r="S169"/>
  <c r="R169"/>
  <c r="P169"/>
  <c r="Q169" s="1"/>
  <c r="O169"/>
  <c r="N169"/>
  <c r="V168"/>
  <c r="U168"/>
  <c r="T168"/>
  <c r="S168"/>
  <c r="R168"/>
  <c r="P168"/>
  <c r="Q168" s="1"/>
  <c r="O168"/>
  <c r="N168"/>
  <c r="V167"/>
  <c r="U167"/>
  <c r="T167"/>
  <c r="S167"/>
  <c r="R167"/>
  <c r="P167"/>
  <c r="Q167" s="1"/>
  <c r="O167"/>
  <c r="N167"/>
  <c r="V166"/>
  <c r="U166"/>
  <c r="T166"/>
  <c r="S166"/>
  <c r="R166"/>
  <c r="P166"/>
  <c r="Q166" s="1"/>
  <c r="O166"/>
  <c r="N166"/>
  <c r="V165"/>
  <c r="U165"/>
  <c r="T165"/>
  <c r="S165"/>
  <c r="R165"/>
  <c r="P165"/>
  <c r="Q165" s="1"/>
  <c r="O165"/>
  <c r="N165"/>
  <c r="V164"/>
  <c r="U164"/>
  <c r="T164"/>
  <c r="S164"/>
  <c r="R164"/>
  <c r="P164"/>
  <c r="Q164" s="1"/>
  <c r="O164"/>
  <c r="N164"/>
  <c r="V163"/>
  <c r="U163"/>
  <c r="T163"/>
  <c r="S163"/>
  <c r="R163"/>
  <c r="P163"/>
  <c r="Q163" s="1"/>
  <c r="O163"/>
  <c r="N163"/>
  <c r="V162"/>
  <c r="U162"/>
  <c r="T162"/>
  <c r="S162"/>
  <c r="R162"/>
  <c r="P162"/>
  <c r="Q162" s="1"/>
  <c r="O162"/>
  <c r="N162"/>
  <c r="V161"/>
  <c r="U161"/>
  <c r="T161"/>
  <c r="S161"/>
  <c r="R161"/>
  <c r="P161"/>
  <c r="Q161" s="1"/>
  <c r="O161"/>
  <c r="N161"/>
  <c r="V160"/>
  <c r="U160"/>
  <c r="T160"/>
  <c r="S160"/>
  <c r="R160"/>
  <c r="P160"/>
  <c r="Q160" s="1"/>
  <c r="O160"/>
  <c r="N160"/>
  <c r="V159"/>
  <c r="U159"/>
  <c r="T159"/>
  <c r="S159"/>
  <c r="R159"/>
  <c r="P159"/>
  <c r="Q159" s="1"/>
  <c r="O159"/>
  <c r="N159"/>
  <c r="V158"/>
  <c r="U158"/>
  <c r="T158"/>
  <c r="S158"/>
  <c r="R158"/>
  <c r="P158"/>
  <c r="Q158" s="1"/>
  <c r="O158"/>
  <c r="N158"/>
  <c r="V157"/>
  <c r="U157"/>
  <c r="T157"/>
  <c r="S157"/>
  <c r="R157"/>
  <c r="P157"/>
  <c r="Q157" s="1"/>
  <c r="O157"/>
  <c r="N157"/>
  <c r="V156"/>
  <c r="U156"/>
  <c r="T156"/>
  <c r="S156"/>
  <c r="R156"/>
  <c r="P156"/>
  <c r="Q156" s="1"/>
  <c r="O156"/>
  <c r="N156"/>
  <c r="V155"/>
  <c r="U155"/>
  <c r="T155"/>
  <c r="S155"/>
  <c r="R155"/>
  <c r="P155"/>
  <c r="Q155" s="1"/>
  <c r="O155"/>
  <c r="N155"/>
  <c r="V154"/>
  <c r="U154"/>
  <c r="T154"/>
  <c r="S154"/>
  <c r="R154"/>
  <c r="P154"/>
  <c r="Q154" s="1"/>
  <c r="O154"/>
  <c r="N154"/>
  <c r="V153"/>
  <c r="U153"/>
  <c r="T153"/>
  <c r="S153"/>
  <c r="R153"/>
  <c r="P153"/>
  <c r="Q153" s="1"/>
  <c r="O153"/>
  <c r="N153"/>
  <c r="V152"/>
  <c r="U152"/>
  <c r="T152"/>
  <c r="S152"/>
  <c r="R152"/>
  <c r="P152"/>
  <c r="Q152" s="1"/>
  <c r="O152"/>
  <c r="N152"/>
  <c r="V151"/>
  <c r="U151"/>
  <c r="T151"/>
  <c r="S151"/>
  <c r="R151"/>
  <c r="P151"/>
  <c r="Q151" s="1"/>
  <c r="O151"/>
  <c r="N151"/>
  <c r="V150"/>
  <c r="U150"/>
  <c r="T150"/>
  <c r="S150"/>
  <c r="R150"/>
  <c r="P150"/>
  <c r="Q150" s="1"/>
  <c r="O150"/>
  <c r="N150"/>
  <c r="V149"/>
  <c r="U149"/>
  <c r="T149"/>
  <c r="S149"/>
  <c r="R149"/>
  <c r="P149"/>
  <c r="Q149" s="1"/>
  <c r="O149"/>
  <c r="N149"/>
  <c r="V148"/>
  <c r="U148"/>
  <c r="T148"/>
  <c r="S148"/>
  <c r="R148"/>
  <c r="P148"/>
  <c r="Q148" s="1"/>
  <c r="O148"/>
  <c r="N148"/>
  <c r="V147"/>
  <c r="U147"/>
  <c r="T147"/>
  <c r="S147"/>
  <c r="R147"/>
  <c r="P147"/>
  <c r="Q147" s="1"/>
  <c r="O147"/>
  <c r="N147"/>
  <c r="V146"/>
  <c r="U146"/>
  <c r="T146"/>
  <c r="S146"/>
  <c r="R146"/>
  <c r="P146"/>
  <c r="Q146" s="1"/>
  <c r="O146"/>
  <c r="N146"/>
  <c r="V145"/>
  <c r="U145"/>
  <c r="T145"/>
  <c r="S145"/>
  <c r="R145"/>
  <c r="P145"/>
  <c r="Q145" s="1"/>
  <c r="O145"/>
  <c r="N145"/>
  <c r="V144"/>
  <c r="U144"/>
  <c r="T144"/>
  <c r="S144"/>
  <c r="R144"/>
  <c r="P144"/>
  <c r="Q144" s="1"/>
  <c r="O144"/>
  <c r="N144"/>
  <c r="V143"/>
  <c r="U143"/>
  <c r="T143"/>
  <c r="S143"/>
  <c r="R143"/>
  <c r="P143"/>
  <c r="Q143" s="1"/>
  <c r="O143"/>
  <c r="N143"/>
  <c r="V142"/>
  <c r="U142"/>
  <c r="T142"/>
  <c r="S142"/>
  <c r="R142"/>
  <c r="P142"/>
  <c r="Q142" s="1"/>
  <c r="O142"/>
  <c r="N142"/>
  <c r="V141"/>
  <c r="U141"/>
  <c r="T141"/>
  <c r="S141"/>
  <c r="R141"/>
  <c r="P141"/>
  <c r="Q141" s="1"/>
  <c r="O141"/>
  <c r="N141"/>
  <c r="V140"/>
  <c r="U140"/>
  <c r="T140"/>
  <c r="S140"/>
  <c r="R140"/>
  <c r="P140"/>
  <c r="Q140" s="1"/>
  <c r="O140"/>
  <c r="N140"/>
  <c r="V139"/>
  <c r="U139"/>
  <c r="T139"/>
  <c r="S139"/>
  <c r="R139"/>
  <c r="P139"/>
  <c r="Q139" s="1"/>
  <c r="O139"/>
  <c r="N139"/>
  <c r="V138"/>
  <c r="U138"/>
  <c r="T138"/>
  <c r="S138"/>
  <c r="R138"/>
  <c r="P138"/>
  <c r="Q138" s="1"/>
  <c r="O138"/>
  <c r="N138"/>
  <c r="V137"/>
  <c r="U137"/>
  <c r="T137"/>
  <c r="S137"/>
  <c r="R137"/>
  <c r="P137"/>
  <c r="Q137" s="1"/>
  <c r="O137"/>
  <c r="N137"/>
  <c r="V136"/>
  <c r="U136"/>
  <c r="T136"/>
  <c r="S136"/>
  <c r="R136"/>
  <c r="P136"/>
  <c r="Q136" s="1"/>
  <c r="O136"/>
  <c r="N136"/>
  <c r="V135"/>
  <c r="U135"/>
  <c r="T135"/>
  <c r="S135"/>
  <c r="R135"/>
  <c r="P135"/>
  <c r="Q135" s="1"/>
  <c r="O135"/>
  <c r="N135"/>
  <c r="V134"/>
  <c r="U134"/>
  <c r="T134"/>
  <c r="S134"/>
  <c r="R134"/>
  <c r="P134"/>
  <c r="Q134" s="1"/>
  <c r="O134"/>
  <c r="N134"/>
  <c r="V133"/>
  <c r="U133"/>
  <c r="T133"/>
  <c r="S133"/>
  <c r="R133"/>
  <c r="P133"/>
  <c r="Q133" s="1"/>
  <c r="O133"/>
  <c r="N133"/>
  <c r="V132"/>
  <c r="U132"/>
  <c r="T132"/>
  <c r="S132"/>
  <c r="R132"/>
  <c r="P132"/>
  <c r="Q132" s="1"/>
  <c r="O132"/>
  <c r="N132"/>
  <c r="V131"/>
  <c r="U131"/>
  <c r="T131"/>
  <c r="S131"/>
  <c r="R131"/>
  <c r="P131"/>
  <c r="Q131" s="1"/>
  <c r="O131"/>
  <c r="N131"/>
  <c r="V130"/>
  <c r="U130"/>
  <c r="T130"/>
  <c r="S130"/>
  <c r="R130"/>
  <c r="P130"/>
  <c r="Q130" s="1"/>
  <c r="O130"/>
  <c r="N130"/>
  <c r="V129"/>
  <c r="U129"/>
  <c r="T129"/>
  <c r="S129"/>
  <c r="R129"/>
  <c r="P129"/>
  <c r="Q129" s="1"/>
  <c r="O129"/>
  <c r="N129"/>
  <c r="V128"/>
  <c r="U128"/>
  <c r="T128"/>
  <c r="S128"/>
  <c r="R128"/>
  <c r="P128"/>
  <c r="Q128" s="1"/>
  <c r="O128"/>
  <c r="N128"/>
  <c r="V127"/>
  <c r="U127"/>
  <c r="T127"/>
  <c r="S127"/>
  <c r="R127"/>
  <c r="P127"/>
  <c r="Q127" s="1"/>
  <c r="O127"/>
  <c r="N127"/>
  <c r="V126"/>
  <c r="U126"/>
  <c r="T126"/>
  <c r="S126"/>
  <c r="R126"/>
  <c r="P126"/>
  <c r="Q126" s="1"/>
  <c r="O126"/>
  <c r="N126"/>
  <c r="V125"/>
  <c r="U125"/>
  <c r="T125"/>
  <c r="S125"/>
  <c r="R125"/>
  <c r="P125"/>
  <c r="Q125" s="1"/>
  <c r="O125"/>
  <c r="N125"/>
  <c r="V124"/>
  <c r="U124"/>
  <c r="T124"/>
  <c r="S124"/>
  <c r="R124"/>
  <c r="P124"/>
  <c r="Q124" s="1"/>
  <c r="O124"/>
  <c r="N124"/>
  <c r="V123"/>
  <c r="U123"/>
  <c r="T123"/>
  <c r="S123"/>
  <c r="R123"/>
  <c r="P123"/>
  <c r="Q123" s="1"/>
  <c r="O123"/>
  <c r="N123"/>
  <c r="V122"/>
  <c r="U122"/>
  <c r="T122"/>
  <c r="S122"/>
  <c r="R122"/>
  <c r="P122"/>
  <c r="Q122" s="1"/>
  <c r="O122"/>
  <c r="N122"/>
  <c r="V121"/>
  <c r="U121"/>
  <c r="T121"/>
  <c r="S121"/>
  <c r="R121"/>
  <c r="P121"/>
  <c r="Q121" s="1"/>
  <c r="O121"/>
  <c r="N121"/>
  <c r="V120"/>
  <c r="U120"/>
  <c r="T120"/>
  <c r="S120"/>
  <c r="R120"/>
  <c r="P120"/>
  <c r="Q120" s="1"/>
  <c r="O120"/>
  <c r="N120"/>
  <c r="V119"/>
  <c r="U119"/>
  <c r="T119"/>
  <c r="S119"/>
  <c r="R119"/>
  <c r="P119"/>
  <c r="Q119" s="1"/>
  <c r="O119"/>
  <c r="N119"/>
  <c r="V118"/>
  <c r="U118"/>
  <c r="T118"/>
  <c r="S118"/>
  <c r="R118"/>
  <c r="P118"/>
  <c r="Q118" s="1"/>
  <c r="O118"/>
  <c r="N118"/>
  <c r="V117"/>
  <c r="U117"/>
  <c r="T117"/>
  <c r="S117"/>
  <c r="R117"/>
  <c r="P117"/>
  <c r="Q117" s="1"/>
  <c r="O117"/>
  <c r="N117"/>
  <c r="V116"/>
  <c r="U116"/>
  <c r="T116"/>
  <c r="S116"/>
  <c r="R116"/>
  <c r="P116"/>
  <c r="Q116" s="1"/>
  <c r="O116"/>
  <c r="N116"/>
  <c r="V115"/>
  <c r="U115"/>
  <c r="T115"/>
  <c r="S115"/>
  <c r="R115"/>
  <c r="P115"/>
  <c r="Q115" s="1"/>
  <c r="O115"/>
  <c r="N115"/>
  <c r="V114"/>
  <c r="U114"/>
  <c r="T114"/>
  <c r="S114"/>
  <c r="R114"/>
  <c r="P114"/>
  <c r="Q114" s="1"/>
  <c r="O114"/>
  <c r="N114"/>
  <c r="V113"/>
  <c r="U113"/>
  <c r="T113"/>
  <c r="S113"/>
  <c r="R113"/>
  <c r="P113"/>
  <c r="Q113" s="1"/>
  <c r="O113"/>
  <c r="N113"/>
  <c r="V112"/>
  <c r="U112"/>
  <c r="T112"/>
  <c r="S112"/>
  <c r="R112"/>
  <c r="P112"/>
  <c r="Q112" s="1"/>
  <c r="O112"/>
  <c r="N112"/>
  <c r="V111"/>
  <c r="U111"/>
  <c r="T111"/>
  <c r="S111"/>
  <c r="R111"/>
  <c r="P111"/>
  <c r="Q111" s="1"/>
  <c r="O111"/>
  <c r="N111"/>
  <c r="V110"/>
  <c r="U110"/>
  <c r="T110"/>
  <c r="S110"/>
  <c r="R110"/>
  <c r="P110"/>
  <c r="Q110" s="1"/>
  <c r="O110"/>
  <c r="N110"/>
  <c r="V109"/>
  <c r="U109"/>
  <c r="T109"/>
  <c r="S109"/>
  <c r="R109"/>
  <c r="P109"/>
  <c r="Q109" s="1"/>
  <c r="O109"/>
  <c r="N109"/>
  <c r="V108"/>
  <c r="U108"/>
  <c r="T108"/>
  <c r="S108"/>
  <c r="R108"/>
  <c r="P108"/>
  <c r="Q108" s="1"/>
  <c r="O108"/>
  <c r="N108"/>
  <c r="V107"/>
  <c r="U107"/>
  <c r="T107"/>
  <c r="S107"/>
  <c r="R107"/>
  <c r="P107"/>
  <c r="Q107" s="1"/>
  <c r="O107"/>
  <c r="N107"/>
  <c r="V106"/>
  <c r="U106"/>
  <c r="T106"/>
  <c r="S106"/>
  <c r="R106"/>
  <c r="P106"/>
  <c r="Q106" s="1"/>
  <c r="O106"/>
  <c r="N106"/>
  <c r="V105"/>
  <c r="U105"/>
  <c r="T105"/>
  <c r="S105"/>
  <c r="R105"/>
  <c r="P105"/>
  <c r="Q105" s="1"/>
  <c r="O105"/>
  <c r="N105"/>
  <c r="V104"/>
  <c r="U104"/>
  <c r="T104"/>
  <c r="S104"/>
  <c r="R104"/>
  <c r="P104"/>
  <c r="Q104" s="1"/>
  <c r="O104"/>
  <c r="N104"/>
  <c r="V103"/>
  <c r="U103"/>
  <c r="T103"/>
  <c r="S103"/>
  <c r="R103"/>
  <c r="P103"/>
  <c r="Q103" s="1"/>
  <c r="O103"/>
  <c r="N103"/>
  <c r="V102"/>
  <c r="U102"/>
  <c r="T102"/>
  <c r="S102"/>
  <c r="R102"/>
  <c r="P102"/>
  <c r="Q102" s="1"/>
  <c r="O102"/>
  <c r="N102"/>
  <c r="V101"/>
  <c r="U101"/>
  <c r="T101"/>
  <c r="S101"/>
  <c r="R101"/>
  <c r="P101"/>
  <c r="Q101" s="1"/>
  <c r="O101"/>
  <c r="N101"/>
  <c r="V100"/>
  <c r="U100"/>
  <c r="T100"/>
  <c r="S100"/>
  <c r="R100"/>
  <c r="P100"/>
  <c r="Q100" s="1"/>
  <c r="O100"/>
  <c r="N100"/>
  <c r="V99"/>
  <c r="U99"/>
  <c r="T99"/>
  <c r="S99"/>
  <c r="R99"/>
  <c r="P99"/>
  <c r="Q99" s="1"/>
  <c r="O99"/>
  <c r="N99"/>
  <c r="V98"/>
  <c r="U98"/>
  <c r="T98"/>
  <c r="S98"/>
  <c r="R98"/>
  <c r="P98"/>
  <c r="Q98" s="1"/>
  <c r="O98"/>
  <c r="N98"/>
  <c r="V97"/>
  <c r="U97"/>
  <c r="T97"/>
  <c r="S97"/>
  <c r="R97"/>
  <c r="P97"/>
  <c r="Q97" s="1"/>
  <c r="O97"/>
  <c r="N97"/>
  <c r="V96"/>
  <c r="U96"/>
  <c r="T96"/>
  <c r="S96"/>
  <c r="R96"/>
  <c r="P96"/>
  <c r="Q96" s="1"/>
  <c r="O96"/>
  <c r="N96"/>
  <c r="V95"/>
  <c r="U95"/>
  <c r="T95"/>
  <c r="S95"/>
  <c r="R95"/>
  <c r="P95"/>
  <c r="Q95" s="1"/>
  <c r="O95"/>
  <c r="N95"/>
  <c r="V94"/>
  <c r="U94"/>
  <c r="T94"/>
  <c r="S94"/>
  <c r="R94"/>
  <c r="P94"/>
  <c r="Q94" s="1"/>
  <c r="O94"/>
  <c r="N94"/>
  <c r="V93"/>
  <c r="U93"/>
  <c r="T93"/>
  <c r="S93"/>
  <c r="R93"/>
  <c r="P93"/>
  <c r="Q93" s="1"/>
  <c r="O93"/>
  <c r="N93"/>
  <c r="V92"/>
  <c r="U92"/>
  <c r="T92"/>
  <c r="S92"/>
  <c r="R92"/>
  <c r="P92"/>
  <c r="Q92" s="1"/>
  <c r="O92"/>
  <c r="N92"/>
  <c r="V91"/>
  <c r="U91"/>
  <c r="T91"/>
  <c r="S91"/>
  <c r="R91"/>
  <c r="P91"/>
  <c r="Q91" s="1"/>
  <c r="O91"/>
  <c r="N91"/>
  <c r="V90"/>
  <c r="U90"/>
  <c r="T90"/>
  <c r="S90"/>
  <c r="R90"/>
  <c r="P90"/>
  <c r="Q90" s="1"/>
  <c r="O90"/>
  <c r="N90"/>
  <c r="V89"/>
  <c r="U89"/>
  <c r="T89"/>
  <c r="S89"/>
  <c r="R89"/>
  <c r="P89"/>
  <c r="Q89" s="1"/>
  <c r="O89"/>
  <c r="N89"/>
  <c r="V88"/>
  <c r="U88"/>
  <c r="T88"/>
  <c r="S88"/>
  <c r="R88"/>
  <c r="P88"/>
  <c r="Q88" s="1"/>
  <c r="O88"/>
  <c r="N88"/>
  <c r="V87"/>
  <c r="U87"/>
  <c r="T87"/>
  <c r="S87"/>
  <c r="R87"/>
  <c r="P87"/>
  <c r="Q87" s="1"/>
  <c r="O87"/>
  <c r="N87"/>
  <c r="V86"/>
  <c r="U86"/>
  <c r="T86"/>
  <c r="S86"/>
  <c r="R86"/>
  <c r="P86"/>
  <c r="Q86" s="1"/>
  <c r="O86"/>
  <c r="N86"/>
  <c r="V85"/>
  <c r="U85"/>
  <c r="T85"/>
  <c r="S85"/>
  <c r="R85"/>
  <c r="P85"/>
  <c r="Q85" s="1"/>
  <c r="O85"/>
  <c r="N85"/>
  <c r="V84"/>
  <c r="U84"/>
  <c r="T84"/>
  <c r="S84"/>
  <c r="R84"/>
  <c r="P84"/>
  <c r="Q84" s="1"/>
  <c r="O84"/>
  <c r="N84"/>
  <c r="V83"/>
  <c r="U83"/>
  <c r="T83"/>
  <c r="S83"/>
  <c r="R83"/>
  <c r="P83"/>
  <c r="Q83" s="1"/>
  <c r="O83"/>
  <c r="N83"/>
  <c r="V82"/>
  <c r="U82"/>
  <c r="T82"/>
  <c r="S82"/>
  <c r="R82"/>
  <c r="P82"/>
  <c r="Q82" s="1"/>
  <c r="O82"/>
  <c r="N82"/>
  <c r="V81"/>
  <c r="U81"/>
  <c r="T81"/>
  <c r="S81"/>
  <c r="R81"/>
  <c r="P81"/>
  <c r="Q81" s="1"/>
  <c r="O81"/>
  <c r="N81"/>
  <c r="V80"/>
  <c r="U80"/>
  <c r="T80"/>
  <c r="S80"/>
  <c r="R80"/>
  <c r="P80"/>
  <c r="Q80" s="1"/>
  <c r="O80"/>
  <c r="N80"/>
  <c r="V79"/>
  <c r="U79"/>
  <c r="T79"/>
  <c r="S79"/>
  <c r="R79"/>
  <c r="P79"/>
  <c r="Q79" s="1"/>
  <c r="O79"/>
  <c r="N79"/>
  <c r="V78"/>
  <c r="U78"/>
  <c r="T78"/>
  <c r="S78"/>
  <c r="R78"/>
  <c r="P78"/>
  <c r="Q78" s="1"/>
  <c r="O78"/>
  <c r="N78"/>
  <c r="V77"/>
  <c r="U77"/>
  <c r="T77"/>
  <c r="S77"/>
  <c r="R77"/>
  <c r="P77"/>
  <c r="Q77" s="1"/>
  <c r="O77"/>
  <c r="N77"/>
  <c r="V76"/>
  <c r="U76"/>
  <c r="T76"/>
  <c r="S76"/>
  <c r="R76"/>
  <c r="P76"/>
  <c r="Q76" s="1"/>
  <c r="O76"/>
  <c r="N76"/>
  <c r="V75"/>
  <c r="U75"/>
  <c r="T75"/>
  <c r="S75"/>
  <c r="R75"/>
  <c r="P75"/>
  <c r="Q75" s="1"/>
  <c r="O75"/>
  <c r="N75"/>
  <c r="V74"/>
  <c r="U74"/>
  <c r="T74"/>
  <c r="S74"/>
  <c r="R74"/>
  <c r="P74"/>
  <c r="Q74" s="1"/>
  <c r="O74"/>
  <c r="N74"/>
  <c r="V73"/>
  <c r="U73"/>
  <c r="T73"/>
  <c r="S73"/>
  <c r="R73"/>
  <c r="P73"/>
  <c r="Q73" s="1"/>
  <c r="O73"/>
  <c r="N73"/>
  <c r="V72"/>
  <c r="U72"/>
  <c r="T72"/>
  <c r="S72"/>
  <c r="R72"/>
  <c r="P72"/>
  <c r="Q72" s="1"/>
  <c r="O72"/>
  <c r="N72"/>
  <c r="V71"/>
  <c r="U71"/>
  <c r="T71"/>
  <c r="S71"/>
  <c r="R71"/>
  <c r="P71"/>
  <c r="Q71" s="1"/>
  <c r="O71"/>
  <c r="N71"/>
  <c r="V70"/>
  <c r="U70"/>
  <c r="T70"/>
  <c r="S70"/>
  <c r="R70"/>
  <c r="P70"/>
  <c r="Q70" s="1"/>
  <c r="O70"/>
  <c r="N70"/>
  <c r="V69"/>
  <c r="U69"/>
  <c r="T69"/>
  <c r="S69"/>
  <c r="R69"/>
  <c r="P69"/>
  <c r="Q69" s="1"/>
  <c r="O69"/>
  <c r="N69"/>
  <c r="V68"/>
  <c r="U68"/>
  <c r="T68"/>
  <c r="S68"/>
  <c r="R68"/>
  <c r="P68"/>
  <c r="Q68" s="1"/>
  <c r="O68"/>
  <c r="N68"/>
  <c r="V67"/>
  <c r="U67"/>
  <c r="T67"/>
  <c r="S67"/>
  <c r="R67"/>
  <c r="P67"/>
  <c r="Q67" s="1"/>
  <c r="O67"/>
  <c r="N67"/>
  <c r="V66"/>
  <c r="U66"/>
  <c r="T66"/>
  <c r="S66"/>
  <c r="R66"/>
  <c r="P66"/>
  <c r="Q66" s="1"/>
  <c r="O66"/>
  <c r="N66"/>
  <c r="V65"/>
  <c r="U65"/>
  <c r="T65"/>
  <c r="S65"/>
  <c r="R65"/>
  <c r="P65"/>
  <c r="Q65" s="1"/>
  <c r="O65"/>
  <c r="N65"/>
  <c r="V64"/>
  <c r="U64"/>
  <c r="T64"/>
  <c r="S64"/>
  <c r="R64"/>
  <c r="P64"/>
  <c r="Q64" s="1"/>
  <c r="O64"/>
  <c r="N64"/>
  <c r="V63"/>
  <c r="U63"/>
  <c r="T63"/>
  <c r="S63"/>
  <c r="R63"/>
  <c r="P63"/>
  <c r="Q63" s="1"/>
  <c r="O63"/>
  <c r="N63"/>
  <c r="V62"/>
  <c r="U62"/>
  <c r="T62"/>
  <c r="S62"/>
  <c r="R62"/>
  <c r="P62"/>
  <c r="Q62" s="1"/>
  <c r="O62"/>
  <c r="N62"/>
  <c r="V61"/>
  <c r="U61"/>
  <c r="T61"/>
  <c r="S61"/>
  <c r="R61"/>
  <c r="P61"/>
  <c r="Q61" s="1"/>
  <c r="O61"/>
  <c r="N61"/>
  <c r="V60"/>
  <c r="U60"/>
  <c r="T60"/>
  <c r="S60"/>
  <c r="R60"/>
  <c r="P60"/>
  <c r="Q60" s="1"/>
  <c r="O60"/>
  <c r="N60"/>
  <c r="V59"/>
  <c r="U59"/>
  <c r="T59"/>
  <c r="S59"/>
  <c r="R59"/>
  <c r="P59"/>
  <c r="Q59" s="1"/>
  <c r="O59"/>
  <c r="N59"/>
  <c r="V58"/>
  <c r="U58"/>
  <c r="T58"/>
  <c r="S58"/>
  <c r="R58"/>
  <c r="P58"/>
  <c r="Q58" s="1"/>
  <c r="O58"/>
  <c r="N58"/>
  <c r="V57"/>
  <c r="U57"/>
  <c r="T57"/>
  <c r="S57"/>
  <c r="R57"/>
  <c r="P57"/>
  <c r="Q57" s="1"/>
  <c r="O57"/>
  <c r="N57"/>
  <c r="V56"/>
  <c r="U56"/>
  <c r="T56"/>
  <c r="S56"/>
  <c r="R56"/>
  <c r="P56"/>
  <c r="Q56" s="1"/>
  <c r="O56"/>
  <c r="N56"/>
  <c r="V55"/>
  <c r="U55"/>
  <c r="T55"/>
  <c r="S55"/>
  <c r="R55"/>
  <c r="P55"/>
  <c r="Q55" s="1"/>
  <c r="O55"/>
  <c r="N55"/>
  <c r="V54"/>
  <c r="U54"/>
  <c r="T54"/>
  <c r="S54"/>
  <c r="R54"/>
  <c r="P54"/>
  <c r="Q54" s="1"/>
  <c r="O54"/>
  <c r="N54"/>
  <c r="V53"/>
  <c r="U53"/>
  <c r="T53"/>
  <c r="S53"/>
  <c r="R53"/>
  <c r="P53"/>
  <c r="Q53" s="1"/>
  <c r="O53"/>
  <c r="N53"/>
  <c r="V52"/>
  <c r="U52"/>
  <c r="T52"/>
  <c r="S52"/>
  <c r="R52"/>
  <c r="P52"/>
  <c r="Q52" s="1"/>
  <c r="O52"/>
  <c r="N52"/>
  <c r="V51"/>
  <c r="U51"/>
  <c r="T51"/>
  <c r="S51"/>
  <c r="R51"/>
  <c r="P51"/>
  <c r="Q51" s="1"/>
  <c r="O51"/>
  <c r="N51"/>
  <c r="V50"/>
  <c r="U50"/>
  <c r="T50"/>
  <c r="S50"/>
  <c r="R50"/>
  <c r="P50"/>
  <c r="Q50" s="1"/>
  <c r="O50"/>
  <c r="N50"/>
  <c r="V49"/>
  <c r="U49"/>
  <c r="T49"/>
  <c r="S49"/>
  <c r="R49"/>
  <c r="P49"/>
  <c r="Q49" s="1"/>
  <c r="O49"/>
  <c r="N49"/>
  <c r="V48"/>
  <c r="U48"/>
  <c r="T48"/>
  <c r="S48"/>
  <c r="R48"/>
  <c r="P48"/>
  <c r="Q48" s="1"/>
  <c r="O48"/>
  <c r="N48"/>
  <c r="V47"/>
  <c r="U47"/>
  <c r="T47"/>
  <c r="S47"/>
  <c r="R47"/>
  <c r="P47"/>
  <c r="Q47" s="1"/>
  <c r="O47"/>
  <c r="N47"/>
  <c r="V46"/>
  <c r="U46"/>
  <c r="T46"/>
  <c r="S46"/>
  <c r="R46"/>
  <c r="P46"/>
  <c r="Q46" s="1"/>
  <c r="O46"/>
  <c r="N46"/>
  <c r="V45"/>
  <c r="U45"/>
  <c r="T45"/>
  <c r="S45"/>
  <c r="R45"/>
  <c r="P45"/>
  <c r="Q45" s="1"/>
  <c r="O45"/>
  <c r="N45"/>
  <c r="V44"/>
  <c r="U44"/>
  <c r="T44"/>
  <c r="S44"/>
  <c r="R44"/>
  <c r="P44"/>
  <c r="Q44" s="1"/>
  <c r="O44"/>
  <c r="N44"/>
  <c r="V43"/>
  <c r="U43"/>
  <c r="T43"/>
  <c r="S43"/>
  <c r="R43"/>
  <c r="P43"/>
  <c r="Q43" s="1"/>
  <c r="O43"/>
  <c r="N43"/>
  <c r="V42"/>
  <c r="U42"/>
  <c r="T42"/>
  <c r="S42"/>
  <c r="R42"/>
  <c r="P42"/>
  <c r="Q42" s="1"/>
  <c r="O42"/>
  <c r="N42"/>
  <c r="V41"/>
  <c r="U41"/>
  <c r="T41"/>
  <c r="S41"/>
  <c r="R41"/>
  <c r="P41"/>
  <c r="Q41" s="1"/>
  <c r="O41"/>
  <c r="N41"/>
  <c r="V40"/>
  <c r="U40"/>
  <c r="T40"/>
  <c r="S40"/>
  <c r="R40"/>
  <c r="P40"/>
  <c r="Q40" s="1"/>
  <c r="O40"/>
  <c r="N40"/>
  <c r="V39"/>
  <c r="U39"/>
  <c r="T39"/>
  <c r="S39"/>
  <c r="R39"/>
  <c r="P39"/>
  <c r="Q39" s="1"/>
  <c r="O39"/>
  <c r="N39"/>
  <c r="V38"/>
  <c r="U38"/>
  <c r="T38"/>
  <c r="S38"/>
  <c r="R38"/>
  <c r="P38"/>
  <c r="Q38" s="1"/>
  <c r="O38"/>
  <c r="N38"/>
  <c r="V37"/>
  <c r="U37"/>
  <c r="T37"/>
  <c r="S37"/>
  <c r="R37"/>
  <c r="P37"/>
  <c r="Q37" s="1"/>
  <c r="O37"/>
  <c r="N37"/>
  <c r="V36"/>
  <c r="U36"/>
  <c r="T36"/>
  <c r="S36"/>
  <c r="R36"/>
  <c r="P36"/>
  <c r="Q36" s="1"/>
  <c r="O36"/>
  <c r="N36"/>
  <c r="V35"/>
  <c r="U35"/>
  <c r="T35"/>
  <c r="S35"/>
  <c r="R35"/>
  <c r="P35"/>
  <c r="Q35" s="1"/>
  <c r="O35"/>
  <c r="N35"/>
  <c r="V34"/>
  <c r="U34"/>
  <c r="T34"/>
  <c r="S34"/>
  <c r="R34"/>
  <c r="P34"/>
  <c r="Q34" s="1"/>
  <c r="O34"/>
  <c r="N34"/>
  <c r="V33"/>
  <c r="U33"/>
  <c r="T33"/>
  <c r="S33"/>
  <c r="R33"/>
  <c r="P33"/>
  <c r="Q33" s="1"/>
  <c r="O33"/>
  <c r="N33"/>
  <c r="V32"/>
  <c r="U32"/>
  <c r="T32"/>
  <c r="S32"/>
  <c r="R32"/>
  <c r="P32"/>
  <c r="Q32" s="1"/>
  <c r="O32"/>
  <c r="N32"/>
  <c r="V31"/>
  <c r="U31"/>
  <c r="T31"/>
  <c r="S31"/>
  <c r="R31"/>
  <c r="P31"/>
  <c r="Q31" s="1"/>
  <c r="O31"/>
  <c r="N31"/>
  <c r="V30"/>
  <c r="U30"/>
  <c r="T30"/>
  <c r="S30"/>
  <c r="R30"/>
  <c r="P30"/>
  <c r="Q30" s="1"/>
  <c r="O30"/>
  <c r="N30"/>
  <c r="V29"/>
  <c r="U29"/>
  <c r="T29"/>
  <c r="S29"/>
  <c r="R29"/>
  <c r="P29"/>
  <c r="Q29" s="1"/>
  <c r="O29"/>
  <c r="N29"/>
  <c r="V28"/>
  <c r="U28"/>
  <c r="T28"/>
  <c r="S28"/>
  <c r="R28"/>
  <c r="P28"/>
  <c r="Q28" s="1"/>
  <c r="O28"/>
  <c r="N28"/>
  <c r="V27"/>
  <c r="U27"/>
  <c r="T27"/>
  <c r="S27"/>
  <c r="R27"/>
  <c r="P27"/>
  <c r="Q27" s="1"/>
  <c r="O27"/>
  <c r="N27"/>
  <c r="V26"/>
  <c r="U26"/>
  <c r="T26"/>
  <c r="S26"/>
  <c r="R26"/>
  <c r="P26"/>
  <c r="Q26" s="1"/>
  <c r="O26"/>
  <c r="N26"/>
  <c r="V25"/>
  <c r="U25"/>
  <c r="T25"/>
  <c r="S25"/>
  <c r="R25"/>
  <c r="P25"/>
  <c r="Q25" s="1"/>
  <c r="O25"/>
  <c r="N25"/>
  <c r="V24"/>
  <c r="U24"/>
  <c r="T24"/>
  <c r="S24"/>
  <c r="R24"/>
  <c r="P24"/>
  <c r="Q24" s="1"/>
  <c r="O24"/>
  <c r="N24"/>
  <c r="V23"/>
  <c r="U23"/>
  <c r="T23"/>
  <c r="S23"/>
  <c r="R23"/>
  <c r="P23"/>
  <c r="Q23" s="1"/>
  <c r="O23"/>
  <c r="N23"/>
  <c r="V22"/>
  <c r="U22"/>
  <c r="T22"/>
  <c r="S22"/>
  <c r="R22"/>
  <c r="P22"/>
  <c r="Q22" s="1"/>
  <c r="O22"/>
  <c r="N22"/>
  <c r="V21"/>
  <c r="U21"/>
  <c r="T21"/>
  <c r="S21"/>
  <c r="R21"/>
  <c r="P21"/>
  <c r="Q21" s="1"/>
  <c r="O21"/>
  <c r="N21"/>
  <c r="V20"/>
  <c r="U20"/>
  <c r="T20"/>
  <c r="S20"/>
  <c r="R20"/>
  <c r="P20"/>
  <c r="Q20" s="1"/>
  <c r="O20"/>
  <c r="N20"/>
  <c r="V19"/>
  <c r="U19"/>
  <c r="T19"/>
  <c r="S19"/>
  <c r="R19"/>
  <c r="P19"/>
  <c r="Q19" s="1"/>
  <c r="O19"/>
  <c r="N19"/>
  <c r="V18"/>
  <c r="U18"/>
  <c r="T18"/>
  <c r="S18"/>
  <c r="R18"/>
  <c r="P18"/>
  <c r="Q18" s="1"/>
  <c r="O18"/>
  <c r="N18"/>
  <c r="V17"/>
  <c r="U17"/>
  <c r="T17"/>
  <c r="S17"/>
  <c r="R17"/>
  <c r="P17"/>
  <c r="Q17" s="1"/>
  <c r="O17"/>
  <c r="N17"/>
  <c r="V16"/>
  <c r="U16"/>
  <c r="T16"/>
  <c r="S16"/>
  <c r="R16"/>
  <c r="P16"/>
  <c r="Q16" s="1"/>
  <c r="O16"/>
  <c r="N16"/>
  <c r="V15"/>
  <c r="U15"/>
  <c r="T15"/>
  <c r="S15"/>
  <c r="R15"/>
  <c r="P15"/>
  <c r="Q15" s="1"/>
  <c r="O15"/>
  <c r="N15"/>
  <c r="V14"/>
  <c r="U14"/>
  <c r="T14"/>
  <c r="S14"/>
  <c r="R14"/>
  <c r="P14"/>
  <c r="Q14" s="1"/>
  <c r="O14"/>
  <c r="N14"/>
  <c r="V13"/>
  <c r="U13"/>
  <c r="T13"/>
  <c r="S13"/>
  <c r="R13"/>
  <c r="P13"/>
  <c r="Q13" s="1"/>
  <c r="O13"/>
  <c r="N13"/>
  <c r="V12"/>
  <c r="U12"/>
  <c r="T12"/>
  <c r="S12"/>
  <c r="R12"/>
  <c r="P12"/>
  <c r="Q12" s="1"/>
  <c r="O12"/>
  <c r="N12"/>
  <c r="V11"/>
  <c r="U11"/>
  <c r="T11"/>
  <c r="S11"/>
  <c r="R11"/>
  <c r="P11"/>
  <c r="Q11" s="1"/>
  <c r="O11"/>
  <c r="N11"/>
  <c r="V10"/>
  <c r="U10"/>
  <c r="T10"/>
  <c r="S10"/>
  <c r="R10"/>
  <c r="P10"/>
  <c r="Q10" s="1"/>
  <c r="O10"/>
  <c r="N10"/>
  <c r="V9"/>
  <c r="U9"/>
  <c r="T9"/>
  <c r="S9"/>
  <c r="R9"/>
  <c r="P9"/>
  <c r="Q9" s="1"/>
  <c r="O9"/>
  <c r="N9"/>
  <c r="V8"/>
  <c r="U8"/>
  <c r="T8"/>
  <c r="S8"/>
  <c r="R8"/>
  <c r="P8"/>
  <c r="Q8" s="1"/>
  <c r="O8"/>
  <c r="N8"/>
  <c r="V7"/>
  <c r="U7"/>
  <c r="T7"/>
  <c r="S7"/>
  <c r="R7"/>
  <c r="P7"/>
  <c r="Q7" s="1"/>
  <c r="O7"/>
  <c r="N7"/>
  <c r="V6"/>
  <c r="U6"/>
  <c r="T6"/>
  <c r="S6"/>
  <c r="R6"/>
  <c r="P6"/>
  <c r="Q6" s="1"/>
  <c r="O6"/>
  <c r="N6"/>
  <c r="V5"/>
  <c r="C5" i="4" s="1"/>
  <c r="U5" i="1"/>
  <c r="C4" i="4" s="1"/>
  <c r="T5" i="1"/>
  <c r="S5"/>
  <c r="R5"/>
  <c r="C8" i="4" s="1"/>
  <c r="P5" i="1"/>
  <c r="C7" i="4" s="1"/>
  <c r="O5" i="1"/>
  <c r="N5"/>
  <c r="C9" i="4" l="1"/>
  <c r="B25"/>
  <c r="D25" s="1"/>
  <c r="C25"/>
  <c r="Q5" i="1"/>
  <c r="C19" i="4" s="1"/>
  <c r="C14"/>
  <c r="C13"/>
  <c r="C17"/>
  <c r="C15"/>
  <c r="C3"/>
  <c r="C18" l="1"/>
</calcChain>
</file>

<file path=xl/comments1.xml><?xml version="1.0" encoding="utf-8"?>
<comments xmlns="http://schemas.openxmlformats.org/spreadsheetml/2006/main">
  <authors>
    <author>asus</author>
  </authors>
  <commentList>
    <comment ref="V4" authorId="0">
      <text>
        <r>
          <rPr>
            <b/>
            <sz val="9"/>
            <color indexed="81"/>
            <rFont val="Tahoma"/>
            <family val="2"/>
          </rPr>
          <t>Registered + Casual Users</t>
        </r>
      </text>
    </comment>
  </commentList>
</comments>
</file>

<file path=xl/sharedStrings.xml><?xml version="1.0" encoding="utf-8"?>
<sst xmlns="http://schemas.openxmlformats.org/spreadsheetml/2006/main" count="505" uniqueCount="488">
  <si>
    <t>Record_Id</t>
  </si>
  <si>
    <t>Date</t>
  </si>
  <si>
    <t>Season</t>
  </si>
  <si>
    <t>Year</t>
  </si>
  <si>
    <t>Month</t>
  </si>
  <si>
    <t>Hour</t>
  </si>
  <si>
    <t>Holiday</t>
  </si>
  <si>
    <t>Weekday</t>
  </si>
  <si>
    <t>Weather_code</t>
  </si>
  <si>
    <t>Temperaturemp</t>
  </si>
  <si>
    <t>Season_name</t>
  </si>
  <si>
    <t>Day_type</t>
  </si>
  <si>
    <t>A_Temperature</t>
  </si>
  <si>
    <t>Humidity</t>
  </si>
  <si>
    <t>Wind_speed</t>
  </si>
  <si>
    <t>Non-Registered_user</t>
  </si>
  <si>
    <t>Registered_user</t>
  </si>
  <si>
    <t>Total Users</t>
  </si>
  <si>
    <t>f</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</si>
  <si>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</si>
  <si>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</si>
  <si>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</si>
  <si>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</si>
  <si>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</si>
  <si>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</si>
  <si>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</si>
  <si>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</si>
  <si>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</si>
  <si>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</si>
  <si>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</si>
  <si>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</si>
  <si>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</si>
  <si>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</si>
  <si>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</si>
  <si>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</si>
  <si>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</si>
  <si>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</si>
  <si>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</si>
  <si>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</si>
  <si>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</si>
  <si>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</si>
  <si>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</si>
  <si>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</si>
  <si>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</si>
  <si>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</si>
  <si>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</si>
  <si>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</si>
  <si>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</si>
  <si>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</si>
  <si>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</si>
  <si>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</si>
  <si>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</si>
  <si>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</si>
  <si>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</si>
  <si>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</si>
  <si>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</si>
  <si>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</si>
  <si>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</si>
  <si>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</si>
  <si>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</si>
  <si>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</si>
  <si>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</si>
  <si>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</si>
  <si>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</si>
  <si>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</si>
  <si>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</si>
  <si>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</si>
  <si>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</si>
  <si>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</si>
  <si>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</si>
  <si>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</si>
  <si>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</si>
  <si>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</si>
  <si>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</si>
  <si>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</si>
  <si>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</si>
  <si>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</si>
  <si>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</si>
  <si>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</si>
  <si>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</si>
  <si>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</si>
  <si>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</si>
  <si>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</si>
  <si>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</si>
  <si>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</si>
  <si>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</si>
  <si>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</si>
  <si>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</si>
  <si>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</si>
  <si>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</si>
  <si>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</si>
  <si>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</si>
  <si>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</si>
  <si>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</si>
  <si>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</si>
  <si>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</si>
  <si>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</si>
  <si>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</si>
  <si>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</si>
  <si>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</si>
  <si>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</si>
  <si>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</si>
  <si>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</si>
  <si>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</si>
  <si>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</si>
  <si>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</si>
  <si>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</si>
  <si>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</si>
  <si>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</si>
  <si>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</si>
  <si>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</si>
  <si>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</si>
  <si>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</si>
  <si>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</si>
  <si>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</si>
  <si>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</si>
  <si>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</si>
  <si>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</si>
  <si>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</si>
  <si>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</si>
  <si>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</si>
  <si>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</si>
  <si>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</si>
  <si>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</si>
  <si>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</si>
  <si>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</si>
  <si>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</si>
  <si>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</si>
  <si>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</si>
  <si>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</si>
  <si>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</si>
  <si>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</si>
  <si>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</si>
  <si>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</si>
  <si>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</si>
  <si>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</si>
  <si>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</si>
  <si>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</si>
  <si>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</si>
  <si>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</si>
  <si>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</si>
  <si>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</si>
  <si>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</si>
  <si>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</si>
  <si>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</si>
  <si>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</si>
  <si>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</si>
  <si>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</si>
  <si>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</si>
  <si>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</si>
  <si>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</si>
  <si>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</si>
  <si>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</si>
  <si>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</si>
  <si>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</si>
  <si>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</si>
  <si>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</si>
  <si>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</si>
  <si>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</si>
  <si>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</si>
  <si>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</si>
  <si>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</si>
  <si>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</si>
  <si>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</si>
  <si>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</si>
  <si>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</si>
  <si>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</si>
  <si>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</si>
  <si>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</si>
  <si>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</si>
  <si>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</si>
  <si>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</si>
  <si>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</si>
  <si>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</si>
  <si>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</si>
  <si>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</si>
  <si>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</si>
  <si>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</si>
  <si>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</si>
  <si>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</si>
  <si>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</si>
  <si>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</si>
  <si>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</si>
  <si>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</si>
  <si>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</si>
  <si>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</si>
  <si>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</si>
  <si>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</si>
  <si>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</si>
  <si>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</si>
  <si>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</si>
  <si>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</si>
  <si>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</si>
  <si>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</si>
  <si>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</si>
  <si>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</si>
  <si>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</si>
  <si>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</si>
  <si>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</si>
  <si>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</si>
  <si>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</si>
  <si>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</si>
  <si>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</si>
  <si>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</si>
  <si>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</si>
  <si>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</si>
  <si>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</si>
  <si>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</si>
  <si>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</si>
  <si>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</si>
  <si>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</si>
  <si>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</si>
  <si>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</si>
  <si>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</si>
  <si>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</si>
  <si>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</si>
  <si>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</si>
  <si>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</si>
  <si>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</si>
  <si>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</si>
  <si>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</si>
  <si>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</si>
  <si>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</si>
  <si>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</si>
  <si>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</si>
  <si>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</si>
  <si>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</si>
  <si>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</si>
  <si>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</si>
  <si>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</si>
  <si>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</si>
  <si>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</si>
  <si>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</si>
  <si>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</si>
  <si>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</si>
  <si>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</si>
  <si>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</si>
  <si>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</si>
  <si>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</si>
  <si>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</si>
  <si>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</si>
  <si>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</si>
  <si>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</si>
  <si>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</si>
  <si>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</si>
  <si>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</si>
  <si>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</si>
  <si>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</si>
  <si>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</si>
  <si>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</si>
  <si>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</si>
  <si>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</si>
  <si>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</si>
  <si>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</si>
  <si>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</si>
  <si>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</si>
  <si>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</si>
  <si>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</si>
  <si>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</si>
  <si>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</si>
  <si>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</si>
  <si>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</si>
  <si>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</si>
  <si>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</si>
  <si>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</si>
  <si>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</si>
  <si>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</si>
  <si>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</si>
  <si>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</si>
  <si>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</si>
  <si>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</si>
  <si>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</si>
  <si>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</si>
  <si>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</si>
  <si>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</si>
  <si>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</si>
  <si>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</si>
  <si>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</si>
  <si>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</si>
  <si>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</si>
  <si>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</si>
  <si>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</si>
  <si>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</si>
  <si>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</si>
  <si>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</si>
  <si>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</si>
  <si>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</si>
  <si>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</si>
  <si>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</si>
  <si>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</si>
  <si>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</si>
  <si>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</si>
  <si>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</si>
  <si>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</si>
  <si>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</si>
  <si>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</si>
  <si>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</si>
  <si>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</si>
  <si>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</si>
  <si>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</si>
  <si>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</si>
  <si>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</si>
  <si>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</si>
  <si>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</si>
  <si>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</si>
  <si>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</si>
  <si>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</si>
  <si>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</si>
  <si>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</si>
  <si>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</si>
  <si>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</si>
  <si>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</si>
  <si>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</si>
  <si>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</si>
  <si>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</si>
  <si>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</si>
  <si>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</si>
  <si>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</si>
  <si>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</si>
  <si>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</si>
  <si>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</si>
  <si>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</si>
  <si>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</si>
  <si>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</si>
  <si>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</si>
  <si>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</si>
  <si>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</si>
  <si>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</si>
  <si>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</si>
  <si>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</si>
  <si>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</si>
  <si>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</si>
  <si>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</si>
  <si>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</si>
  <si>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</si>
  <si>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</si>
  <si>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</si>
  <si>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</si>
  <si>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</si>
  <si>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</si>
  <si>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</si>
  <si>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</si>
  <si>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</si>
  <si>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</si>
  <si>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</si>
  <si>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</si>
  <si>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</si>
  <si>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</si>
  <si>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</si>
  <si>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</si>
  <si>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</si>
  <si>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</si>
  <si>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</si>
  <si>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</si>
  <si>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</si>
  <si>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</si>
  <si>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</si>
  <si>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</si>
  <si>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</si>
  <si>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</si>
  <si>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</si>
  <si>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</si>
  <si>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</si>
  <si>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</si>
  <si>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</si>
  <si>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</si>
  <si>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</si>
  <si>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</si>
  <si>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</si>
  <si>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</si>
  <si>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</si>
  <si>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</si>
  <si>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</si>
  <si>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</si>
  <si>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</si>
  <si>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</si>
  <si>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</si>
  <si>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</si>
  <si>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</si>
  <si>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</si>
  <si>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</si>
  <si>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</si>
  <si>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</si>
  <si>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</si>
  <si>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</si>
  <si>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</si>
  <si>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</si>
  <si>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</si>
  <si>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</si>
  <si>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</si>
  <si>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</si>
  <si>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</si>
  <si>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</si>
  <si>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</si>
  <si>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</si>
  <si>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</si>
  <si>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</si>
  <si>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</si>
  <si>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</si>
  <si>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</si>
  <si>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</si>
  <si>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</si>
  <si>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</si>
  <si>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</si>
  <si>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Bike Sharing System – Final Consolidated Dataset</t>
  </si>
  <si>
    <t>Combined data from Dataset_1, Dataset_2, Dataset_3, and Dataset_4
Includes hourly bike usage with weather, season, and user type details</t>
  </si>
  <si>
    <t>Metric</t>
  </si>
  <si>
    <t>Day</t>
  </si>
  <si>
    <t>Sr. No</t>
  </si>
  <si>
    <t>Formula Used in Excel</t>
  </si>
  <si>
    <t>Description</t>
  </si>
  <si>
    <t>Data Summary</t>
  </si>
  <si>
    <t>Total Non-Registered Users</t>
  </si>
  <si>
    <t xml:space="preserve">Total Casual User </t>
  </si>
  <si>
    <t>Total Registered Users</t>
  </si>
  <si>
    <t>Total registered users</t>
  </si>
  <si>
    <t>Total Users (Overall)</t>
  </si>
  <si>
    <t>Total rides (casual + registered)</t>
  </si>
  <si>
    <t>Average Temperature (°C)</t>
  </si>
  <si>
    <t>Average A_Temperature (Feels Like)</t>
  </si>
  <si>
    <t>Average feels-like temperature</t>
  </si>
  <si>
    <t>Average actual temperature</t>
  </si>
  <si>
    <t>Average Humidity (%)</t>
  </si>
  <si>
    <t>Average humidity level</t>
  </si>
  <si>
    <t>Average Wind Speed (km/h)</t>
  </si>
  <si>
    <t>Average wind speed</t>
  </si>
  <si>
    <t>Total Records (Rows)</t>
  </si>
  <si>
    <t>Total data entries in dataset</t>
  </si>
  <si>
    <t>Highest Total Users (Hourly)</t>
  </si>
  <si>
    <t>Maximum user count in one hour</t>
  </si>
  <si>
    <t>Lowest Total Users (Hourly)</t>
  </si>
  <si>
    <t>Minimum user count in one hour</t>
  </si>
  <si>
    <t>Std Deviation (Total Users)</t>
  </si>
  <si>
    <t>Variation in total users</t>
  </si>
  <si>
    <t>Correlation (Temperature vs Total Users)</t>
  </si>
  <si>
    <t>Correlation (A_Temperature vs Total Users)</t>
  </si>
  <si>
    <t>Effect of actual temperature</t>
  </si>
  <si>
    <t>Effect of feels-like temperature</t>
  </si>
  <si>
    <t>Total Rentals on Holidays</t>
  </si>
  <si>
    <t>Total rides when holida</t>
  </si>
  <si>
    <t>Total Rentals on Weekdays</t>
  </si>
  <si>
    <t>Total rides when not holiday</t>
  </si>
  <si>
    <t>Hot Hours (A_Temp &gt; 35°C)</t>
  </si>
  <si>
    <t>Actual_A_Temp</t>
  </si>
  <si>
    <t>Count of hot hours</t>
  </si>
  <si>
    <t>Cold Hours (A_Temp &lt; 10°C)</t>
  </si>
  <si>
    <t>Count of cold hours</t>
  </si>
  <si>
    <t>Rainy Hours (Weather_code = 3)</t>
  </si>
  <si>
    <t>Number of rainy hours</t>
  </si>
  <si>
    <t>Pivot 1: Hourly Demand Analysis</t>
  </si>
  <si>
    <t>Row Labels</t>
  </si>
  <si>
    <t>Grand Total</t>
  </si>
  <si>
    <t>Sum of Total Users</t>
  </si>
  <si>
    <t>Sum of Total Users2</t>
  </si>
  <si>
    <t>Observation:</t>
  </si>
  <si>
    <t>According to the bike-sharing data, the demand starts increasing after 6 AM and reaches its highest around 5 PM (17th hour).
From midnight to 5 AM, the number of rides remains very low.
This indicates that the company should allocate more bikes during the evening peak hours (5–7 PM).</t>
  </si>
  <si>
    <t>Pivot Table – 2: Season-wise Total Users</t>
  </si>
  <si>
    <t>Pivot Table – 3: Weather-wise Total Userss</t>
  </si>
  <si>
    <t xml:space="preserve">
The dataset contains data only for Season 1 (Winter).
Hence, all bike-sharing activity recorded belongs to the winter season.
Seasonal comparison (like summer vs winter) cannot be performed because data for other seasons is not available.</t>
  </si>
  <si>
    <t>Weather_Condition</t>
  </si>
  <si>
    <t>Clear</t>
  </si>
  <si>
    <t>Cloudy</t>
  </si>
  <si>
    <t>Heavy Rain</t>
  </si>
  <si>
    <t>Light Rain</t>
  </si>
  <si>
    <t>The highest number of bike rides were recorded during Clear or Sunny weather conditions, showing that users prefer to ride in pleasant weather.
The lowest demand is observed during Rainy or Stormy weather, indicating that bad weather reduces outdoor bike rentals.</t>
  </si>
  <si>
    <t>Pivot Table – 4: Weekday Pattern</t>
  </si>
  <si>
    <t>Weekday_Name</t>
  </si>
  <si>
    <t>Saturday</t>
  </si>
  <si>
    <t>Sunday</t>
  </si>
  <si>
    <t>Monday</t>
  </si>
  <si>
    <t>Tuesday</t>
  </si>
  <si>
    <t>Wednesday</t>
  </si>
  <si>
    <t>Thursday</t>
  </si>
  <si>
    <t>Friday</t>
  </si>
  <si>
    <t>Friday shows the highest ridership (9,095 users) — indicating people tend to use bike sharing more on the last working day of the week, possibly for office + leisure trips.
Saturday has the lowest usage (7,748 users) — maybe because many people take a break or prefer other modes of transport on weekends.
Monday to Thursday show steady demand (8,000–8,450 users), suggesting consistent weekday commuting patterns.
Overall, weekdays (Mon–Fri) have higher usage compared to weekends (Sat–Sun).
→ This highlights that bike sharing is mainly used for work-related travel rather than casual weekend rides.</t>
  </si>
  <si>
    <t>Pivot Table – 4: User Type Split</t>
  </si>
  <si>
    <t xml:space="preserve">Non- Registered User </t>
  </si>
  <si>
    <t>Total</t>
  </si>
  <si>
    <t>S.No</t>
  </si>
  <si>
    <t>Registered User</t>
  </si>
  <si>
    <t xml:space="preserve"> </t>
  </si>
  <si>
    <t>User Type</t>
  </si>
  <si>
    <t>Count</t>
  </si>
  <si>
    <t>Non-Registered User</t>
  </si>
  <si>
    <t>Sum of Count</t>
  </si>
  <si>
    <t>Around 91.5% of total bike-sharing users are registered, while only 8.5% are non-registered.
This indicates that bike-sharing is primarily used by regular, registered members for daily commuting purposes rather than casual or one-time riders.</t>
  </si>
  <si>
    <t>BIKE SHARING ANALYSIS DASHBOARD</t>
  </si>
  <si>
    <t>Yearly Performance Overview</t>
  </si>
</sst>
</file>

<file path=xl/styles.xml><?xml version="1.0" encoding="utf-8"?>
<styleSheet xmlns="http://schemas.openxmlformats.org/spreadsheetml/2006/main">
  <numFmts count="1">
    <numFmt numFmtId="164" formatCode="[$-409]d\-mmm\-yy;@"/>
  </numFmts>
  <fonts count="13">
    <font>
      <sz val="11"/>
      <color theme="1"/>
      <name val="Calibri"/>
      <family val="2"/>
      <scheme val="minor"/>
    </font>
    <font>
      <b/>
      <sz val="9"/>
      <color indexed="81"/>
      <name val="Tahoma"/>
      <family val="2"/>
    </font>
    <font>
      <b/>
      <sz val="11"/>
      <color theme="1"/>
      <name val="Calibri"/>
      <family val="2"/>
      <scheme val="minor"/>
    </font>
    <font>
      <b/>
      <sz val="22"/>
      <color theme="1"/>
      <name val="Calibri"/>
      <family val="2"/>
      <scheme val="minor"/>
    </font>
    <font>
      <b/>
      <sz val="14"/>
      <color theme="1"/>
      <name val="Arial"/>
      <family val="2"/>
    </font>
    <font>
      <sz val="14"/>
      <color theme="1"/>
      <name val="Arial"/>
      <family val="2"/>
    </font>
    <font>
      <sz val="14"/>
      <color theme="1"/>
      <name val="Calibri"/>
      <family val="2"/>
      <scheme val="minor"/>
    </font>
    <font>
      <sz val="16"/>
      <color theme="1"/>
      <name val="Calibri"/>
      <family val="2"/>
      <scheme val="minor"/>
    </font>
    <font>
      <b/>
      <sz val="12"/>
      <color theme="1"/>
      <name val="Arial"/>
      <family val="2"/>
    </font>
    <font>
      <b/>
      <i/>
      <sz val="11"/>
      <color theme="1"/>
      <name val="Arial"/>
      <family val="2"/>
    </font>
    <font>
      <b/>
      <i/>
      <u val="double"/>
      <sz val="11"/>
      <color theme="1"/>
      <name val="Arial"/>
      <family val="2"/>
    </font>
    <font>
      <sz val="11"/>
      <name val="Calibri"/>
      <family val="2"/>
      <scheme val="minor"/>
    </font>
    <font>
      <b/>
      <sz val="20"/>
      <color theme="1"/>
      <name val="Arial"/>
      <family val="2"/>
    </font>
  </fonts>
  <fills count="6">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82">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Alignment="1">
      <alignment horizontal="center"/>
    </xf>
    <xf numFmtId="1" fontId="0" fillId="0" borderId="0" xfId="0" applyNumberFormat="1" applyAlignment="1">
      <alignment vertical="center"/>
    </xf>
    <xf numFmtId="0" fontId="0" fillId="0" borderId="0" xfId="0" applyBorder="1" applyAlignment="1">
      <alignment vertical="center"/>
    </xf>
    <xf numFmtId="0" fontId="0" fillId="0" borderId="0" xfId="0" applyAlignment="1">
      <alignment vertical="center"/>
    </xf>
    <xf numFmtId="1" fontId="5"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6" fillId="0" borderId="0" xfId="0" applyFont="1" applyBorder="1" applyAlignment="1">
      <alignment vertical="center"/>
    </xf>
    <xf numFmtId="0" fontId="6" fillId="0" borderId="0" xfId="0" applyFont="1" applyAlignment="1">
      <alignment vertical="center"/>
    </xf>
    <xf numFmtId="164" fontId="5" fillId="0" borderId="1" xfId="0" applyNumberFormat="1" applyFont="1" applyBorder="1" applyAlignment="1">
      <alignment horizontal="center" vertical="center"/>
    </xf>
    <xf numFmtId="1" fontId="7" fillId="0" borderId="0" xfId="0" applyNumberFormat="1" applyFont="1" applyBorder="1" applyAlignment="1">
      <alignment horizontal="center" vertical="center" wrapText="1"/>
    </xf>
    <xf numFmtId="1" fontId="7" fillId="0" borderId="0" xfId="0" applyNumberFormat="1" applyFont="1" applyBorder="1" applyAlignment="1">
      <alignment horizontal="center" vertical="center"/>
    </xf>
    <xf numFmtId="1" fontId="5" fillId="0" borderId="2" xfId="0" applyNumberFormat="1" applyFont="1" applyBorder="1" applyAlignment="1">
      <alignment horizontal="center" vertical="center" wrapText="1"/>
    </xf>
    <xf numFmtId="0" fontId="6" fillId="0" borderId="3" xfId="0" applyFont="1" applyBorder="1" applyAlignment="1">
      <alignment horizontal="center" vertical="center"/>
    </xf>
    <xf numFmtId="0" fontId="5" fillId="0" borderId="3" xfId="0" applyFont="1" applyBorder="1" applyAlignment="1">
      <alignment horizontal="center" vertical="center" wrapText="1"/>
    </xf>
    <xf numFmtId="1" fontId="4" fillId="2" borderId="4"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1" fontId="5" fillId="0" borderId="7" xfId="0" applyNumberFormat="1" applyFont="1" applyBorder="1" applyAlignment="1">
      <alignment horizontal="center" vertical="center" wrapText="1"/>
    </xf>
    <xf numFmtId="164" fontId="5" fillId="0" borderId="8" xfId="0" applyNumberFormat="1" applyFont="1" applyBorder="1" applyAlignment="1">
      <alignment horizontal="center" vertical="center" wrapText="1"/>
    </xf>
    <xf numFmtId="0" fontId="5" fillId="0" borderId="8" xfId="0" applyFont="1" applyBorder="1" applyAlignment="1">
      <alignment horizontal="center" vertical="center" wrapText="1"/>
    </xf>
    <xf numFmtId="0" fontId="6" fillId="0" borderId="8" xfId="0" applyFont="1" applyBorder="1" applyAlignment="1">
      <alignment horizontal="center" vertical="center"/>
    </xf>
    <xf numFmtId="0" fontId="5" fillId="0" borderId="9" xfId="0" applyFont="1" applyBorder="1" applyAlignment="1">
      <alignment horizontal="center" vertical="center" wrapText="1"/>
    </xf>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1" xfId="0" applyFont="1" applyBorder="1" applyAlignment="1">
      <alignment horizontal="center" vertical="center" wrapText="1"/>
    </xf>
    <xf numFmtId="2" fontId="6" fillId="0" borderId="0" xfId="0" applyNumberFormat="1" applyFont="1" applyAlignment="1">
      <alignment vertical="center"/>
    </xf>
    <xf numFmtId="2" fontId="0" fillId="0" borderId="0" xfId="0" applyNumberFormat="1" applyAlignment="1">
      <alignment vertical="center"/>
    </xf>
    <xf numFmtId="0" fontId="2" fillId="0" borderId="1" xfId="0" applyFont="1" applyBorder="1" applyAlignment="1">
      <alignment horizontal="center" vertical="center"/>
    </xf>
    <xf numFmtId="0" fontId="5" fillId="0" borderId="1" xfId="0" applyNumberFormat="1" applyFont="1" applyBorder="1" applyAlignment="1">
      <alignment horizontal="center" vertical="center" wrapText="1"/>
    </xf>
    <xf numFmtId="0" fontId="5" fillId="0" borderId="8" xfId="0" applyNumberFormat="1" applyFont="1" applyBorder="1" applyAlignment="1">
      <alignment horizontal="center" vertical="center" wrapText="1"/>
    </xf>
    <xf numFmtId="1" fontId="6" fillId="0" borderId="1" xfId="0" applyNumberFormat="1" applyFont="1" applyBorder="1" applyAlignment="1">
      <alignment horizontal="center" vertical="center"/>
    </xf>
    <xf numFmtId="1" fontId="5" fillId="0" borderId="8"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10" fillId="0" borderId="0" xfId="0" applyFont="1" applyAlignment="1">
      <alignment horizontal="left"/>
    </xf>
    <xf numFmtId="0" fontId="0" fillId="0" borderId="0" xfId="0" applyNumberFormat="1"/>
    <xf numFmtId="0" fontId="0" fillId="0" borderId="0" xfId="0" pivotButton="1"/>
    <xf numFmtId="0" fontId="0" fillId="0" borderId="0" xfId="0" applyAlignment="1">
      <alignment horizontal="left"/>
    </xf>
    <xf numFmtId="0" fontId="0" fillId="0" borderId="0" xfId="0" applyBorder="1"/>
    <xf numFmtId="1" fontId="0" fillId="0" borderId="0" xfId="0" applyNumberFormat="1" applyAlignment="1">
      <alignment horizontal="left"/>
    </xf>
    <xf numFmtId="0" fontId="9" fillId="0" borderId="0" xfId="0" applyFont="1"/>
    <xf numFmtId="0" fontId="11" fillId="3" borderId="0" xfId="0" applyFont="1" applyFill="1" applyAlignment="1">
      <alignment horizontal="left"/>
    </xf>
    <xf numFmtId="0" fontId="0" fillId="0" borderId="1" xfId="0" applyBorder="1" applyAlignment="1">
      <alignment horizontal="center"/>
    </xf>
    <xf numFmtId="0" fontId="2" fillId="2" borderId="1" xfId="0" applyFont="1" applyFill="1" applyBorder="1"/>
    <xf numFmtId="0" fontId="2" fillId="2" borderId="1" xfId="0" applyFont="1" applyFill="1" applyBorder="1" applyAlignment="1">
      <alignment horizontal="center"/>
    </xf>
    <xf numFmtId="0" fontId="2" fillId="2" borderId="3" xfId="0" applyFont="1" applyFill="1" applyBorder="1" applyAlignment="1"/>
    <xf numFmtId="0" fontId="2" fillId="2" borderId="2" xfId="0" applyFont="1" applyFill="1" applyBorder="1" applyAlignment="1"/>
    <xf numFmtId="0" fontId="0" fillId="0" borderId="3" xfId="0" applyBorder="1" applyAlignment="1">
      <alignment horizontal="center"/>
    </xf>
    <xf numFmtId="0" fontId="0" fillId="0" borderId="2" xfId="0" applyBorder="1" applyAlignment="1">
      <alignment horizontal="center"/>
    </xf>
    <xf numFmtId="0" fontId="2" fillId="0" borderId="0" xfId="0" applyFont="1" applyAlignment="1">
      <alignment horizontal="center" vertical="center" wrapText="1"/>
    </xf>
    <xf numFmtId="0" fontId="0" fillId="0" borderId="0" xfId="0" applyAlignment="1">
      <alignment wrapText="1"/>
    </xf>
    <xf numFmtId="0" fontId="9" fillId="4" borderId="0" xfId="0" applyFont="1" applyFill="1"/>
    <xf numFmtId="0" fontId="0" fillId="4" borderId="0" xfId="0" applyFill="1"/>
    <xf numFmtId="0" fontId="0" fillId="2" borderId="0" xfId="0" applyFill="1"/>
    <xf numFmtId="0" fontId="12" fillId="0" borderId="0" xfId="0" applyFont="1" applyAlignment="1">
      <alignment vertical="center"/>
    </xf>
    <xf numFmtId="0" fontId="0" fillId="5" borderId="0" xfId="0" applyFill="1"/>
    <xf numFmtId="3" fontId="2"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xf>
    <xf numFmtId="1" fontId="3" fillId="0" borderId="0" xfId="0" applyNumberFormat="1" applyFont="1" applyBorder="1" applyAlignment="1">
      <alignment horizontal="center" vertical="center"/>
    </xf>
    <xf numFmtId="1" fontId="7" fillId="0" borderId="0" xfId="0" applyNumberFormat="1" applyFont="1" applyBorder="1" applyAlignment="1">
      <alignment horizontal="center" vertical="center" wrapText="1"/>
    </xf>
    <xf numFmtId="1" fontId="7" fillId="0" borderId="0" xfId="0" applyNumberFormat="1" applyFont="1" applyBorder="1" applyAlignment="1">
      <alignment horizontal="center" vertical="center"/>
    </xf>
    <xf numFmtId="0" fontId="8" fillId="0" borderId="10" xfId="0" applyFont="1" applyBorder="1" applyAlignment="1">
      <alignment horizontal="center" vertical="center"/>
    </xf>
    <xf numFmtId="0" fontId="10" fillId="0" borderId="0" xfId="0" applyFont="1" applyAlignment="1">
      <alignment horizontal="left"/>
    </xf>
    <xf numFmtId="0" fontId="11" fillId="3" borderId="0" xfId="0" applyFont="1" applyFill="1" applyAlignment="1">
      <alignment horizontal="left" wrapText="1"/>
    </xf>
    <xf numFmtId="0" fontId="11" fillId="3" borderId="0" xfId="0" applyFont="1" applyFill="1" applyAlignment="1">
      <alignment horizontal="left"/>
    </xf>
    <xf numFmtId="0" fontId="0" fillId="3" borderId="0" xfId="0" applyFill="1" applyAlignment="1">
      <alignment horizontal="left" wrapText="1"/>
    </xf>
    <xf numFmtId="0" fontId="0" fillId="3" borderId="0" xfId="0" applyFill="1" applyAlignment="1">
      <alignment horizontal="left"/>
    </xf>
    <xf numFmtId="0" fontId="0" fillId="3" borderId="0" xfId="0" applyNumberFormat="1" applyFill="1" applyAlignment="1">
      <alignment horizontal="left" wrapText="1"/>
    </xf>
    <xf numFmtId="0" fontId="0" fillId="3" borderId="0" xfId="0" applyNumberFormat="1" applyFill="1" applyAlignment="1">
      <alignment horizontal="left"/>
    </xf>
    <xf numFmtId="0" fontId="9" fillId="0" borderId="0" xfId="0" applyFont="1" applyAlignment="1">
      <alignment horizontal="left"/>
    </xf>
    <xf numFmtId="0" fontId="12" fillId="5" borderId="0" xfId="0" applyFont="1" applyFill="1" applyAlignment="1">
      <alignment horizontal="center" vertical="center"/>
    </xf>
    <xf numFmtId="0" fontId="6" fillId="5" borderId="0" xfId="0" applyFont="1" applyFill="1" applyAlignment="1">
      <alignment horizontal="center" vertical="center"/>
    </xf>
  </cellXfs>
  <cellStyles count="1">
    <cellStyle name="Normal" xfId="0" builtinId="0"/>
  </cellStyles>
  <dxfs count="28">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numFmt numFmtId="1" formatCode="0"/>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alignment horizontal="center" vertical="center"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alignment horizontal="center" vertical="center" textRotation="0" wrapText="0"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numFmt numFmtId="0" formatCode="Genera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numFmt numFmtId="0" formatCode="General"/>
      <alignment horizontal="center"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numFmt numFmtId="1" formatCode="0"/>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numFmt numFmtId="164" formatCode="[$-409]d\-mmm\-yy;@"/>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numFmt numFmtId="164" formatCode="[$-409]d\-mmm\-yy;@"/>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scheme val="none"/>
      </font>
      <numFmt numFmtId="1" formatCode="0"/>
      <alignment horizontal="center" vertical="center" textRotation="0" wrapText="1" indent="0" relativeIndent="0" justifyLastLine="0" shrinkToFit="0" mergeCell="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Arial"/>
        <scheme val="none"/>
      </font>
      <alignment horizontal="center" vertical="center" textRotation="0" wrapText="1" indent="0" relativeIndent="0" justifyLastLine="0" shrinkToFit="0" mergeCell="0" readingOrder="0"/>
    </dxf>
    <dxf>
      <border outline="0">
        <bottom style="thin">
          <color indexed="64"/>
        </bottom>
      </border>
    </dxf>
    <dxf>
      <font>
        <b/>
        <i val="0"/>
        <strike val="0"/>
        <condense val="0"/>
        <extend val="0"/>
        <outline val="0"/>
        <shadow val="0"/>
        <u val="none"/>
        <vertAlign val="baseline"/>
        <sz val="14"/>
        <color theme="1"/>
        <name val="Arial"/>
        <scheme val="none"/>
      </font>
      <fill>
        <patternFill patternType="solid">
          <fgColor indexed="64"/>
          <bgColor rgb="FF00B050"/>
        </patternFill>
      </fill>
      <alignment horizontal="center" vertical="center" textRotation="0" wrapText="0" indent="0" relativeIndent="0" justifyLastLine="0" shrinkToFit="0" mergeCell="0" readingOrder="0"/>
      <border diagonalUp="0" diagonalDown="0" outline="0">
        <left style="thin">
          <color indexed="64"/>
        </left>
        <right style="thin">
          <color indexed="64"/>
        </right>
        <top/>
        <bottom/>
      </border>
    </dxf>
    <dxf>
      <font>
        <color rgb="FFFF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ANALYSIS!Hourly Demand Analysis</c:name>
    <c:fmtId val="0"/>
  </c:pivotSource>
  <c:chart>
    <c:title>
      <c:tx>
        <c:rich>
          <a:bodyPr/>
          <a:lstStyle/>
          <a:p>
            <a:pPr>
              <a:defRPr/>
            </a:pPr>
            <a:r>
              <a:rPr lang="en-US"/>
              <a:t>Hourly</a:t>
            </a:r>
            <a:r>
              <a:rPr lang="en-US" baseline="0"/>
              <a:t> Demand Analysis</a:t>
            </a:r>
            <a:endParaRPr lang="en-US"/>
          </a:p>
        </c:rich>
      </c:tx>
      <c:layout/>
    </c:title>
    <c:pivotFmts>
      <c:pivotFmt>
        <c:idx val="0"/>
        <c:marker>
          <c:symbol val="none"/>
        </c:marker>
      </c:pivotFmt>
    </c:pivotFmts>
    <c:plotArea>
      <c:layout/>
      <c:lineChart>
        <c:grouping val="standard"/>
        <c:ser>
          <c:idx val="0"/>
          <c:order val="0"/>
          <c:tx>
            <c:strRef>
              <c:f>'PIVOT ANALYSIS'!$B$3</c:f>
              <c:strCache>
                <c:ptCount val="1"/>
                <c:pt idx="0">
                  <c:v>Total</c:v>
                </c:pt>
              </c:strCache>
            </c:strRef>
          </c:tx>
          <c:marker>
            <c:symbol val="none"/>
          </c:marker>
          <c:cat>
            <c:strRef>
              <c:f>'PIVOT ANALYSIS'!$A$4:$A$28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ANALYSIS'!$B$4:$B$28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er>
        <c:marker val="1"/>
        <c:axId val="94177536"/>
        <c:axId val="94183424"/>
      </c:lineChart>
      <c:catAx>
        <c:axId val="94177536"/>
        <c:scaling>
          <c:orientation val="minMax"/>
        </c:scaling>
        <c:axPos val="b"/>
        <c:tickLblPos val="nextTo"/>
        <c:crossAx val="94183424"/>
        <c:crosses val="autoZero"/>
        <c:auto val="1"/>
        <c:lblAlgn val="ctr"/>
        <c:lblOffset val="100"/>
      </c:catAx>
      <c:valAx>
        <c:axId val="94183424"/>
        <c:scaling>
          <c:orientation val="minMax"/>
        </c:scaling>
        <c:axPos val="l"/>
        <c:majorGridlines/>
        <c:numFmt formatCode="General" sourceLinked="1"/>
        <c:tickLblPos val="nextTo"/>
        <c:crossAx val="94177536"/>
        <c:crosses val="autoZero"/>
        <c:crossBetween val="between"/>
      </c:valAx>
    </c:plotArea>
    <c:legend>
      <c:legendPos val="r"/>
      <c:layout/>
    </c:legend>
    <c:plotVisOnly val="1"/>
  </c:chart>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ANALYSIS!PivotTable3</c:name>
    <c:fmtId val="0"/>
  </c:pivotSource>
  <c:chart>
    <c:title>
      <c:tx>
        <c:rich>
          <a:bodyPr/>
          <a:lstStyle/>
          <a:p>
            <a:pPr>
              <a:defRPr/>
            </a:pPr>
            <a:r>
              <a:rPr lang="en-US" sz="1800" b="1" i="0" u="none" strike="noStrike" baseline="0"/>
              <a:t>Season-wise Bike Sharing Usage</a:t>
            </a:r>
            <a:endParaRPr lang="en-US"/>
          </a:p>
        </c:rich>
      </c:tx>
      <c:layout/>
    </c:title>
    <c:pivotFmts>
      <c:pivotFmt>
        <c:idx val="0"/>
        <c:marker>
          <c:symbol val="none"/>
        </c:marker>
      </c:pivotFmt>
    </c:pivotFmts>
    <c:plotArea>
      <c:layout/>
      <c:barChart>
        <c:barDir val="col"/>
        <c:grouping val="clustered"/>
        <c:ser>
          <c:idx val="0"/>
          <c:order val="0"/>
          <c:tx>
            <c:strRef>
              <c:f>'PIVOT ANALYSIS'!$B$37</c:f>
              <c:strCache>
                <c:ptCount val="1"/>
                <c:pt idx="0">
                  <c:v>Total</c:v>
                </c:pt>
              </c:strCache>
            </c:strRef>
          </c:tx>
          <c:cat>
            <c:strRef>
              <c:f>'PIVOT ANALYSIS'!$A$38:$A$39</c:f>
              <c:strCache>
                <c:ptCount val="1"/>
                <c:pt idx="0">
                  <c:v>1</c:v>
                </c:pt>
              </c:strCache>
            </c:strRef>
          </c:cat>
          <c:val>
            <c:numRef>
              <c:f>'PIVOT ANALYSIS'!$B$38:$B$39</c:f>
              <c:numCache>
                <c:formatCode>General</c:formatCode>
                <c:ptCount val="1"/>
                <c:pt idx="0">
                  <c:v>58304</c:v>
                </c:pt>
              </c:numCache>
            </c:numRef>
          </c:val>
        </c:ser>
        <c:axId val="94195072"/>
        <c:axId val="94213248"/>
      </c:barChart>
      <c:catAx>
        <c:axId val="94195072"/>
        <c:scaling>
          <c:orientation val="minMax"/>
        </c:scaling>
        <c:axPos val="b"/>
        <c:tickLblPos val="nextTo"/>
        <c:crossAx val="94213248"/>
        <c:crosses val="autoZero"/>
        <c:auto val="1"/>
        <c:lblAlgn val="ctr"/>
        <c:lblOffset val="100"/>
      </c:catAx>
      <c:valAx>
        <c:axId val="94213248"/>
        <c:scaling>
          <c:orientation val="minMax"/>
        </c:scaling>
        <c:axPos val="l"/>
        <c:majorGridlines/>
        <c:numFmt formatCode="General" sourceLinked="1"/>
        <c:tickLblPos val="nextTo"/>
        <c:crossAx val="94195072"/>
        <c:crosses val="autoZero"/>
        <c:crossBetween val="between"/>
      </c:valAx>
    </c:plotArea>
    <c:legend>
      <c:legendPos val="r"/>
      <c:layout/>
    </c:legend>
    <c:plotVisOnly val="1"/>
  </c:chart>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ANALYSIS!PivotTable6</c:name>
    <c:fmtId val="0"/>
  </c:pivotSource>
  <c:chart>
    <c:title>
      <c:tx>
        <c:rich>
          <a:bodyPr/>
          <a:lstStyle/>
          <a:p>
            <a:pPr>
              <a:defRPr/>
            </a:pPr>
            <a:r>
              <a:rPr lang="en-US" sz="1800" b="1" i="0" u="none" strike="noStrike" baseline="0"/>
              <a:t>Weather-wise Bike Sharing Demand</a:t>
            </a:r>
            <a:endParaRPr lang="en-US"/>
          </a:p>
        </c:rich>
      </c:tx>
      <c:layout/>
    </c:title>
    <c:pivotFmts>
      <c:pivotFmt>
        <c:idx val="0"/>
        <c:marker>
          <c:symbol val="none"/>
        </c:marker>
      </c:pivotFmt>
    </c:pivotFmts>
    <c:view3D>
      <c:rAngAx val="1"/>
    </c:view3D>
    <c:plotArea>
      <c:layout/>
      <c:bar3DChart>
        <c:barDir val="bar"/>
        <c:grouping val="stacked"/>
        <c:ser>
          <c:idx val="0"/>
          <c:order val="0"/>
          <c:tx>
            <c:strRef>
              <c:f>'PIVOT ANALYSIS'!$B$70</c:f>
              <c:strCache>
                <c:ptCount val="1"/>
                <c:pt idx="0">
                  <c:v>Total</c:v>
                </c:pt>
              </c:strCache>
            </c:strRef>
          </c:tx>
          <c:cat>
            <c:strRef>
              <c:f>'PIVOT ANALYSIS'!$A$71:$A$75</c:f>
              <c:strCache>
                <c:ptCount val="4"/>
                <c:pt idx="0">
                  <c:v>Clear</c:v>
                </c:pt>
                <c:pt idx="1">
                  <c:v>Cloudy</c:v>
                </c:pt>
                <c:pt idx="2">
                  <c:v>Heavy Rain</c:v>
                </c:pt>
                <c:pt idx="3">
                  <c:v>Light Rain</c:v>
                </c:pt>
              </c:strCache>
            </c:strRef>
          </c:cat>
          <c:val>
            <c:numRef>
              <c:f>'PIVOT ANALYSIS'!$B$71:$B$75</c:f>
              <c:numCache>
                <c:formatCode>General</c:formatCode>
                <c:ptCount val="4"/>
                <c:pt idx="0">
                  <c:v>37373</c:v>
                </c:pt>
                <c:pt idx="1">
                  <c:v>18106</c:v>
                </c:pt>
                <c:pt idx="2">
                  <c:v>36</c:v>
                </c:pt>
                <c:pt idx="3">
                  <c:v>2789</c:v>
                </c:pt>
              </c:numCache>
            </c:numRef>
          </c:val>
        </c:ser>
        <c:shape val="box"/>
        <c:axId val="94237824"/>
        <c:axId val="94239360"/>
        <c:axId val="0"/>
      </c:bar3DChart>
      <c:catAx>
        <c:axId val="94237824"/>
        <c:scaling>
          <c:orientation val="minMax"/>
        </c:scaling>
        <c:axPos val="l"/>
        <c:tickLblPos val="nextTo"/>
        <c:crossAx val="94239360"/>
        <c:crosses val="autoZero"/>
        <c:auto val="1"/>
        <c:lblAlgn val="ctr"/>
        <c:lblOffset val="100"/>
      </c:catAx>
      <c:valAx>
        <c:axId val="94239360"/>
        <c:scaling>
          <c:orientation val="minMax"/>
        </c:scaling>
        <c:axPos val="b"/>
        <c:majorGridlines/>
        <c:numFmt formatCode="General" sourceLinked="1"/>
        <c:tickLblPos val="nextTo"/>
        <c:crossAx val="94237824"/>
        <c:crosses val="autoZero"/>
        <c:crossBetween val="between"/>
      </c:valAx>
    </c:plotArea>
    <c:legend>
      <c:legendPos val="r"/>
      <c:layout/>
    </c:legend>
    <c:plotVisOnly val="1"/>
  </c:chart>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ANALYSIS!PivotTable10</c:name>
    <c:fmtId val="0"/>
  </c:pivotSource>
  <c:chart>
    <c:title>
      <c:tx>
        <c:rich>
          <a:bodyPr/>
          <a:lstStyle/>
          <a:p>
            <a:pPr>
              <a:defRPr/>
            </a:pPr>
            <a:r>
              <a:rPr lang="en-US"/>
              <a:t>Weekday Pattern</a:t>
            </a:r>
          </a:p>
        </c:rich>
      </c:tx>
      <c:layout/>
    </c:title>
    <c:pivotFmts>
      <c:pivotFmt>
        <c:idx val="0"/>
        <c:marker>
          <c:symbol val="none"/>
        </c:marker>
      </c:pivotFmt>
    </c:pivotFmts>
    <c:plotArea>
      <c:layout/>
      <c:barChart>
        <c:barDir val="bar"/>
        <c:grouping val="clustered"/>
        <c:ser>
          <c:idx val="0"/>
          <c:order val="0"/>
          <c:tx>
            <c:strRef>
              <c:f>'PIVOT ANALYSIS'!$B$104</c:f>
              <c:strCache>
                <c:ptCount val="1"/>
                <c:pt idx="0">
                  <c:v>Total</c:v>
                </c:pt>
              </c:strCache>
            </c:strRef>
          </c:tx>
          <c:cat>
            <c:strRef>
              <c:f>'PIVOT ANALYSIS'!$A$105:$A$112</c:f>
              <c:strCache>
                <c:ptCount val="7"/>
                <c:pt idx="0">
                  <c:v>Saturday</c:v>
                </c:pt>
                <c:pt idx="1">
                  <c:v>Sunday</c:v>
                </c:pt>
                <c:pt idx="2">
                  <c:v>Monday</c:v>
                </c:pt>
                <c:pt idx="3">
                  <c:v>Tuesday</c:v>
                </c:pt>
                <c:pt idx="4">
                  <c:v>Wednesday</c:v>
                </c:pt>
                <c:pt idx="5">
                  <c:v>Thursday</c:v>
                </c:pt>
                <c:pt idx="6">
                  <c:v>Friday</c:v>
                </c:pt>
              </c:strCache>
            </c:strRef>
          </c:cat>
          <c:val>
            <c:numRef>
              <c:f>'PIVOT ANALYSIS'!$B$105:$B$112</c:f>
              <c:numCache>
                <c:formatCode>General</c:formatCode>
                <c:ptCount val="7"/>
                <c:pt idx="0">
                  <c:v>7748</c:v>
                </c:pt>
                <c:pt idx="1">
                  <c:v>8121</c:v>
                </c:pt>
                <c:pt idx="2">
                  <c:v>8450</c:v>
                </c:pt>
                <c:pt idx="3">
                  <c:v>8383</c:v>
                </c:pt>
                <c:pt idx="4">
                  <c:v>8049</c:v>
                </c:pt>
                <c:pt idx="5">
                  <c:v>8458</c:v>
                </c:pt>
                <c:pt idx="6">
                  <c:v>9095</c:v>
                </c:pt>
              </c:numCache>
            </c:numRef>
          </c:val>
        </c:ser>
        <c:axId val="94255360"/>
        <c:axId val="94281728"/>
      </c:barChart>
      <c:catAx>
        <c:axId val="94255360"/>
        <c:scaling>
          <c:orientation val="minMax"/>
        </c:scaling>
        <c:axPos val="l"/>
        <c:tickLblPos val="nextTo"/>
        <c:crossAx val="94281728"/>
        <c:crosses val="autoZero"/>
        <c:auto val="1"/>
        <c:lblAlgn val="ctr"/>
        <c:lblOffset val="100"/>
      </c:catAx>
      <c:valAx>
        <c:axId val="94281728"/>
        <c:scaling>
          <c:orientation val="minMax"/>
        </c:scaling>
        <c:axPos val="b"/>
        <c:majorGridlines/>
        <c:numFmt formatCode="General" sourceLinked="1"/>
        <c:tickLblPos val="nextTo"/>
        <c:crossAx val="94255360"/>
        <c:crosses val="autoZero"/>
        <c:crossBetween val="between"/>
      </c:valAx>
    </c:plotArea>
    <c:legend>
      <c:legendPos val="r"/>
      <c:layout/>
    </c:legend>
    <c:plotVisOnly val="1"/>
  </c:chart>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26"/>
  <c:pivotSource>
    <c:name>[dataset_5 Final Data set.xlsx]PIVOT ANALYSIS!PivotTable9</c:name>
    <c:fmtId val="0"/>
  </c:pivotSource>
  <c:chart>
    <c:title>
      <c:tx>
        <c:rich>
          <a:bodyPr/>
          <a:lstStyle/>
          <a:p>
            <a:pPr>
              <a:defRPr/>
            </a:pPr>
            <a:r>
              <a:rPr lang="en-US"/>
              <a:t>Registered vs Non-Registered Users</a:t>
            </a:r>
          </a:p>
        </c:rich>
      </c:tx>
      <c:layout/>
    </c:title>
    <c:pivotFmts>
      <c:pivotFmt>
        <c:idx val="0"/>
        <c:marker>
          <c:symbol val="none"/>
        </c:marker>
        <c:dLbl>
          <c:idx val="0"/>
          <c:layout/>
          <c:showPercent val="1"/>
        </c:dLbl>
      </c:pivotFmt>
      <c:pivotFmt>
        <c:idx val="1"/>
      </c:pivotFmt>
    </c:pivotFmts>
    <c:plotArea>
      <c:layout/>
      <c:pieChart>
        <c:varyColors val="1"/>
        <c:ser>
          <c:idx val="0"/>
          <c:order val="0"/>
          <c:tx>
            <c:strRef>
              <c:f>'PIVOT ANALYSIS'!$B$137</c:f>
              <c:strCache>
                <c:ptCount val="1"/>
                <c:pt idx="0">
                  <c:v>Total</c:v>
                </c:pt>
              </c:strCache>
            </c:strRef>
          </c:tx>
          <c:dLbls>
            <c:spPr/>
            <c:txPr>
              <a:bodyPr/>
              <a:lstStyle/>
              <a:p>
                <a:pPr>
                  <a:defRPr/>
                </a:pPr>
                <a:endParaRPr lang="en-US"/>
              </a:p>
            </c:txPr>
            <c:showPercent val="1"/>
            <c:showLeaderLines val="1"/>
          </c:dLbls>
          <c:cat>
            <c:strRef>
              <c:f>'PIVOT ANALYSIS'!$A$138:$A$140</c:f>
              <c:strCache>
                <c:ptCount val="2"/>
                <c:pt idx="0">
                  <c:v>Non-Registered User</c:v>
                </c:pt>
                <c:pt idx="1">
                  <c:v>Registered User</c:v>
                </c:pt>
              </c:strCache>
            </c:strRef>
          </c:cat>
          <c:val>
            <c:numRef>
              <c:f>'PIVOT ANALYSIS'!$B$138:$B$140</c:f>
              <c:numCache>
                <c:formatCode>General</c:formatCode>
                <c:ptCount val="2"/>
                <c:pt idx="0">
                  <c:v>4921</c:v>
                </c:pt>
                <c:pt idx="1">
                  <c:v>53383</c:v>
                </c:pt>
              </c:numCache>
            </c:numRef>
          </c:val>
        </c:ser>
        <c:firstSliceAng val="0"/>
      </c:pieChart>
    </c:plotArea>
    <c:legend>
      <c:legendPos val="r"/>
      <c:layout/>
      <c:txPr>
        <a:bodyPr/>
        <a:lstStyle/>
        <a:p>
          <a:pPr>
            <a:defRPr b="1"/>
          </a:pPr>
          <a:endParaRPr lang="en-US"/>
        </a:p>
      </c:txPr>
    </c:legend>
    <c:plotVisOnly val="1"/>
  </c:chart>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ANALYSIS!Hourly Demand Analysis</c:name>
    <c:fmtId val="2"/>
  </c:pivotSource>
  <c:chart>
    <c:title>
      <c:tx>
        <c:rich>
          <a:bodyPr/>
          <a:lstStyle/>
          <a:p>
            <a:pPr>
              <a:defRPr/>
            </a:pPr>
            <a:r>
              <a:rPr lang="en-US"/>
              <a:t>Hourly</a:t>
            </a:r>
            <a:r>
              <a:rPr lang="en-US" baseline="0"/>
              <a:t> Demand Analysis</a:t>
            </a:r>
            <a:endParaRPr lang="en-US"/>
          </a:p>
        </c:rich>
      </c:tx>
      <c:layout/>
    </c:title>
    <c:pivotFmts>
      <c:pivotFmt>
        <c:idx val="0"/>
        <c:marker>
          <c:symbol val="none"/>
        </c:marker>
      </c:pivotFmt>
      <c:pivotFmt>
        <c:idx val="1"/>
        <c:marker>
          <c:symbol val="none"/>
        </c:marker>
      </c:pivotFmt>
      <c:pivotFmt>
        <c:idx val="2"/>
        <c:marker>
          <c:symbol val="none"/>
        </c:marker>
      </c:pivotFmt>
    </c:pivotFmts>
    <c:plotArea>
      <c:layout/>
      <c:lineChart>
        <c:grouping val="standard"/>
        <c:ser>
          <c:idx val="0"/>
          <c:order val="0"/>
          <c:tx>
            <c:strRef>
              <c:f>'PIVOT ANALYSIS'!$B$3</c:f>
              <c:strCache>
                <c:ptCount val="1"/>
                <c:pt idx="0">
                  <c:v>Total</c:v>
                </c:pt>
              </c:strCache>
            </c:strRef>
          </c:tx>
          <c:marker>
            <c:symbol val="none"/>
          </c:marker>
          <c:cat>
            <c:strRef>
              <c:f>'PIVOT ANALYSIS'!$A$4:$A$28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ANALYSIS'!$B$4:$B$28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er>
        <c:marker val="1"/>
        <c:axId val="83766656"/>
        <c:axId val="83780736"/>
      </c:lineChart>
      <c:catAx>
        <c:axId val="83766656"/>
        <c:scaling>
          <c:orientation val="minMax"/>
        </c:scaling>
        <c:axPos val="b"/>
        <c:tickLblPos val="nextTo"/>
        <c:crossAx val="83780736"/>
        <c:crosses val="autoZero"/>
        <c:auto val="1"/>
        <c:lblAlgn val="ctr"/>
        <c:lblOffset val="100"/>
      </c:catAx>
      <c:valAx>
        <c:axId val="83780736"/>
        <c:scaling>
          <c:orientation val="minMax"/>
        </c:scaling>
        <c:axPos val="l"/>
        <c:majorGridlines/>
        <c:numFmt formatCode="General" sourceLinked="1"/>
        <c:tickLblPos val="nextTo"/>
        <c:crossAx val="83766656"/>
        <c:crosses val="autoZero"/>
        <c:crossBetween val="between"/>
      </c:valAx>
    </c:plotArea>
    <c:legend>
      <c:legendPos val="r"/>
      <c:layout/>
    </c:legend>
    <c:plotVisOnly val="1"/>
  </c:chart>
  <c:spPr>
    <a:ln>
      <a:noFill/>
    </a:ln>
  </c:spPr>
  <c:printSettings>
    <c:headerFooter/>
    <c:pageMargins b="0.75000000000000056" l="0.70000000000000051" r="0.70000000000000051" t="0.75000000000000056" header="0.30000000000000027" footer="0.3000000000000002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ANALYSIS!PivotTable6</c:name>
    <c:fmtId val="2"/>
  </c:pivotSource>
  <c:chart>
    <c:title>
      <c:tx>
        <c:rich>
          <a:bodyPr/>
          <a:lstStyle/>
          <a:p>
            <a:pPr>
              <a:defRPr/>
            </a:pPr>
            <a:r>
              <a:rPr lang="en-US" sz="1800" b="1" i="0" u="none" strike="noStrike" baseline="0"/>
              <a:t>Weather-wise Bike Sharing Demand</a:t>
            </a:r>
            <a:endParaRPr lang="en-US"/>
          </a:p>
        </c:rich>
      </c:tx>
      <c:layout/>
    </c:title>
    <c:pivotFmts>
      <c:pivotFmt>
        <c:idx val="0"/>
        <c:marker>
          <c:symbol val="none"/>
        </c:marker>
      </c:pivotFmt>
      <c:pivotFmt>
        <c:idx val="1"/>
        <c:marker>
          <c:symbol val="none"/>
        </c:marker>
      </c:pivotFmt>
      <c:pivotFmt>
        <c:idx val="2"/>
        <c:marker>
          <c:symbol val="none"/>
        </c:marker>
      </c:pivotFmt>
    </c:pivotFmts>
    <c:view3D>
      <c:rAngAx val="1"/>
    </c:view3D>
    <c:plotArea>
      <c:layout/>
      <c:bar3DChart>
        <c:barDir val="bar"/>
        <c:grouping val="stacked"/>
        <c:ser>
          <c:idx val="0"/>
          <c:order val="0"/>
          <c:tx>
            <c:strRef>
              <c:f>'PIVOT ANALYSIS'!$B$70</c:f>
              <c:strCache>
                <c:ptCount val="1"/>
                <c:pt idx="0">
                  <c:v>Total</c:v>
                </c:pt>
              </c:strCache>
            </c:strRef>
          </c:tx>
          <c:cat>
            <c:strRef>
              <c:f>'PIVOT ANALYSIS'!$A$71:$A$75</c:f>
              <c:strCache>
                <c:ptCount val="4"/>
                <c:pt idx="0">
                  <c:v>Clear</c:v>
                </c:pt>
                <c:pt idx="1">
                  <c:v>Cloudy</c:v>
                </c:pt>
                <c:pt idx="2">
                  <c:v>Heavy Rain</c:v>
                </c:pt>
                <c:pt idx="3">
                  <c:v>Light Rain</c:v>
                </c:pt>
              </c:strCache>
            </c:strRef>
          </c:cat>
          <c:val>
            <c:numRef>
              <c:f>'PIVOT ANALYSIS'!$B$71:$B$75</c:f>
              <c:numCache>
                <c:formatCode>General</c:formatCode>
                <c:ptCount val="4"/>
                <c:pt idx="0">
                  <c:v>37373</c:v>
                </c:pt>
                <c:pt idx="1">
                  <c:v>18106</c:v>
                </c:pt>
                <c:pt idx="2">
                  <c:v>36</c:v>
                </c:pt>
                <c:pt idx="3">
                  <c:v>2789</c:v>
                </c:pt>
              </c:numCache>
            </c:numRef>
          </c:val>
        </c:ser>
        <c:shape val="box"/>
        <c:axId val="47430272"/>
        <c:axId val="83786368"/>
        <c:axId val="0"/>
      </c:bar3DChart>
      <c:catAx>
        <c:axId val="47430272"/>
        <c:scaling>
          <c:orientation val="minMax"/>
        </c:scaling>
        <c:axPos val="l"/>
        <c:tickLblPos val="nextTo"/>
        <c:crossAx val="83786368"/>
        <c:crosses val="autoZero"/>
        <c:auto val="1"/>
        <c:lblAlgn val="ctr"/>
        <c:lblOffset val="100"/>
      </c:catAx>
      <c:valAx>
        <c:axId val="83786368"/>
        <c:scaling>
          <c:orientation val="minMax"/>
        </c:scaling>
        <c:axPos val="b"/>
        <c:majorGridlines/>
        <c:numFmt formatCode="General" sourceLinked="1"/>
        <c:tickLblPos val="nextTo"/>
        <c:crossAx val="47430272"/>
        <c:crosses val="autoZero"/>
        <c:crossBetween val="between"/>
      </c:valAx>
    </c:plotArea>
    <c:legend>
      <c:legendPos val="r"/>
      <c:layout/>
    </c:legend>
    <c:plotVisOnly val="1"/>
  </c:chart>
  <c:spPr>
    <a:solidFill>
      <a:schemeClr val="bg1"/>
    </a:solidFill>
    <a:ln>
      <a:noFill/>
    </a:ln>
  </c:spPr>
  <c:printSettings>
    <c:headerFooter/>
    <c:pageMargins b="0.75000000000000056" l="0.70000000000000051" r="0.70000000000000051" t="0.75000000000000056" header="0.30000000000000027" footer="0.30000000000000027"/>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ANALYSIS!PivotTable10</c:name>
    <c:fmtId val="2"/>
  </c:pivotSource>
  <c:chart>
    <c:title>
      <c:tx>
        <c:rich>
          <a:bodyPr/>
          <a:lstStyle/>
          <a:p>
            <a:pPr>
              <a:defRPr/>
            </a:pPr>
            <a:r>
              <a:rPr lang="en-US"/>
              <a:t>Weekday Pattern</a:t>
            </a:r>
          </a:p>
        </c:rich>
      </c:tx>
      <c:layout/>
    </c:title>
    <c:pivotFmts>
      <c:pivotFmt>
        <c:idx val="0"/>
        <c:marker>
          <c:symbol val="none"/>
        </c:marker>
      </c:pivotFmt>
      <c:pivotFmt>
        <c:idx val="1"/>
        <c:marker>
          <c:symbol val="none"/>
        </c:marker>
      </c:pivotFmt>
      <c:pivotFmt>
        <c:idx val="2"/>
        <c:marker>
          <c:symbol val="none"/>
        </c:marker>
      </c:pivotFmt>
    </c:pivotFmts>
    <c:plotArea>
      <c:layout/>
      <c:barChart>
        <c:barDir val="bar"/>
        <c:grouping val="clustered"/>
        <c:ser>
          <c:idx val="0"/>
          <c:order val="0"/>
          <c:tx>
            <c:strRef>
              <c:f>'PIVOT ANALYSIS'!$B$104</c:f>
              <c:strCache>
                <c:ptCount val="1"/>
                <c:pt idx="0">
                  <c:v>Total</c:v>
                </c:pt>
              </c:strCache>
            </c:strRef>
          </c:tx>
          <c:cat>
            <c:strRef>
              <c:f>'PIVOT ANALYSIS'!$A$105:$A$112</c:f>
              <c:strCache>
                <c:ptCount val="7"/>
                <c:pt idx="0">
                  <c:v>Saturday</c:v>
                </c:pt>
                <c:pt idx="1">
                  <c:v>Sunday</c:v>
                </c:pt>
                <c:pt idx="2">
                  <c:v>Monday</c:v>
                </c:pt>
                <c:pt idx="3">
                  <c:v>Tuesday</c:v>
                </c:pt>
                <c:pt idx="4">
                  <c:v>Wednesday</c:v>
                </c:pt>
                <c:pt idx="5">
                  <c:v>Thursday</c:v>
                </c:pt>
                <c:pt idx="6">
                  <c:v>Friday</c:v>
                </c:pt>
              </c:strCache>
            </c:strRef>
          </c:cat>
          <c:val>
            <c:numRef>
              <c:f>'PIVOT ANALYSIS'!$B$105:$B$112</c:f>
              <c:numCache>
                <c:formatCode>General</c:formatCode>
                <c:ptCount val="7"/>
                <c:pt idx="0">
                  <c:v>7748</c:v>
                </c:pt>
                <c:pt idx="1">
                  <c:v>8121</c:v>
                </c:pt>
                <c:pt idx="2">
                  <c:v>8450</c:v>
                </c:pt>
                <c:pt idx="3">
                  <c:v>8383</c:v>
                </c:pt>
                <c:pt idx="4">
                  <c:v>8049</c:v>
                </c:pt>
                <c:pt idx="5">
                  <c:v>8458</c:v>
                </c:pt>
                <c:pt idx="6">
                  <c:v>9095</c:v>
                </c:pt>
              </c:numCache>
            </c:numRef>
          </c:val>
        </c:ser>
        <c:axId val="107938944"/>
        <c:axId val="107940480"/>
      </c:barChart>
      <c:catAx>
        <c:axId val="107938944"/>
        <c:scaling>
          <c:orientation val="minMax"/>
        </c:scaling>
        <c:axPos val="l"/>
        <c:tickLblPos val="nextTo"/>
        <c:crossAx val="107940480"/>
        <c:crosses val="autoZero"/>
        <c:auto val="1"/>
        <c:lblAlgn val="ctr"/>
        <c:lblOffset val="100"/>
      </c:catAx>
      <c:valAx>
        <c:axId val="107940480"/>
        <c:scaling>
          <c:orientation val="minMax"/>
        </c:scaling>
        <c:axPos val="b"/>
        <c:majorGridlines/>
        <c:numFmt formatCode="General" sourceLinked="1"/>
        <c:tickLblPos val="nextTo"/>
        <c:crossAx val="107938944"/>
        <c:crosses val="autoZero"/>
        <c:crossBetween val="between"/>
      </c:valAx>
    </c:plotArea>
    <c:legend>
      <c:legendPos val="r"/>
      <c:layout/>
    </c:legend>
    <c:plotVisOnly val="1"/>
  </c:chart>
  <c:spPr>
    <a:ln>
      <a:noFill/>
    </a:ln>
  </c:spPr>
  <c:printSettings>
    <c:headerFooter/>
    <c:pageMargins b="0.75000000000000056" l="0.70000000000000051" r="0.70000000000000051" t="0.75000000000000056" header="0.30000000000000027" footer="0.30000000000000027"/>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style val="26"/>
  <c:pivotSource>
    <c:name>[dataset_5 Final Data set.xlsx]PIVOT ANALYSIS!PivotTable9</c:name>
    <c:fmtId val="2"/>
  </c:pivotSource>
  <c:chart>
    <c:title>
      <c:tx>
        <c:rich>
          <a:bodyPr/>
          <a:lstStyle/>
          <a:p>
            <a:pPr>
              <a:defRPr/>
            </a:pPr>
            <a:r>
              <a:rPr lang="en-US"/>
              <a:t>Registered vs Non-Registered Users</a:t>
            </a:r>
          </a:p>
        </c:rich>
      </c:tx>
      <c:layout/>
    </c:title>
    <c:pivotFmts>
      <c:pivotFmt>
        <c:idx val="0"/>
        <c:marker>
          <c:symbol val="none"/>
        </c:marker>
        <c:dLbl>
          <c:idx val="0"/>
          <c:showPercent val="1"/>
        </c:dLbl>
      </c:pivotFmt>
      <c:pivotFmt>
        <c:idx val="1"/>
      </c:pivotFmt>
      <c:pivotFmt>
        <c:idx val="2"/>
        <c:marker>
          <c:symbol val="none"/>
        </c:marker>
        <c:dLbl>
          <c:idx val="0"/>
          <c:spPr/>
          <c:txPr>
            <a:bodyPr/>
            <a:lstStyle/>
            <a:p>
              <a:pPr>
                <a:defRPr/>
              </a:pPr>
              <a:endParaRPr lang="en-US"/>
            </a:p>
          </c:txPr>
          <c:showPercent val="1"/>
        </c:dLbl>
      </c:pivotFmt>
      <c:pivotFmt>
        <c:idx val="3"/>
        <c:marker>
          <c:symbol val="none"/>
        </c:marker>
        <c:dLbl>
          <c:idx val="0"/>
          <c:layout/>
          <c:spPr/>
          <c:txPr>
            <a:bodyPr/>
            <a:lstStyle/>
            <a:p>
              <a:pPr>
                <a:defRPr/>
              </a:pPr>
              <a:endParaRPr lang="en-US"/>
            </a:p>
          </c:txPr>
          <c:showPercent val="1"/>
        </c:dLbl>
      </c:pivotFmt>
    </c:pivotFmts>
    <c:plotArea>
      <c:layout/>
      <c:pieChart>
        <c:varyColors val="1"/>
        <c:ser>
          <c:idx val="0"/>
          <c:order val="0"/>
          <c:tx>
            <c:strRef>
              <c:f>'PIVOT ANALYSIS'!$B$137</c:f>
              <c:strCache>
                <c:ptCount val="1"/>
                <c:pt idx="0">
                  <c:v>Total</c:v>
                </c:pt>
              </c:strCache>
            </c:strRef>
          </c:tx>
          <c:dLbls>
            <c:spPr/>
            <c:txPr>
              <a:bodyPr/>
              <a:lstStyle/>
              <a:p>
                <a:pPr>
                  <a:defRPr/>
                </a:pPr>
                <a:endParaRPr lang="en-US"/>
              </a:p>
            </c:txPr>
            <c:showPercent val="1"/>
            <c:showLeaderLines val="1"/>
          </c:dLbls>
          <c:cat>
            <c:strRef>
              <c:f>'PIVOT ANALYSIS'!$A$138:$A$140</c:f>
              <c:strCache>
                <c:ptCount val="2"/>
                <c:pt idx="0">
                  <c:v>Non-Registered User</c:v>
                </c:pt>
                <c:pt idx="1">
                  <c:v>Registered User</c:v>
                </c:pt>
              </c:strCache>
            </c:strRef>
          </c:cat>
          <c:val>
            <c:numRef>
              <c:f>'PIVOT ANALYSIS'!$B$138:$B$140</c:f>
              <c:numCache>
                <c:formatCode>General</c:formatCode>
                <c:ptCount val="2"/>
                <c:pt idx="0">
                  <c:v>4921</c:v>
                </c:pt>
                <c:pt idx="1">
                  <c:v>53383</c:v>
                </c:pt>
              </c:numCache>
            </c:numRef>
          </c:val>
        </c:ser>
        <c:firstSliceAng val="0"/>
      </c:pieChart>
    </c:plotArea>
    <c:legend>
      <c:legendPos val="r"/>
      <c:layout/>
      <c:txPr>
        <a:bodyPr/>
        <a:lstStyle/>
        <a:p>
          <a:pPr>
            <a:defRPr b="1"/>
          </a:pPr>
          <a:endParaRPr lang="en-US"/>
        </a:p>
      </c:txPr>
    </c:legend>
    <c:plotVisOnly val="1"/>
  </c:chart>
  <c:spPr>
    <a:ln>
      <a:noFill/>
    </a:ln>
  </c:sp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pivotSource>
    <c:name>[dataset_5 Final Data set.xlsx]PIVOT ANALYSIS!PivotTable3</c:name>
    <c:fmtId val="2"/>
  </c:pivotSource>
  <c:chart>
    <c:title>
      <c:tx>
        <c:rich>
          <a:bodyPr/>
          <a:lstStyle/>
          <a:p>
            <a:pPr>
              <a:defRPr/>
            </a:pPr>
            <a:r>
              <a:rPr lang="en-US" sz="1800" b="1" i="0" u="none" strike="noStrike" baseline="0"/>
              <a:t>Season-wise Bike Sharing Usage</a:t>
            </a:r>
            <a:endParaRPr lang="en-US"/>
          </a:p>
        </c:rich>
      </c:tx>
      <c:layout/>
    </c:title>
    <c:pivotFmts>
      <c:pivotFmt>
        <c:idx val="0"/>
        <c:marker>
          <c:symbol val="none"/>
        </c:marker>
      </c:pivotFmt>
      <c:pivotFmt>
        <c:idx val="1"/>
        <c:marker>
          <c:symbol val="none"/>
        </c:marker>
      </c:pivotFmt>
      <c:pivotFmt>
        <c:idx val="2"/>
        <c:marker>
          <c:symbol val="none"/>
        </c:marker>
      </c:pivotFmt>
    </c:pivotFmts>
    <c:plotArea>
      <c:layout/>
      <c:barChart>
        <c:barDir val="col"/>
        <c:grouping val="clustered"/>
        <c:ser>
          <c:idx val="0"/>
          <c:order val="0"/>
          <c:tx>
            <c:strRef>
              <c:f>'PIVOT ANALYSIS'!$B$37</c:f>
              <c:strCache>
                <c:ptCount val="1"/>
                <c:pt idx="0">
                  <c:v>Total</c:v>
                </c:pt>
              </c:strCache>
            </c:strRef>
          </c:tx>
          <c:cat>
            <c:strRef>
              <c:f>'PIVOT ANALYSIS'!$A$38:$A$39</c:f>
              <c:strCache>
                <c:ptCount val="1"/>
                <c:pt idx="0">
                  <c:v>1</c:v>
                </c:pt>
              </c:strCache>
            </c:strRef>
          </c:cat>
          <c:val>
            <c:numRef>
              <c:f>'PIVOT ANALYSIS'!$B$38:$B$39</c:f>
              <c:numCache>
                <c:formatCode>General</c:formatCode>
                <c:ptCount val="1"/>
                <c:pt idx="0">
                  <c:v>58304</c:v>
                </c:pt>
              </c:numCache>
            </c:numRef>
          </c:val>
        </c:ser>
        <c:axId val="108051072"/>
        <c:axId val="140053120"/>
      </c:barChart>
      <c:catAx>
        <c:axId val="108051072"/>
        <c:scaling>
          <c:orientation val="minMax"/>
        </c:scaling>
        <c:axPos val="b"/>
        <c:tickLblPos val="nextTo"/>
        <c:crossAx val="140053120"/>
        <c:crosses val="autoZero"/>
        <c:auto val="1"/>
        <c:lblAlgn val="ctr"/>
        <c:lblOffset val="100"/>
      </c:catAx>
      <c:valAx>
        <c:axId val="140053120"/>
        <c:scaling>
          <c:orientation val="minMax"/>
        </c:scaling>
        <c:axPos val="l"/>
        <c:majorGridlines/>
        <c:numFmt formatCode="General" sourceLinked="1"/>
        <c:tickLblPos val="nextTo"/>
        <c:crossAx val="108051072"/>
        <c:crosses val="autoZero"/>
        <c:crossBetween val="between"/>
      </c:valAx>
    </c:plotArea>
    <c:legend>
      <c:legendPos val="r"/>
      <c:layout/>
    </c:legend>
    <c:plotVisOnly val="1"/>
  </c:chart>
  <c:spPr>
    <a:ln>
      <a:noFill/>
    </a:ln>
  </c:sp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561975</xdr:colOff>
      <xdr:row>1</xdr:row>
      <xdr:rowOff>171450</xdr:rowOff>
    </xdr:from>
    <xdr:to>
      <xdr:col>8</xdr:col>
      <xdr:colOff>200025</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36</xdr:row>
      <xdr:rowOff>0</xdr:rowOff>
    </xdr:from>
    <xdr:to>
      <xdr:col>7</xdr:col>
      <xdr:colOff>581025</xdr:colOff>
      <xdr:row>50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352425</xdr:colOff>
      <xdr:row>69</xdr:row>
      <xdr:rowOff>9525</xdr:rowOff>
    </xdr:from>
    <xdr:to>
      <xdr:col>7</xdr:col>
      <xdr:colOff>600075</xdr:colOff>
      <xdr:row>83</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304800</xdr:colOff>
      <xdr:row>103</xdr:row>
      <xdr:rowOff>0</xdr:rowOff>
    </xdr:from>
    <xdr:to>
      <xdr:col>7</xdr:col>
      <xdr:colOff>552450</xdr:colOff>
      <xdr:row>117</xdr:row>
      <xdr:rowOff>76200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466725</xdr:colOff>
      <xdr:row>135</xdr:row>
      <xdr:rowOff>180975</xdr:rowOff>
    </xdr:from>
    <xdr:to>
      <xdr:col>7</xdr:col>
      <xdr:colOff>571500</xdr:colOff>
      <xdr:row>150</xdr:row>
      <xdr:rowOff>66675</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66676</xdr:colOff>
      <xdr:row>3</xdr:row>
      <xdr:rowOff>171450</xdr:rowOff>
    </xdr:from>
    <xdr:to>
      <xdr:col>2</xdr:col>
      <xdr:colOff>228600</xdr:colOff>
      <xdr:row>9</xdr:row>
      <xdr:rowOff>76200</xdr:rowOff>
    </xdr:to>
    <xdr:sp macro="" textlink="">
      <xdr:nvSpPr>
        <xdr:cNvPr id="3" name="Rounded Rectangle 2"/>
        <xdr:cNvSpPr/>
      </xdr:nvSpPr>
      <xdr:spPr>
        <a:xfrm>
          <a:off x="66676" y="981075"/>
          <a:ext cx="1381124" cy="10477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ctr"/>
          <a:r>
            <a:rPr lang="en-US" sz="1200" b="1">
              <a:latin typeface="Arial" pitchFamily="34" charset="0"/>
              <a:cs typeface="Arial" pitchFamily="34" charset="0"/>
            </a:rPr>
            <a:t>TOTAL USERS</a:t>
          </a:r>
          <a:br>
            <a:rPr lang="en-US" sz="1200" b="1">
              <a:latin typeface="Arial" pitchFamily="34" charset="0"/>
              <a:cs typeface="Arial" pitchFamily="34" charset="0"/>
            </a:rPr>
          </a:br>
          <a:r>
            <a:rPr lang="en-US" sz="1200" b="1">
              <a:latin typeface="Arial" pitchFamily="34" charset="0"/>
              <a:cs typeface="Arial" pitchFamily="34" charset="0"/>
            </a:rPr>
            <a:t/>
          </a:r>
          <a:br>
            <a:rPr lang="en-US" sz="1200" b="1">
              <a:latin typeface="Arial" pitchFamily="34" charset="0"/>
              <a:cs typeface="Arial" pitchFamily="34" charset="0"/>
            </a:rPr>
          </a:br>
          <a:endParaRPr lang="en-US" sz="1200" b="1">
            <a:latin typeface="Arial" pitchFamily="34" charset="0"/>
            <a:cs typeface="Arial" pitchFamily="34" charset="0"/>
          </a:endParaRPr>
        </a:p>
      </xdr:txBody>
    </xdr:sp>
    <xdr:clientData/>
  </xdr:twoCellAnchor>
  <xdr:twoCellAnchor>
    <xdr:from>
      <xdr:col>2</xdr:col>
      <xdr:colOff>285749</xdr:colOff>
      <xdr:row>3</xdr:row>
      <xdr:rowOff>180975</xdr:rowOff>
    </xdr:from>
    <xdr:to>
      <xdr:col>5</xdr:col>
      <xdr:colOff>304800</xdr:colOff>
      <xdr:row>9</xdr:row>
      <xdr:rowOff>85725</xdr:rowOff>
    </xdr:to>
    <xdr:sp macro="" textlink="">
      <xdr:nvSpPr>
        <xdr:cNvPr id="4" name="Rounded Rectangle 3"/>
        <xdr:cNvSpPr/>
      </xdr:nvSpPr>
      <xdr:spPr>
        <a:xfrm>
          <a:off x="1504949" y="990600"/>
          <a:ext cx="1847851" cy="10477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1">
              <a:solidFill>
                <a:schemeClr val="lt1"/>
              </a:solidFill>
              <a:latin typeface="Arial" pitchFamily="34" charset="0"/>
              <a:ea typeface="+mn-ea"/>
              <a:cs typeface="Arial" pitchFamily="34" charset="0"/>
            </a:rPr>
            <a:t>REGISTERED</a:t>
          </a:r>
          <a:r>
            <a:rPr lang="en-US" sz="1200" b="1" baseline="0">
              <a:solidFill>
                <a:schemeClr val="lt1"/>
              </a:solidFill>
              <a:latin typeface="Arial" pitchFamily="34" charset="0"/>
              <a:ea typeface="+mn-ea"/>
              <a:cs typeface="Arial" pitchFamily="34" charset="0"/>
            </a:rPr>
            <a:t> USERS</a:t>
          </a:r>
          <a:endParaRPr lang="en-US" sz="1200" b="1">
            <a:latin typeface="Arial" pitchFamily="34" charset="0"/>
            <a:cs typeface="Arial" pitchFamily="34" charset="0"/>
          </a:endParaRPr>
        </a:p>
        <a:p>
          <a:pPr algn="ctr"/>
          <a:endParaRPr lang="en-US" sz="1100"/>
        </a:p>
      </xdr:txBody>
    </xdr:sp>
    <xdr:clientData/>
  </xdr:twoCellAnchor>
  <xdr:twoCellAnchor>
    <xdr:from>
      <xdr:col>5</xdr:col>
      <xdr:colOff>352423</xdr:colOff>
      <xdr:row>3</xdr:row>
      <xdr:rowOff>180975</xdr:rowOff>
    </xdr:from>
    <xdr:to>
      <xdr:col>9</xdr:col>
      <xdr:colOff>161925</xdr:colOff>
      <xdr:row>9</xdr:row>
      <xdr:rowOff>85725</xdr:rowOff>
    </xdr:to>
    <xdr:sp macro="" textlink="">
      <xdr:nvSpPr>
        <xdr:cNvPr id="5" name="Rounded Rectangle 4"/>
        <xdr:cNvSpPr/>
      </xdr:nvSpPr>
      <xdr:spPr>
        <a:xfrm>
          <a:off x="3400423" y="800100"/>
          <a:ext cx="2247902" cy="10477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1">
              <a:solidFill>
                <a:schemeClr val="lt1"/>
              </a:solidFill>
              <a:latin typeface="Arial" pitchFamily="34" charset="0"/>
              <a:ea typeface="+mn-ea"/>
              <a:cs typeface="Arial" pitchFamily="34" charset="0"/>
            </a:rPr>
            <a:t>NON-REGISTERED</a:t>
          </a:r>
          <a:r>
            <a:rPr lang="en-US" sz="1200" b="1" baseline="0">
              <a:solidFill>
                <a:schemeClr val="lt1"/>
              </a:solidFill>
              <a:latin typeface="Arial" pitchFamily="34" charset="0"/>
              <a:ea typeface="+mn-ea"/>
              <a:cs typeface="Arial" pitchFamily="34" charset="0"/>
            </a:rPr>
            <a:t> USERS</a:t>
          </a:r>
          <a:endParaRPr lang="en-US" sz="1200" b="1">
            <a:solidFill>
              <a:schemeClr val="lt1"/>
            </a:solidFill>
            <a:latin typeface="Arial" pitchFamily="34" charset="0"/>
            <a:ea typeface="+mn-ea"/>
            <a:cs typeface="Arial" pitchFamily="34" charset="0"/>
          </a:endParaRPr>
        </a:p>
        <a:p>
          <a:pPr algn="ctr"/>
          <a:endParaRPr lang="en-US" sz="1100"/>
        </a:p>
      </xdr:txBody>
    </xdr:sp>
    <xdr:clientData/>
  </xdr:twoCellAnchor>
  <xdr:twoCellAnchor>
    <xdr:from>
      <xdr:col>9</xdr:col>
      <xdr:colOff>219074</xdr:colOff>
      <xdr:row>3</xdr:row>
      <xdr:rowOff>171450</xdr:rowOff>
    </xdr:from>
    <xdr:to>
      <xdr:col>12</xdr:col>
      <xdr:colOff>914400</xdr:colOff>
      <xdr:row>9</xdr:row>
      <xdr:rowOff>76200</xdr:rowOff>
    </xdr:to>
    <xdr:sp macro="" textlink="">
      <xdr:nvSpPr>
        <xdr:cNvPr id="6" name="Rounded Rectangle 5"/>
        <xdr:cNvSpPr/>
      </xdr:nvSpPr>
      <xdr:spPr>
        <a:xfrm>
          <a:off x="5705474" y="790575"/>
          <a:ext cx="2524126" cy="10477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1">
              <a:solidFill>
                <a:schemeClr val="lt1"/>
              </a:solidFill>
              <a:latin typeface="Arial" pitchFamily="34" charset="0"/>
              <a:ea typeface="+mn-ea"/>
              <a:cs typeface="Arial" pitchFamily="34" charset="0"/>
            </a:rPr>
            <a:t>TOTAL RENTALS WEEKDAYS</a:t>
          </a:r>
        </a:p>
      </xdr:txBody>
    </xdr:sp>
    <xdr:clientData/>
  </xdr:twoCellAnchor>
  <xdr:twoCellAnchor>
    <xdr:from>
      <xdr:col>0</xdr:col>
      <xdr:colOff>152401</xdr:colOff>
      <xdr:row>5</xdr:row>
      <xdr:rowOff>104775</xdr:rowOff>
    </xdr:from>
    <xdr:to>
      <xdr:col>2</xdr:col>
      <xdr:colOff>200025</xdr:colOff>
      <xdr:row>8</xdr:row>
      <xdr:rowOff>161925</xdr:rowOff>
    </xdr:to>
    <xdr:sp macro="" textlink="'DATA SUMMARY'!C5">
      <xdr:nvSpPr>
        <xdr:cNvPr id="10" name="Rounded Rectangle 9"/>
        <xdr:cNvSpPr/>
      </xdr:nvSpPr>
      <xdr:spPr>
        <a:xfrm>
          <a:off x="152401" y="1295400"/>
          <a:ext cx="1266824" cy="6286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fld id="{1804007D-1013-4DDB-8A6C-097FD1FD8CB3}" type="TxLink">
            <a:rPr lang="en-US" sz="2000" b="1">
              <a:ln>
                <a:noFill/>
              </a:ln>
              <a:solidFill>
                <a:schemeClr val="lt1"/>
              </a:solidFill>
              <a:latin typeface="Arial" pitchFamily="34" charset="0"/>
              <a:cs typeface="Arial" pitchFamily="34" charset="0"/>
            </a:rPr>
            <a:pPr algn="ctr"/>
            <a:t>58,304</a:t>
          </a:fld>
          <a:endParaRPr lang="en-US" sz="2000" b="1">
            <a:ln>
              <a:noFill/>
            </a:ln>
            <a:solidFill>
              <a:schemeClr val="lt1"/>
            </a:solidFill>
            <a:latin typeface="Arial" pitchFamily="34" charset="0"/>
            <a:cs typeface="Arial" pitchFamily="34" charset="0"/>
          </a:endParaRPr>
        </a:p>
      </xdr:txBody>
    </xdr:sp>
    <xdr:clientData/>
  </xdr:twoCellAnchor>
  <xdr:twoCellAnchor>
    <xdr:from>
      <xdr:col>2</xdr:col>
      <xdr:colOff>561976</xdr:colOff>
      <xdr:row>5</xdr:row>
      <xdr:rowOff>114300</xdr:rowOff>
    </xdr:from>
    <xdr:to>
      <xdr:col>5</xdr:col>
      <xdr:colOff>0</xdr:colOff>
      <xdr:row>8</xdr:row>
      <xdr:rowOff>171450</xdr:rowOff>
    </xdr:to>
    <xdr:sp macro="" textlink="'DATA SUMMARY'!C4">
      <xdr:nvSpPr>
        <xdr:cNvPr id="11" name="Rounded Rectangle 10"/>
        <xdr:cNvSpPr/>
      </xdr:nvSpPr>
      <xdr:spPr>
        <a:xfrm>
          <a:off x="1781176" y="1304925"/>
          <a:ext cx="1266824" cy="6286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fld id="{708EFFEB-7BDD-453F-9911-EF413D11DCA0}" type="TxLink">
            <a:rPr lang="en-US" sz="2000" b="1">
              <a:ln>
                <a:noFill/>
              </a:ln>
              <a:solidFill>
                <a:schemeClr val="lt1"/>
              </a:solidFill>
              <a:latin typeface="Arial" pitchFamily="34" charset="0"/>
              <a:cs typeface="Arial" pitchFamily="34" charset="0"/>
            </a:rPr>
            <a:pPr algn="ctr"/>
            <a:t>53,383</a:t>
          </a:fld>
          <a:endParaRPr lang="en-US" sz="2000" b="1">
            <a:ln>
              <a:noFill/>
            </a:ln>
            <a:solidFill>
              <a:schemeClr val="lt1"/>
            </a:solidFill>
            <a:latin typeface="Arial" pitchFamily="34" charset="0"/>
            <a:cs typeface="Arial" pitchFamily="34" charset="0"/>
          </a:endParaRPr>
        </a:p>
      </xdr:txBody>
    </xdr:sp>
    <xdr:clientData/>
  </xdr:twoCellAnchor>
  <xdr:twoCellAnchor>
    <xdr:from>
      <xdr:col>6</xdr:col>
      <xdr:colOff>190501</xdr:colOff>
      <xdr:row>5</xdr:row>
      <xdr:rowOff>104775</xdr:rowOff>
    </xdr:from>
    <xdr:to>
      <xdr:col>8</xdr:col>
      <xdr:colOff>238125</xdr:colOff>
      <xdr:row>8</xdr:row>
      <xdr:rowOff>161925</xdr:rowOff>
    </xdr:to>
    <xdr:sp macro="" textlink="'DATA SUMMARY'!C3">
      <xdr:nvSpPr>
        <xdr:cNvPr id="12" name="Rounded Rectangle 11"/>
        <xdr:cNvSpPr/>
      </xdr:nvSpPr>
      <xdr:spPr>
        <a:xfrm>
          <a:off x="3848101" y="1295400"/>
          <a:ext cx="1266824" cy="6286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fld id="{4EC57655-D01D-4D3E-8A79-DC07FDD42DD6}" type="TxLink">
            <a:rPr lang="en-US" sz="2000" b="1">
              <a:ln>
                <a:noFill/>
              </a:ln>
              <a:solidFill>
                <a:schemeClr val="lt1"/>
              </a:solidFill>
              <a:latin typeface="Arial" pitchFamily="34" charset="0"/>
              <a:cs typeface="Arial" pitchFamily="34" charset="0"/>
            </a:rPr>
            <a:pPr algn="ctr"/>
            <a:t>4,921</a:t>
          </a:fld>
          <a:endParaRPr lang="en-US" sz="2000" b="1">
            <a:ln>
              <a:noFill/>
            </a:ln>
            <a:solidFill>
              <a:schemeClr val="lt1"/>
            </a:solidFill>
            <a:latin typeface="Arial" pitchFamily="34" charset="0"/>
            <a:cs typeface="Arial" pitchFamily="34" charset="0"/>
          </a:endParaRPr>
        </a:p>
      </xdr:txBody>
    </xdr:sp>
    <xdr:clientData/>
  </xdr:twoCellAnchor>
  <xdr:twoCellAnchor>
    <xdr:from>
      <xdr:col>10</xdr:col>
      <xdr:colOff>314326</xdr:colOff>
      <xdr:row>5</xdr:row>
      <xdr:rowOff>57150</xdr:rowOff>
    </xdr:from>
    <xdr:to>
      <xdr:col>12</xdr:col>
      <xdr:colOff>361950</xdr:colOff>
      <xdr:row>8</xdr:row>
      <xdr:rowOff>114300</xdr:rowOff>
    </xdr:to>
    <xdr:sp macro="" textlink="'DATA SUMMARY'!C17">
      <xdr:nvSpPr>
        <xdr:cNvPr id="13" name="Rounded Rectangle 12"/>
        <xdr:cNvSpPr/>
      </xdr:nvSpPr>
      <xdr:spPr>
        <a:xfrm>
          <a:off x="6410326" y="1057275"/>
          <a:ext cx="1266824" cy="6286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fld id="{9AE79857-2170-405F-83B2-74CAEF5FEF00}" type="TxLink">
            <a:rPr lang="en-US" sz="2000" b="1">
              <a:ln>
                <a:noFill/>
              </a:ln>
              <a:solidFill>
                <a:schemeClr val="lt1"/>
              </a:solidFill>
              <a:latin typeface="Arial" pitchFamily="34" charset="0"/>
              <a:cs typeface="Arial" pitchFamily="34" charset="0"/>
            </a:rPr>
            <a:pPr algn="ctr"/>
            <a:t>57,304</a:t>
          </a:fld>
          <a:endParaRPr lang="en-US" sz="2000" b="1">
            <a:ln>
              <a:noFill/>
            </a:ln>
            <a:solidFill>
              <a:schemeClr val="lt1"/>
            </a:solidFill>
            <a:latin typeface="Arial" pitchFamily="34" charset="0"/>
            <a:cs typeface="Arial" pitchFamily="34" charset="0"/>
          </a:endParaRPr>
        </a:p>
      </xdr:txBody>
    </xdr:sp>
    <xdr:clientData/>
  </xdr:twoCellAnchor>
  <xdr:twoCellAnchor>
    <xdr:from>
      <xdr:col>0</xdr:col>
      <xdr:colOff>238124</xdr:colOff>
      <xdr:row>10</xdr:row>
      <xdr:rowOff>133350</xdr:rowOff>
    </xdr:from>
    <xdr:to>
      <xdr:col>6</xdr:col>
      <xdr:colOff>200025</xdr:colOff>
      <xdr:row>22</xdr:row>
      <xdr:rowOff>104775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10</xdr:row>
      <xdr:rowOff>133351</xdr:rowOff>
    </xdr:from>
    <xdr:to>
      <xdr:col>12</xdr:col>
      <xdr:colOff>657224</xdr:colOff>
      <xdr:row>22</xdr:row>
      <xdr:rowOff>114301</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257176</xdr:colOff>
      <xdr:row>23</xdr:row>
      <xdr:rowOff>152400</xdr:rowOff>
    </xdr:from>
    <xdr:to>
      <xdr:col>6</xdr:col>
      <xdr:colOff>190500</xdr:colOff>
      <xdr:row>36</xdr:row>
      <xdr:rowOff>47625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552450</xdr:colOff>
      <xdr:row>23</xdr:row>
      <xdr:rowOff>133350</xdr:rowOff>
    </xdr:from>
    <xdr:to>
      <xdr:col>12</xdr:col>
      <xdr:colOff>695325</xdr:colOff>
      <xdr:row>36</xdr:row>
      <xdr:rowOff>47625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291353</xdr:colOff>
      <xdr:row>37</xdr:row>
      <xdr:rowOff>100852</xdr:rowOff>
    </xdr:from>
    <xdr:to>
      <xdr:col>6</xdr:col>
      <xdr:colOff>168088</xdr:colOff>
      <xdr:row>51</xdr:row>
      <xdr:rowOff>177052</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517072</xdr:colOff>
      <xdr:row>37</xdr:row>
      <xdr:rowOff>95250</xdr:rowOff>
    </xdr:from>
    <xdr:to>
      <xdr:col>12</xdr:col>
      <xdr:colOff>680357</xdr:colOff>
      <xdr:row>51</xdr:row>
      <xdr:rowOff>176893</xdr:rowOff>
    </xdr:to>
    <xdr:sp macro="" textlink="">
      <xdr:nvSpPr>
        <xdr:cNvPr id="20" name="Rectangle 19"/>
        <xdr:cNvSpPr/>
      </xdr:nvSpPr>
      <xdr:spPr>
        <a:xfrm>
          <a:off x="4191001" y="7198179"/>
          <a:ext cx="3837213" cy="274864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r>
            <a:rPr lang="en-US" b="1">
              <a:solidFill>
                <a:schemeClr val="tx1"/>
              </a:solidFill>
            </a:rPr>
            <a:t>Overall Observation:</a:t>
          </a:r>
          <a:r>
            <a:rPr lang="en-US">
              <a:solidFill>
                <a:schemeClr val="tx1"/>
              </a:solidFill>
            </a:rPr>
            <a:t/>
          </a:r>
          <a:br>
            <a:rPr lang="en-US">
              <a:solidFill>
                <a:schemeClr val="tx1"/>
              </a:solidFill>
            </a:rPr>
          </a:br>
          <a:r>
            <a:rPr lang="en-US">
              <a:solidFill>
                <a:schemeClr val="tx1"/>
              </a:solidFill>
            </a:rPr>
            <a:t>Bike usage is highest during winter and evening hours, with clear weather and moderate temperatures encouraging more rides. Registered users form the major share of rentals, and weekday activity is higher than weekends, reflecting strong commuter patterns influenced by season and weather conditions.</a:t>
          </a:r>
        </a:p>
        <a:p>
          <a:r>
            <a:rPr lang="en-US" b="1">
              <a:solidFill>
                <a:schemeClr val="tx1"/>
              </a:solidFill>
            </a:rPr>
            <a:t>Prepared by: Deepak Patel</a:t>
          </a:r>
          <a:endParaRPr lang="en-US">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set_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Record_number</v>
          </cell>
          <cell r="B1" t="str">
            <v>A_Temperature</v>
          </cell>
          <cell r="C1" t="str">
            <v>Humidity</v>
          </cell>
          <cell r="D1" t="str">
            <v>Wind_speed</v>
          </cell>
          <cell r="E1" t="str">
            <v>Non-Registered_user</v>
          </cell>
          <cell r="F1" t="str">
            <v>Registered_user</v>
          </cell>
          <cell r="G1" t="str">
            <v>Total Users</v>
          </cell>
        </row>
        <row r="2">
          <cell r="A2">
            <v>1</v>
          </cell>
          <cell r="B2">
            <v>0.28789999999999999</v>
          </cell>
          <cell r="C2">
            <v>0.81</v>
          </cell>
          <cell r="D2">
            <v>0</v>
          </cell>
          <cell r="E2">
            <v>3</v>
          </cell>
          <cell r="F2">
            <v>13</v>
          </cell>
          <cell r="G2">
            <v>16</v>
          </cell>
          <cell r="H2"/>
        </row>
        <row r="3">
          <cell r="A3">
            <v>2</v>
          </cell>
          <cell r="B3">
            <v>0.2727</v>
          </cell>
          <cell r="C3">
            <v>0.8</v>
          </cell>
          <cell r="D3">
            <v>0</v>
          </cell>
          <cell r="E3">
            <v>8</v>
          </cell>
          <cell r="F3">
            <v>32</v>
          </cell>
          <cell r="G3">
            <v>40</v>
          </cell>
        </row>
        <row r="4">
          <cell r="A4">
            <v>3</v>
          </cell>
          <cell r="B4">
            <v>0.2727</v>
          </cell>
          <cell r="C4">
            <v>0.8</v>
          </cell>
          <cell r="D4">
            <v>0</v>
          </cell>
          <cell r="E4">
            <v>5</v>
          </cell>
          <cell r="F4">
            <v>27</v>
          </cell>
          <cell r="G4">
            <v>32</v>
          </cell>
        </row>
        <row r="5">
          <cell r="A5">
            <v>4</v>
          </cell>
          <cell r="B5">
            <v>0.28789999999999999</v>
          </cell>
          <cell r="C5">
            <v>0.75</v>
          </cell>
          <cell r="D5">
            <v>0</v>
          </cell>
          <cell r="E5">
            <v>3</v>
          </cell>
          <cell r="F5">
            <v>10</v>
          </cell>
          <cell r="G5">
            <v>13</v>
          </cell>
        </row>
        <row r="6">
          <cell r="A6">
            <v>5</v>
          </cell>
          <cell r="B6">
            <v>0.28789999999999999</v>
          </cell>
          <cell r="C6">
            <v>0.75</v>
          </cell>
          <cell r="D6">
            <v>0</v>
          </cell>
          <cell r="E6">
            <v>0</v>
          </cell>
          <cell r="F6">
            <v>1</v>
          </cell>
          <cell r="G6">
            <v>1</v>
          </cell>
        </row>
        <row r="7">
          <cell r="A7">
            <v>6</v>
          </cell>
          <cell r="B7">
            <v>0.2576</v>
          </cell>
          <cell r="C7">
            <v>0.75</v>
          </cell>
          <cell r="D7">
            <v>8.9599999999999999E-2</v>
          </cell>
          <cell r="E7">
            <v>0</v>
          </cell>
          <cell r="F7">
            <v>1</v>
          </cell>
          <cell r="G7">
            <v>1</v>
          </cell>
        </row>
        <row r="8">
          <cell r="A8">
            <v>7</v>
          </cell>
          <cell r="B8">
            <v>0.2727</v>
          </cell>
          <cell r="C8">
            <v>0.8</v>
          </cell>
          <cell r="D8">
            <v>0</v>
          </cell>
          <cell r="E8">
            <v>2</v>
          </cell>
          <cell r="F8">
            <v>0</v>
          </cell>
          <cell r="G8">
            <v>2</v>
          </cell>
        </row>
        <row r="9">
          <cell r="A9">
            <v>8</v>
          </cell>
          <cell r="B9">
            <v>0.2576</v>
          </cell>
          <cell r="C9">
            <v>0.86</v>
          </cell>
          <cell r="D9">
            <v>0</v>
          </cell>
          <cell r="E9">
            <v>1</v>
          </cell>
          <cell r="F9">
            <v>2</v>
          </cell>
          <cell r="G9">
            <v>3</v>
          </cell>
        </row>
        <row r="10">
          <cell r="A10">
            <v>9</v>
          </cell>
          <cell r="B10">
            <v>0.19989999999999999</v>
          </cell>
          <cell r="C10">
            <v>0.75</v>
          </cell>
          <cell r="D10">
            <v>0</v>
          </cell>
          <cell r="E10">
            <v>1</v>
          </cell>
          <cell r="F10">
            <v>7</v>
          </cell>
          <cell r="G10">
            <v>8</v>
          </cell>
        </row>
        <row r="11">
          <cell r="A11">
            <v>10</v>
          </cell>
          <cell r="B11">
            <v>0.34849999999999998</v>
          </cell>
          <cell r="C11">
            <v>0.76</v>
          </cell>
          <cell r="D11">
            <v>0</v>
          </cell>
          <cell r="E11">
            <v>8</v>
          </cell>
          <cell r="F11">
            <v>6</v>
          </cell>
          <cell r="G11">
            <v>14</v>
          </cell>
        </row>
        <row r="12">
          <cell r="A12">
            <v>11</v>
          </cell>
          <cell r="B12">
            <v>0.39389999999999997</v>
          </cell>
          <cell r="C12">
            <v>0.76</v>
          </cell>
          <cell r="D12">
            <v>0.25369999999999998</v>
          </cell>
          <cell r="E12">
            <v>12</v>
          </cell>
          <cell r="F12">
            <v>24</v>
          </cell>
          <cell r="G12">
            <v>36</v>
          </cell>
        </row>
        <row r="13">
          <cell r="A13">
            <v>12</v>
          </cell>
          <cell r="B13">
            <v>0.33329999999999999</v>
          </cell>
          <cell r="C13">
            <v>0.81</v>
          </cell>
          <cell r="D13">
            <v>0.28360000000000002</v>
          </cell>
          <cell r="E13">
            <v>26</v>
          </cell>
          <cell r="F13">
            <v>30</v>
          </cell>
          <cell r="G13">
            <v>56</v>
          </cell>
        </row>
        <row r="14">
          <cell r="A14">
            <v>13</v>
          </cell>
          <cell r="B14">
            <v>0.42420000000000002</v>
          </cell>
          <cell r="C14">
            <v>0.77</v>
          </cell>
          <cell r="D14">
            <v>0.28360000000000002</v>
          </cell>
          <cell r="E14">
            <v>29</v>
          </cell>
          <cell r="F14">
            <v>55</v>
          </cell>
          <cell r="G14">
            <v>84</v>
          </cell>
        </row>
        <row r="15">
          <cell r="A15">
            <v>14</v>
          </cell>
          <cell r="B15">
            <v>0.45450000000000002</v>
          </cell>
          <cell r="C15">
            <v>0.72</v>
          </cell>
          <cell r="D15">
            <v>0.29849999999999999</v>
          </cell>
          <cell r="E15">
            <v>47</v>
          </cell>
          <cell r="F15">
            <v>47</v>
          </cell>
          <cell r="G15">
            <v>94</v>
          </cell>
        </row>
        <row r="16">
          <cell r="A16">
            <v>15</v>
          </cell>
          <cell r="B16">
            <v>0.45450000000000002</v>
          </cell>
          <cell r="C16">
            <v>0.72</v>
          </cell>
          <cell r="D16">
            <v>0.28360000000000002</v>
          </cell>
          <cell r="E16">
            <v>35</v>
          </cell>
          <cell r="F16">
            <v>71</v>
          </cell>
          <cell r="G16">
            <v>106</v>
          </cell>
        </row>
        <row r="17">
          <cell r="A17">
            <v>16</v>
          </cell>
          <cell r="B17">
            <v>0.43940000000000001</v>
          </cell>
          <cell r="C17">
            <v>0.77</v>
          </cell>
          <cell r="D17">
            <v>0.29849999999999999</v>
          </cell>
          <cell r="E17">
            <v>40</v>
          </cell>
          <cell r="F17">
            <v>70</v>
          </cell>
          <cell r="G17">
            <v>110</v>
          </cell>
        </row>
        <row r="18">
          <cell r="A18">
            <v>17</v>
          </cell>
          <cell r="B18">
            <v>0.42420000000000002</v>
          </cell>
          <cell r="C18">
            <v>0.82</v>
          </cell>
          <cell r="D18">
            <v>0.29849999999999999</v>
          </cell>
          <cell r="E18">
            <v>41</v>
          </cell>
          <cell r="F18">
            <v>52</v>
          </cell>
          <cell r="G18">
            <v>93</v>
          </cell>
        </row>
        <row r="19">
          <cell r="A19">
            <v>18</v>
          </cell>
          <cell r="B19">
            <v>0.19989999999999999</v>
          </cell>
          <cell r="C19">
            <v>0.82</v>
          </cell>
          <cell r="D19">
            <v>0.28360000000000002</v>
          </cell>
          <cell r="E19">
            <v>15</v>
          </cell>
          <cell r="F19">
            <v>52</v>
          </cell>
          <cell r="G19">
            <v>67</v>
          </cell>
        </row>
        <row r="20">
          <cell r="A20">
            <v>19</v>
          </cell>
          <cell r="B20">
            <v>0.42420000000000002</v>
          </cell>
          <cell r="C20">
            <v>0.88</v>
          </cell>
          <cell r="D20">
            <v>0.25369999999999998</v>
          </cell>
          <cell r="E20">
            <v>9</v>
          </cell>
          <cell r="F20">
            <v>26</v>
          </cell>
          <cell r="G20">
            <v>35</v>
          </cell>
        </row>
        <row r="21">
          <cell r="A21">
            <v>20</v>
          </cell>
          <cell r="B21">
            <v>0.42420000000000002</v>
          </cell>
          <cell r="C21">
            <v>0.88</v>
          </cell>
          <cell r="D21">
            <v>0.25369999999999998</v>
          </cell>
          <cell r="E21">
            <v>6</v>
          </cell>
          <cell r="F21">
            <v>31</v>
          </cell>
          <cell r="G21">
            <v>37</v>
          </cell>
        </row>
        <row r="22">
          <cell r="A22">
            <v>21</v>
          </cell>
          <cell r="B22">
            <v>0.40910000000000002</v>
          </cell>
          <cell r="C22">
            <v>0.87</v>
          </cell>
          <cell r="D22">
            <v>0.25369999999999998</v>
          </cell>
          <cell r="E22">
            <v>11</v>
          </cell>
          <cell r="F22">
            <v>25</v>
          </cell>
          <cell r="G22">
            <v>36</v>
          </cell>
        </row>
        <row r="23">
          <cell r="A23">
            <v>22</v>
          </cell>
          <cell r="B23">
            <v>0.40910000000000002</v>
          </cell>
          <cell r="C23">
            <v>0.87</v>
          </cell>
          <cell r="D23">
            <v>0.19400000000000001</v>
          </cell>
          <cell r="E23">
            <v>3</v>
          </cell>
          <cell r="F23">
            <v>31</v>
          </cell>
          <cell r="G23">
            <v>34</v>
          </cell>
        </row>
        <row r="24">
          <cell r="A24">
            <v>23</v>
          </cell>
          <cell r="B24">
            <v>0.40910000000000002</v>
          </cell>
          <cell r="C24">
            <v>0.94</v>
          </cell>
          <cell r="D24">
            <v>0.22389999999999999</v>
          </cell>
          <cell r="E24">
            <v>11</v>
          </cell>
          <cell r="F24">
            <v>17</v>
          </cell>
          <cell r="G24">
            <v>28</v>
          </cell>
        </row>
        <row r="25">
          <cell r="A25">
            <v>24</v>
          </cell>
          <cell r="B25">
            <v>0.19989999999999999</v>
          </cell>
          <cell r="C25">
            <v>0.88</v>
          </cell>
          <cell r="D25">
            <v>0.29849999999999999</v>
          </cell>
          <cell r="E25">
            <v>15</v>
          </cell>
          <cell r="F25">
            <v>24</v>
          </cell>
          <cell r="G25">
            <v>39</v>
          </cell>
        </row>
        <row r="26">
          <cell r="A26">
            <v>25</v>
          </cell>
          <cell r="B26">
            <v>0.45450000000000002</v>
          </cell>
          <cell r="C26">
            <v>0.88</v>
          </cell>
          <cell r="D26">
            <v>0.29849999999999999</v>
          </cell>
          <cell r="E26">
            <v>4</v>
          </cell>
          <cell r="F26">
            <v>13</v>
          </cell>
          <cell r="G26">
            <v>17</v>
          </cell>
        </row>
        <row r="27">
          <cell r="A27">
            <v>26</v>
          </cell>
          <cell r="B27">
            <v>0.43940000000000001</v>
          </cell>
          <cell r="C27">
            <v>0.94</v>
          </cell>
          <cell r="D27">
            <v>0.25369999999999998</v>
          </cell>
          <cell r="E27">
            <v>1</v>
          </cell>
          <cell r="F27">
            <v>16</v>
          </cell>
          <cell r="G27">
            <v>17</v>
          </cell>
        </row>
        <row r="28">
          <cell r="A28">
            <v>27</v>
          </cell>
          <cell r="B28">
            <v>0.42420000000000002</v>
          </cell>
          <cell r="C28">
            <v>1</v>
          </cell>
          <cell r="D28">
            <v>0.28360000000000002</v>
          </cell>
          <cell r="E28">
            <v>1</v>
          </cell>
          <cell r="F28">
            <v>8</v>
          </cell>
          <cell r="G28">
            <v>9</v>
          </cell>
        </row>
        <row r="29">
          <cell r="A29">
            <v>28</v>
          </cell>
          <cell r="B29">
            <v>0.45450000000000002</v>
          </cell>
          <cell r="C29">
            <v>0.94</v>
          </cell>
          <cell r="D29">
            <v>0.19400000000000001</v>
          </cell>
          <cell r="E29">
            <v>2</v>
          </cell>
          <cell r="F29">
            <v>4</v>
          </cell>
          <cell r="G29">
            <v>6</v>
          </cell>
        </row>
        <row r="30">
          <cell r="A30">
            <v>29</v>
          </cell>
          <cell r="B30">
            <v>0.19989999999999999</v>
          </cell>
          <cell r="C30">
            <v>0.94</v>
          </cell>
          <cell r="D30">
            <v>0.19400000000000001</v>
          </cell>
          <cell r="E30">
            <v>2</v>
          </cell>
          <cell r="F30">
            <v>1</v>
          </cell>
          <cell r="G30">
            <v>3</v>
          </cell>
        </row>
        <row r="31">
          <cell r="A31">
            <v>30</v>
          </cell>
          <cell r="B31">
            <v>0.42420000000000002</v>
          </cell>
          <cell r="C31">
            <v>0.77</v>
          </cell>
          <cell r="D31">
            <v>0.29849999999999999</v>
          </cell>
          <cell r="E31">
            <v>0</v>
          </cell>
          <cell r="F31">
            <v>2</v>
          </cell>
          <cell r="G31">
            <v>2</v>
          </cell>
        </row>
        <row r="32">
          <cell r="A32">
            <v>31</v>
          </cell>
          <cell r="B32">
            <v>0.40910000000000002</v>
          </cell>
          <cell r="C32">
            <v>0.76</v>
          </cell>
          <cell r="D32">
            <v>0.19400000000000001</v>
          </cell>
          <cell r="E32">
            <v>0</v>
          </cell>
          <cell r="F32">
            <v>1</v>
          </cell>
          <cell r="G32">
            <v>1</v>
          </cell>
        </row>
        <row r="33">
          <cell r="A33">
            <v>32</v>
          </cell>
          <cell r="B33">
            <v>0.40910000000000002</v>
          </cell>
          <cell r="C33">
            <v>0.71</v>
          </cell>
          <cell r="D33">
            <v>0.22389999999999999</v>
          </cell>
          <cell r="E33">
            <v>0</v>
          </cell>
          <cell r="F33">
            <v>8</v>
          </cell>
          <cell r="G33">
            <v>8</v>
          </cell>
        </row>
        <row r="34">
          <cell r="A34">
            <v>33</v>
          </cell>
          <cell r="B34">
            <v>0.19989999999999999</v>
          </cell>
          <cell r="C34">
            <v>0.76</v>
          </cell>
          <cell r="D34">
            <v>0.22389999999999999</v>
          </cell>
          <cell r="E34">
            <v>1</v>
          </cell>
          <cell r="F34">
            <v>19</v>
          </cell>
          <cell r="G34">
            <v>20</v>
          </cell>
        </row>
        <row r="35">
          <cell r="A35">
            <v>34</v>
          </cell>
          <cell r="B35">
            <v>0.34849999999999998</v>
          </cell>
          <cell r="C35">
            <v>0.81</v>
          </cell>
          <cell r="D35">
            <v>0.22389999999999999</v>
          </cell>
          <cell r="E35">
            <v>7</v>
          </cell>
          <cell r="F35">
            <v>46</v>
          </cell>
          <cell r="G35">
            <v>53</v>
          </cell>
        </row>
        <row r="36">
          <cell r="A36">
            <v>35</v>
          </cell>
          <cell r="B36">
            <v>0.33329999999999999</v>
          </cell>
          <cell r="C36">
            <v>0.71</v>
          </cell>
          <cell r="D36">
            <v>0.25369999999999998</v>
          </cell>
          <cell r="E36">
            <v>16</v>
          </cell>
          <cell r="F36">
            <v>54</v>
          </cell>
          <cell r="G36">
            <v>70</v>
          </cell>
        </row>
        <row r="37">
          <cell r="A37">
            <v>36</v>
          </cell>
          <cell r="B37">
            <v>0.33329999999999999</v>
          </cell>
          <cell r="C37">
            <v>0.66</v>
          </cell>
          <cell r="D37">
            <v>0.29849999999999999</v>
          </cell>
          <cell r="E37">
            <v>20</v>
          </cell>
          <cell r="F37">
            <v>73</v>
          </cell>
          <cell r="G37">
            <v>93</v>
          </cell>
        </row>
        <row r="38">
          <cell r="A38">
            <v>37</v>
          </cell>
          <cell r="B38">
            <v>0.34849999999999998</v>
          </cell>
          <cell r="C38">
            <v>0.66</v>
          </cell>
          <cell r="D38">
            <v>0.1343</v>
          </cell>
          <cell r="E38">
            <v>11</v>
          </cell>
          <cell r="F38">
            <v>64</v>
          </cell>
          <cell r="G38">
            <v>75</v>
          </cell>
        </row>
        <row r="39">
          <cell r="A39">
            <v>38</v>
          </cell>
          <cell r="B39">
            <v>0.19989999999999999</v>
          </cell>
          <cell r="C39">
            <v>0.76</v>
          </cell>
          <cell r="D39">
            <v>0.19400000000000001</v>
          </cell>
          <cell r="E39">
            <v>4</v>
          </cell>
          <cell r="F39">
            <v>55</v>
          </cell>
          <cell r="G39">
            <v>59</v>
          </cell>
        </row>
        <row r="40">
          <cell r="A40">
            <v>39</v>
          </cell>
          <cell r="B40">
            <v>0.33329999999999999</v>
          </cell>
          <cell r="C40">
            <v>0.81</v>
          </cell>
          <cell r="D40">
            <v>0.16420000000000001</v>
          </cell>
          <cell r="E40">
            <v>19</v>
          </cell>
          <cell r="F40">
            <v>55</v>
          </cell>
          <cell r="G40">
            <v>74</v>
          </cell>
        </row>
        <row r="41">
          <cell r="A41">
            <v>40</v>
          </cell>
          <cell r="B41">
            <v>0.33329999999999999</v>
          </cell>
          <cell r="C41">
            <v>0.71</v>
          </cell>
          <cell r="D41">
            <v>0.16420000000000001</v>
          </cell>
          <cell r="E41">
            <v>9</v>
          </cell>
          <cell r="F41">
            <v>67</v>
          </cell>
          <cell r="G41">
            <v>76</v>
          </cell>
        </row>
        <row r="42">
          <cell r="A42">
            <v>41</v>
          </cell>
          <cell r="B42">
            <v>0.33329999999999999</v>
          </cell>
          <cell r="C42">
            <v>0.56999999999999995</v>
          </cell>
          <cell r="D42">
            <v>0.19400000000000001</v>
          </cell>
          <cell r="E42">
            <v>7</v>
          </cell>
          <cell r="F42">
            <v>58</v>
          </cell>
          <cell r="G42">
            <v>65</v>
          </cell>
        </row>
        <row r="43">
          <cell r="A43">
            <v>42</v>
          </cell>
          <cell r="B43">
            <v>0.33329999999999999</v>
          </cell>
          <cell r="C43">
            <v>0.46</v>
          </cell>
          <cell r="D43">
            <v>0.32840000000000003</v>
          </cell>
          <cell r="E43">
            <v>10</v>
          </cell>
          <cell r="F43">
            <v>43</v>
          </cell>
          <cell r="G43">
            <v>53</v>
          </cell>
        </row>
        <row r="44">
          <cell r="A44">
            <v>43</v>
          </cell>
          <cell r="B44">
            <v>0.28789999999999999</v>
          </cell>
          <cell r="C44">
            <v>0.42</v>
          </cell>
          <cell r="D44">
            <v>0.44779999999999998</v>
          </cell>
          <cell r="E44">
            <v>1</v>
          </cell>
          <cell r="F44">
            <v>29</v>
          </cell>
          <cell r="G44">
            <v>30</v>
          </cell>
        </row>
        <row r="45">
          <cell r="A45">
            <v>44</v>
          </cell>
          <cell r="B45">
            <v>0.19989999999999999</v>
          </cell>
          <cell r="C45">
            <v>0.39</v>
          </cell>
          <cell r="D45">
            <v>0.35820000000000002</v>
          </cell>
          <cell r="E45">
            <v>5</v>
          </cell>
          <cell r="F45">
            <v>17</v>
          </cell>
          <cell r="G45">
            <v>22</v>
          </cell>
        </row>
        <row r="46">
          <cell r="A46">
            <v>45</v>
          </cell>
          <cell r="B46">
            <v>0.2273</v>
          </cell>
          <cell r="C46">
            <v>0.44</v>
          </cell>
          <cell r="D46">
            <v>0.32840000000000003</v>
          </cell>
          <cell r="E46">
            <v>11</v>
          </cell>
          <cell r="F46">
            <v>20</v>
          </cell>
          <cell r="G46">
            <v>31</v>
          </cell>
        </row>
        <row r="47">
          <cell r="A47">
            <v>46</v>
          </cell>
          <cell r="B47">
            <v>0.21210000000000001</v>
          </cell>
          <cell r="C47">
            <v>0.44</v>
          </cell>
          <cell r="D47">
            <v>0.29849999999999999</v>
          </cell>
          <cell r="E47">
            <v>0</v>
          </cell>
          <cell r="F47">
            <v>9</v>
          </cell>
          <cell r="G47">
            <v>9</v>
          </cell>
        </row>
        <row r="48">
          <cell r="A48">
            <v>47</v>
          </cell>
          <cell r="B48">
            <v>0.2273</v>
          </cell>
          <cell r="C48">
            <v>0.47</v>
          </cell>
          <cell r="D48">
            <v>0.16420000000000001</v>
          </cell>
          <cell r="E48">
            <v>0</v>
          </cell>
          <cell r="F48">
            <v>8</v>
          </cell>
          <cell r="G48">
            <v>8</v>
          </cell>
        </row>
        <row r="49">
          <cell r="A49">
            <v>48</v>
          </cell>
          <cell r="B49">
            <v>0.19700000000000001</v>
          </cell>
          <cell r="C49">
            <v>0.44</v>
          </cell>
          <cell r="D49">
            <v>0.35820000000000002</v>
          </cell>
          <cell r="E49">
            <v>0</v>
          </cell>
          <cell r="F49">
            <v>5</v>
          </cell>
          <cell r="G49">
            <v>5</v>
          </cell>
        </row>
        <row r="50">
          <cell r="A50">
            <v>49</v>
          </cell>
          <cell r="B50">
            <v>0.19989999999999999</v>
          </cell>
          <cell r="C50">
            <v>0.44</v>
          </cell>
          <cell r="D50">
            <v>0.41789999999999999</v>
          </cell>
          <cell r="E50">
            <v>0</v>
          </cell>
          <cell r="F50">
            <v>2</v>
          </cell>
          <cell r="G50">
            <v>2</v>
          </cell>
        </row>
        <row r="51">
          <cell r="A51">
            <v>50</v>
          </cell>
          <cell r="B51">
            <v>0.13639999999999999</v>
          </cell>
          <cell r="C51">
            <v>0.47</v>
          </cell>
          <cell r="D51">
            <v>0.3881</v>
          </cell>
          <cell r="E51">
            <v>0</v>
          </cell>
          <cell r="F51">
            <v>1</v>
          </cell>
          <cell r="G51">
            <v>1</v>
          </cell>
        </row>
        <row r="52">
          <cell r="A52">
            <v>51</v>
          </cell>
          <cell r="B52">
            <v>0.13639999999999999</v>
          </cell>
          <cell r="C52">
            <v>0.47</v>
          </cell>
          <cell r="D52">
            <v>0.28360000000000002</v>
          </cell>
          <cell r="E52">
            <v>0</v>
          </cell>
          <cell r="F52">
            <v>3</v>
          </cell>
          <cell r="G52">
            <v>3</v>
          </cell>
        </row>
        <row r="53">
          <cell r="A53">
            <v>52</v>
          </cell>
          <cell r="B53">
            <v>0.1061</v>
          </cell>
          <cell r="C53">
            <v>0.5</v>
          </cell>
          <cell r="D53">
            <v>0.3881</v>
          </cell>
          <cell r="E53">
            <v>0</v>
          </cell>
          <cell r="F53">
            <v>30</v>
          </cell>
          <cell r="G53">
            <v>30</v>
          </cell>
        </row>
        <row r="54">
          <cell r="A54">
            <v>53</v>
          </cell>
          <cell r="B54">
            <v>0.13639999999999999</v>
          </cell>
          <cell r="C54">
            <v>0.5</v>
          </cell>
          <cell r="D54">
            <v>0.19400000000000001</v>
          </cell>
          <cell r="E54">
            <v>1</v>
          </cell>
          <cell r="F54">
            <v>63</v>
          </cell>
          <cell r="G54">
            <v>64</v>
          </cell>
        </row>
        <row r="55">
          <cell r="A55">
            <v>54</v>
          </cell>
          <cell r="B55">
            <v>0.1212</v>
          </cell>
          <cell r="C55">
            <v>0.5</v>
          </cell>
          <cell r="D55">
            <v>0.28360000000000002</v>
          </cell>
          <cell r="E55">
            <v>1</v>
          </cell>
          <cell r="F55">
            <v>153</v>
          </cell>
          <cell r="G55">
            <v>154</v>
          </cell>
        </row>
        <row r="56">
          <cell r="A56">
            <v>55</v>
          </cell>
          <cell r="B56">
            <v>0.13639999999999999</v>
          </cell>
          <cell r="C56">
            <v>0.43</v>
          </cell>
          <cell r="D56">
            <v>0.3881</v>
          </cell>
          <cell r="E56">
            <v>7</v>
          </cell>
          <cell r="F56">
            <v>81</v>
          </cell>
          <cell r="G56">
            <v>88</v>
          </cell>
        </row>
        <row r="57">
          <cell r="A57">
            <v>56</v>
          </cell>
          <cell r="B57">
            <v>0.16669999999999999</v>
          </cell>
          <cell r="C57">
            <v>0.43</v>
          </cell>
          <cell r="D57">
            <v>0.25369999999999998</v>
          </cell>
          <cell r="E57">
            <v>11</v>
          </cell>
          <cell r="F57">
            <v>33</v>
          </cell>
          <cell r="G57">
            <v>44</v>
          </cell>
        </row>
        <row r="58">
          <cell r="A58">
            <v>57</v>
          </cell>
          <cell r="B58">
            <v>0.18179999999999999</v>
          </cell>
          <cell r="C58">
            <v>0.4</v>
          </cell>
          <cell r="D58">
            <v>0.32840000000000003</v>
          </cell>
          <cell r="E58">
            <v>10</v>
          </cell>
          <cell r="F58">
            <v>41</v>
          </cell>
          <cell r="G58">
            <v>51</v>
          </cell>
        </row>
        <row r="59">
          <cell r="A59">
            <v>58</v>
          </cell>
          <cell r="B59">
            <v>0.21210000000000001</v>
          </cell>
          <cell r="C59">
            <v>0.35</v>
          </cell>
          <cell r="D59">
            <v>0.29849999999999999</v>
          </cell>
          <cell r="E59">
            <v>13</v>
          </cell>
          <cell r="F59">
            <v>48</v>
          </cell>
          <cell r="G59">
            <v>61</v>
          </cell>
        </row>
        <row r="60">
          <cell r="A60">
            <v>59</v>
          </cell>
          <cell r="B60">
            <v>0.19989999999999999</v>
          </cell>
          <cell r="C60">
            <v>0.35</v>
          </cell>
          <cell r="D60">
            <v>0.28360000000000002</v>
          </cell>
          <cell r="E60">
            <v>8</v>
          </cell>
          <cell r="F60">
            <v>53</v>
          </cell>
          <cell r="G60">
            <v>61</v>
          </cell>
        </row>
        <row r="61">
          <cell r="A61">
            <v>60</v>
          </cell>
          <cell r="B61">
            <v>0.2424</v>
          </cell>
          <cell r="C61">
            <v>0.3</v>
          </cell>
          <cell r="D61">
            <v>0.28360000000000002</v>
          </cell>
          <cell r="E61">
            <v>11</v>
          </cell>
          <cell r="F61">
            <v>66</v>
          </cell>
          <cell r="G61">
            <v>77</v>
          </cell>
        </row>
        <row r="62">
          <cell r="A62">
            <v>61</v>
          </cell>
          <cell r="B62">
            <v>0.2424</v>
          </cell>
          <cell r="C62">
            <v>0.3</v>
          </cell>
          <cell r="D62">
            <v>0.25369999999999998</v>
          </cell>
          <cell r="E62">
            <v>14</v>
          </cell>
          <cell r="F62">
            <v>58</v>
          </cell>
          <cell r="G62">
            <v>72</v>
          </cell>
        </row>
        <row r="63">
          <cell r="A63">
            <v>62</v>
          </cell>
          <cell r="B63">
            <v>0.2424</v>
          </cell>
          <cell r="C63">
            <v>0.3</v>
          </cell>
          <cell r="D63">
            <v>0.25369999999999998</v>
          </cell>
          <cell r="E63">
            <v>9</v>
          </cell>
          <cell r="F63">
            <v>67</v>
          </cell>
          <cell r="G63">
            <v>76</v>
          </cell>
        </row>
        <row r="64">
          <cell r="A64">
            <v>63</v>
          </cell>
          <cell r="B64">
            <v>0.2273</v>
          </cell>
          <cell r="C64">
            <v>0.3</v>
          </cell>
          <cell r="D64">
            <v>0.22389999999999999</v>
          </cell>
          <cell r="E64">
            <v>11</v>
          </cell>
          <cell r="F64">
            <v>146</v>
          </cell>
          <cell r="G64">
            <v>157</v>
          </cell>
        </row>
        <row r="65">
          <cell r="A65">
            <v>64</v>
          </cell>
          <cell r="B65">
            <v>0.2576</v>
          </cell>
          <cell r="C65">
            <v>0.32</v>
          </cell>
          <cell r="D65">
            <v>0.1045</v>
          </cell>
          <cell r="E65">
            <v>9</v>
          </cell>
          <cell r="F65">
            <v>148</v>
          </cell>
          <cell r="G65">
            <v>157</v>
          </cell>
        </row>
        <row r="66">
          <cell r="A66">
            <v>65</v>
          </cell>
          <cell r="B66">
            <v>0.2576</v>
          </cell>
          <cell r="C66">
            <v>0.47</v>
          </cell>
          <cell r="D66">
            <v>0</v>
          </cell>
          <cell r="E66">
            <v>8</v>
          </cell>
          <cell r="F66">
            <v>102</v>
          </cell>
          <cell r="G66">
            <v>110</v>
          </cell>
        </row>
        <row r="67">
          <cell r="A67">
            <v>66</v>
          </cell>
          <cell r="B67">
            <v>0.19989999999999999</v>
          </cell>
          <cell r="C67">
            <v>0.47</v>
          </cell>
          <cell r="D67">
            <v>0.1045</v>
          </cell>
          <cell r="E67">
            <v>3</v>
          </cell>
          <cell r="F67">
            <v>49</v>
          </cell>
          <cell r="G67">
            <v>52</v>
          </cell>
        </row>
        <row r="68">
          <cell r="A68">
            <v>67</v>
          </cell>
          <cell r="B68">
            <v>0.19700000000000001</v>
          </cell>
          <cell r="C68">
            <v>0.64</v>
          </cell>
          <cell r="D68">
            <v>0.1343</v>
          </cell>
          <cell r="E68">
            <v>3</v>
          </cell>
          <cell r="F68">
            <v>49</v>
          </cell>
          <cell r="G68">
            <v>52</v>
          </cell>
        </row>
        <row r="69">
          <cell r="A69">
            <v>68</v>
          </cell>
          <cell r="B69">
            <v>0.1515</v>
          </cell>
          <cell r="C69">
            <v>0.69</v>
          </cell>
          <cell r="D69">
            <v>0.1343</v>
          </cell>
          <cell r="E69">
            <v>0</v>
          </cell>
          <cell r="F69">
            <v>20</v>
          </cell>
          <cell r="G69">
            <v>20</v>
          </cell>
        </row>
        <row r="70">
          <cell r="A70">
            <v>69</v>
          </cell>
          <cell r="B70">
            <v>0.21210000000000001</v>
          </cell>
          <cell r="C70">
            <v>0.55000000000000004</v>
          </cell>
          <cell r="D70">
            <v>0.1045</v>
          </cell>
          <cell r="E70">
            <v>1</v>
          </cell>
          <cell r="F70">
            <v>11</v>
          </cell>
          <cell r="G70">
            <v>12</v>
          </cell>
        </row>
        <row r="71">
          <cell r="A71">
            <v>70</v>
          </cell>
          <cell r="B71">
            <v>0.19989999999999999</v>
          </cell>
          <cell r="C71">
            <v>0.55000000000000004</v>
          </cell>
          <cell r="D71">
            <v>0.1045</v>
          </cell>
          <cell r="E71">
            <v>0</v>
          </cell>
          <cell r="F71">
            <v>5</v>
          </cell>
          <cell r="G71">
            <v>5</v>
          </cell>
        </row>
        <row r="72">
          <cell r="A72">
            <v>71</v>
          </cell>
          <cell r="B72">
            <v>0.18179999999999999</v>
          </cell>
          <cell r="C72">
            <v>0.59</v>
          </cell>
          <cell r="D72">
            <v>0.1045</v>
          </cell>
          <cell r="E72">
            <v>0</v>
          </cell>
          <cell r="F72">
            <v>2</v>
          </cell>
          <cell r="G72">
            <v>2</v>
          </cell>
        </row>
        <row r="73">
          <cell r="A73">
            <v>72</v>
          </cell>
          <cell r="B73">
            <v>0.1515</v>
          </cell>
          <cell r="C73">
            <v>0.63</v>
          </cell>
          <cell r="D73">
            <v>0.1343</v>
          </cell>
          <cell r="E73">
            <v>0</v>
          </cell>
          <cell r="F73">
            <v>1</v>
          </cell>
          <cell r="G73">
            <v>1</v>
          </cell>
        </row>
        <row r="74">
          <cell r="A74">
            <v>73</v>
          </cell>
          <cell r="B74">
            <v>0.18179999999999999</v>
          </cell>
          <cell r="C74">
            <v>0.63</v>
          </cell>
          <cell r="D74">
            <v>8.9599999999999999E-2</v>
          </cell>
          <cell r="E74">
            <v>0</v>
          </cell>
          <cell r="F74">
            <v>2</v>
          </cell>
          <cell r="G74">
            <v>2</v>
          </cell>
        </row>
        <row r="75">
          <cell r="A75">
            <v>74</v>
          </cell>
          <cell r="B75">
            <v>0.1515</v>
          </cell>
          <cell r="C75">
            <v>0.68</v>
          </cell>
          <cell r="D75">
            <v>0.1045</v>
          </cell>
          <cell r="E75">
            <v>0</v>
          </cell>
          <cell r="F75">
            <v>4</v>
          </cell>
          <cell r="G75">
            <v>4</v>
          </cell>
        </row>
        <row r="76">
          <cell r="A76">
            <v>75</v>
          </cell>
          <cell r="B76">
            <v>0.1515</v>
          </cell>
          <cell r="C76">
            <v>0.74</v>
          </cell>
          <cell r="D76">
            <v>0.1045</v>
          </cell>
          <cell r="E76">
            <v>0</v>
          </cell>
          <cell r="F76">
            <v>36</v>
          </cell>
          <cell r="G76">
            <v>36</v>
          </cell>
        </row>
        <row r="77">
          <cell r="A77">
            <v>76</v>
          </cell>
          <cell r="B77">
            <v>0.1515</v>
          </cell>
          <cell r="C77">
            <v>0.74</v>
          </cell>
          <cell r="D77">
            <v>0.1343</v>
          </cell>
          <cell r="E77">
            <v>2</v>
          </cell>
          <cell r="F77">
            <v>92</v>
          </cell>
          <cell r="G77">
            <v>94</v>
          </cell>
        </row>
        <row r="78">
          <cell r="A78">
            <v>77</v>
          </cell>
          <cell r="B78">
            <v>0.1515</v>
          </cell>
          <cell r="C78">
            <v>0.69</v>
          </cell>
          <cell r="D78">
            <v>0.16420000000000001</v>
          </cell>
          <cell r="E78">
            <v>2</v>
          </cell>
          <cell r="F78">
            <v>177</v>
          </cell>
          <cell r="G78">
            <v>179</v>
          </cell>
        </row>
        <row r="79">
          <cell r="A79">
            <v>78</v>
          </cell>
          <cell r="B79">
            <v>0.1515</v>
          </cell>
          <cell r="C79">
            <v>0.64</v>
          </cell>
          <cell r="D79">
            <v>0.22389999999999999</v>
          </cell>
          <cell r="E79">
            <v>2</v>
          </cell>
          <cell r="F79">
            <v>98</v>
          </cell>
          <cell r="G79">
            <v>100</v>
          </cell>
        </row>
        <row r="80">
          <cell r="A80">
            <v>79</v>
          </cell>
          <cell r="B80">
            <v>0.13639999999999999</v>
          </cell>
          <cell r="C80">
            <v>0.69</v>
          </cell>
          <cell r="D80">
            <v>0.32840000000000003</v>
          </cell>
          <cell r="E80">
            <v>5</v>
          </cell>
          <cell r="F80">
            <v>37</v>
          </cell>
          <cell r="G80">
            <v>42</v>
          </cell>
        </row>
        <row r="81">
          <cell r="A81">
            <v>80</v>
          </cell>
          <cell r="B81">
            <v>0.21210000000000001</v>
          </cell>
          <cell r="C81">
            <v>0.51</v>
          </cell>
          <cell r="D81">
            <v>0.29849999999999999</v>
          </cell>
          <cell r="E81">
            <v>7</v>
          </cell>
          <cell r="F81">
            <v>50</v>
          </cell>
          <cell r="G81">
            <v>57</v>
          </cell>
        </row>
        <row r="82">
          <cell r="A82">
            <v>81</v>
          </cell>
          <cell r="B82">
            <v>0.2273</v>
          </cell>
          <cell r="C82">
            <v>0.51</v>
          </cell>
          <cell r="D82">
            <v>0.16420000000000001</v>
          </cell>
          <cell r="E82">
            <v>12</v>
          </cell>
          <cell r="F82">
            <v>66</v>
          </cell>
          <cell r="G82">
            <v>78</v>
          </cell>
        </row>
        <row r="83">
          <cell r="A83">
            <v>82</v>
          </cell>
          <cell r="B83">
            <v>0.2273</v>
          </cell>
          <cell r="C83">
            <v>0.56000000000000005</v>
          </cell>
          <cell r="D83">
            <v>0.19400000000000001</v>
          </cell>
          <cell r="E83">
            <v>18</v>
          </cell>
          <cell r="F83">
            <v>79</v>
          </cell>
          <cell r="G83">
            <v>97</v>
          </cell>
        </row>
        <row r="84">
          <cell r="A84">
            <v>83</v>
          </cell>
          <cell r="B84">
            <v>0.2576</v>
          </cell>
          <cell r="C84">
            <v>0.52</v>
          </cell>
          <cell r="D84">
            <v>0.22389999999999999</v>
          </cell>
          <cell r="E84">
            <v>9</v>
          </cell>
          <cell r="F84">
            <v>54</v>
          </cell>
          <cell r="G84">
            <v>63</v>
          </cell>
        </row>
        <row r="85">
          <cell r="A85">
            <v>84</v>
          </cell>
          <cell r="B85">
            <v>0.2727</v>
          </cell>
          <cell r="C85">
            <v>0.52</v>
          </cell>
          <cell r="D85">
            <v>0.25369999999999998</v>
          </cell>
          <cell r="E85">
            <v>17</v>
          </cell>
          <cell r="F85">
            <v>48</v>
          </cell>
          <cell r="G85">
            <v>65</v>
          </cell>
        </row>
        <row r="86">
          <cell r="A86">
            <v>85</v>
          </cell>
          <cell r="B86">
            <v>0.28789999999999999</v>
          </cell>
          <cell r="C86">
            <v>0.49</v>
          </cell>
          <cell r="D86">
            <v>0.25369999999999998</v>
          </cell>
          <cell r="E86">
            <v>15</v>
          </cell>
          <cell r="F86">
            <v>68</v>
          </cell>
          <cell r="G86">
            <v>83</v>
          </cell>
        </row>
        <row r="87">
          <cell r="A87">
            <v>86</v>
          </cell>
          <cell r="B87">
            <v>0.2727</v>
          </cell>
          <cell r="C87">
            <v>0.48</v>
          </cell>
          <cell r="D87">
            <v>0.22389999999999999</v>
          </cell>
          <cell r="E87">
            <v>10</v>
          </cell>
          <cell r="F87">
            <v>202</v>
          </cell>
          <cell r="G87">
            <v>212</v>
          </cell>
        </row>
        <row r="88">
          <cell r="A88">
            <v>87</v>
          </cell>
          <cell r="B88">
            <v>0.2576</v>
          </cell>
          <cell r="C88">
            <v>0.48</v>
          </cell>
          <cell r="D88">
            <v>0.19400000000000001</v>
          </cell>
          <cell r="E88">
            <v>3</v>
          </cell>
          <cell r="F88">
            <v>179</v>
          </cell>
          <cell r="G88">
            <v>182</v>
          </cell>
        </row>
        <row r="89">
          <cell r="A89">
            <v>88</v>
          </cell>
          <cell r="B89">
            <v>0.2576</v>
          </cell>
          <cell r="C89">
            <v>0.48</v>
          </cell>
          <cell r="D89">
            <v>0.1045</v>
          </cell>
          <cell r="E89">
            <v>2</v>
          </cell>
          <cell r="F89">
            <v>110</v>
          </cell>
          <cell r="G89">
            <v>112</v>
          </cell>
        </row>
        <row r="90">
          <cell r="A90">
            <v>89</v>
          </cell>
          <cell r="B90">
            <v>0.2576</v>
          </cell>
          <cell r="C90">
            <v>0.48</v>
          </cell>
          <cell r="D90">
            <v>0.1045</v>
          </cell>
          <cell r="E90">
            <v>1</v>
          </cell>
          <cell r="F90">
            <v>53</v>
          </cell>
          <cell r="G90">
            <v>54</v>
          </cell>
        </row>
        <row r="91">
          <cell r="A91">
            <v>90</v>
          </cell>
          <cell r="B91">
            <v>0.2727</v>
          </cell>
          <cell r="C91">
            <v>0.64</v>
          </cell>
          <cell r="D91">
            <v>0</v>
          </cell>
          <cell r="E91">
            <v>0</v>
          </cell>
          <cell r="F91">
            <v>48</v>
          </cell>
          <cell r="G91">
            <v>48</v>
          </cell>
        </row>
        <row r="92">
          <cell r="A92">
            <v>91</v>
          </cell>
          <cell r="B92">
            <v>0.2576</v>
          </cell>
          <cell r="C92">
            <v>0.64</v>
          </cell>
          <cell r="D92">
            <v>8.9599999999999999E-2</v>
          </cell>
          <cell r="E92">
            <v>1</v>
          </cell>
          <cell r="F92">
            <v>34</v>
          </cell>
          <cell r="G92">
            <v>35</v>
          </cell>
        </row>
        <row r="93">
          <cell r="A93">
            <v>92</v>
          </cell>
          <cell r="B93">
            <v>0.2273</v>
          </cell>
          <cell r="C93">
            <v>0.69</v>
          </cell>
          <cell r="D93">
            <v>8.9599999999999999E-2</v>
          </cell>
          <cell r="E93">
            <v>2</v>
          </cell>
          <cell r="F93">
            <v>9</v>
          </cell>
          <cell r="G93">
            <v>11</v>
          </cell>
        </row>
        <row r="94">
          <cell r="A94">
            <v>93</v>
          </cell>
          <cell r="B94">
            <v>0.2576</v>
          </cell>
          <cell r="C94">
            <v>0.64</v>
          </cell>
          <cell r="D94">
            <v>0</v>
          </cell>
          <cell r="E94">
            <v>0</v>
          </cell>
          <cell r="F94">
            <v>6</v>
          </cell>
          <cell r="G94">
            <v>6</v>
          </cell>
        </row>
        <row r="95">
          <cell r="A95">
            <v>94</v>
          </cell>
          <cell r="B95">
            <v>0.19700000000000001</v>
          </cell>
          <cell r="C95">
            <v>0.74</v>
          </cell>
          <cell r="D95">
            <v>8.9599999999999999E-2</v>
          </cell>
          <cell r="E95">
            <v>0</v>
          </cell>
          <cell r="F95">
            <v>6</v>
          </cell>
          <cell r="G95">
            <v>6</v>
          </cell>
        </row>
        <row r="96">
          <cell r="A96">
            <v>95</v>
          </cell>
          <cell r="B96">
            <v>0.19700000000000001</v>
          </cell>
          <cell r="C96">
            <v>0.74</v>
          </cell>
          <cell r="D96">
            <v>8.9599999999999999E-2</v>
          </cell>
          <cell r="E96">
            <v>0</v>
          </cell>
          <cell r="F96">
            <v>2</v>
          </cell>
          <cell r="G96">
            <v>2</v>
          </cell>
        </row>
        <row r="97">
          <cell r="A97">
            <v>96</v>
          </cell>
          <cell r="B97">
            <v>0.2273</v>
          </cell>
          <cell r="C97">
            <v>0.48</v>
          </cell>
          <cell r="D97">
            <v>0.22389999999999999</v>
          </cell>
          <cell r="E97">
            <v>0</v>
          </cell>
          <cell r="F97">
            <v>2</v>
          </cell>
          <cell r="G97">
            <v>2</v>
          </cell>
        </row>
        <row r="98">
          <cell r="A98">
            <v>97</v>
          </cell>
          <cell r="B98">
            <v>0.2273</v>
          </cell>
          <cell r="C98">
            <v>0.47</v>
          </cell>
          <cell r="D98">
            <v>0.16420000000000001</v>
          </cell>
          <cell r="E98">
            <v>0</v>
          </cell>
          <cell r="F98">
            <v>3</v>
          </cell>
          <cell r="G98">
            <v>3</v>
          </cell>
        </row>
        <row r="99">
          <cell r="A99">
            <v>98</v>
          </cell>
          <cell r="B99">
            <v>0.19700000000000001</v>
          </cell>
          <cell r="C99">
            <v>0.47</v>
          </cell>
          <cell r="D99">
            <v>0.22389999999999999</v>
          </cell>
          <cell r="E99">
            <v>0</v>
          </cell>
          <cell r="F99">
            <v>33</v>
          </cell>
          <cell r="G99">
            <v>33</v>
          </cell>
        </row>
        <row r="100">
          <cell r="A100">
            <v>99</v>
          </cell>
          <cell r="B100">
            <v>0.18179999999999999</v>
          </cell>
          <cell r="C100">
            <v>0.43</v>
          </cell>
          <cell r="D100">
            <v>0.19400000000000001</v>
          </cell>
          <cell r="E100">
            <v>1</v>
          </cell>
          <cell r="F100">
            <v>87</v>
          </cell>
          <cell r="G100">
            <v>88</v>
          </cell>
        </row>
        <row r="101">
          <cell r="A101">
            <v>100</v>
          </cell>
          <cell r="B101">
            <v>0.18179999999999999</v>
          </cell>
          <cell r="C101">
            <v>0.4</v>
          </cell>
          <cell r="D101">
            <v>0.29849999999999999</v>
          </cell>
          <cell r="E101">
            <v>3</v>
          </cell>
          <cell r="F101">
            <v>192</v>
          </cell>
          <cell r="G101">
            <v>195</v>
          </cell>
        </row>
        <row r="102">
          <cell r="A102">
            <v>101</v>
          </cell>
          <cell r="B102">
            <v>0.19700000000000001</v>
          </cell>
          <cell r="C102">
            <v>0.37</v>
          </cell>
          <cell r="D102">
            <v>0.32840000000000003</v>
          </cell>
          <cell r="E102">
            <v>6</v>
          </cell>
          <cell r="F102">
            <v>109</v>
          </cell>
          <cell r="G102">
            <v>115</v>
          </cell>
        </row>
        <row r="103">
          <cell r="A103">
            <v>102</v>
          </cell>
          <cell r="B103">
            <v>0.19700000000000001</v>
          </cell>
          <cell r="C103">
            <v>0.37</v>
          </cell>
          <cell r="D103">
            <v>0.32840000000000003</v>
          </cell>
          <cell r="E103">
            <v>4</v>
          </cell>
          <cell r="F103">
            <v>53</v>
          </cell>
          <cell r="G103">
            <v>57</v>
          </cell>
        </row>
        <row r="104">
          <cell r="A104">
            <v>103</v>
          </cell>
          <cell r="B104">
            <v>0.2273</v>
          </cell>
          <cell r="C104">
            <v>0.33</v>
          </cell>
          <cell r="D104">
            <v>0.32840000000000003</v>
          </cell>
          <cell r="E104">
            <v>12</v>
          </cell>
          <cell r="F104">
            <v>34</v>
          </cell>
          <cell r="G104">
            <v>46</v>
          </cell>
        </row>
        <row r="105">
          <cell r="A105">
            <v>104</v>
          </cell>
          <cell r="B105">
            <v>0.2273</v>
          </cell>
          <cell r="C105">
            <v>0.33</v>
          </cell>
          <cell r="D105">
            <v>0.32840000000000003</v>
          </cell>
          <cell r="E105">
            <v>5</v>
          </cell>
          <cell r="F105">
            <v>74</v>
          </cell>
          <cell r="G105">
            <v>79</v>
          </cell>
        </row>
        <row r="106">
          <cell r="A106">
            <v>105</v>
          </cell>
          <cell r="B106">
            <v>0.2576</v>
          </cell>
          <cell r="C106">
            <v>0.3</v>
          </cell>
          <cell r="D106">
            <v>0.29849999999999999</v>
          </cell>
          <cell r="E106">
            <v>6</v>
          </cell>
          <cell r="F106">
            <v>65</v>
          </cell>
          <cell r="G106">
            <v>71</v>
          </cell>
        </row>
        <row r="107">
          <cell r="A107">
            <v>106</v>
          </cell>
          <cell r="B107">
            <v>0.28789999999999999</v>
          </cell>
          <cell r="C107">
            <v>0.28000000000000003</v>
          </cell>
          <cell r="D107">
            <v>0.19400000000000001</v>
          </cell>
          <cell r="E107">
            <v>10</v>
          </cell>
          <cell r="F107">
            <v>52</v>
          </cell>
          <cell r="G107">
            <v>62</v>
          </cell>
        </row>
        <row r="108">
          <cell r="A108">
            <v>107</v>
          </cell>
          <cell r="B108">
            <v>0.28789999999999999</v>
          </cell>
          <cell r="C108">
            <v>0.28000000000000003</v>
          </cell>
          <cell r="D108">
            <v>0.19400000000000001</v>
          </cell>
          <cell r="E108">
            <v>7</v>
          </cell>
          <cell r="F108">
            <v>55</v>
          </cell>
          <cell r="G108">
            <v>62</v>
          </cell>
        </row>
        <row r="109">
          <cell r="A109">
            <v>108</v>
          </cell>
          <cell r="B109">
            <v>0.31819999999999998</v>
          </cell>
          <cell r="C109">
            <v>0.28000000000000003</v>
          </cell>
          <cell r="D109">
            <v>8.9599999999999999E-2</v>
          </cell>
          <cell r="E109">
            <v>4</v>
          </cell>
          <cell r="F109">
            <v>85</v>
          </cell>
          <cell r="G109">
            <v>89</v>
          </cell>
        </row>
        <row r="110">
          <cell r="A110">
            <v>109</v>
          </cell>
          <cell r="B110">
            <v>0.2273</v>
          </cell>
          <cell r="C110">
            <v>0.38</v>
          </cell>
          <cell r="D110">
            <v>0.19400000000000001</v>
          </cell>
          <cell r="E110">
            <v>4</v>
          </cell>
          <cell r="F110">
            <v>186</v>
          </cell>
          <cell r="G110">
            <v>190</v>
          </cell>
        </row>
        <row r="111">
          <cell r="A111">
            <v>110</v>
          </cell>
          <cell r="B111">
            <v>0.2424</v>
          </cell>
          <cell r="C111">
            <v>0.38</v>
          </cell>
          <cell r="D111">
            <v>0.1343</v>
          </cell>
          <cell r="E111">
            <v>3</v>
          </cell>
          <cell r="F111">
            <v>166</v>
          </cell>
          <cell r="G111">
            <v>169</v>
          </cell>
        </row>
        <row r="112">
          <cell r="A112">
            <v>111</v>
          </cell>
          <cell r="B112">
            <v>0.2576</v>
          </cell>
          <cell r="C112">
            <v>0.38</v>
          </cell>
          <cell r="D112">
            <v>0.1045</v>
          </cell>
          <cell r="E112">
            <v>5</v>
          </cell>
          <cell r="F112">
            <v>127</v>
          </cell>
          <cell r="G112">
            <v>132</v>
          </cell>
        </row>
        <row r="113">
          <cell r="A113">
            <v>112</v>
          </cell>
          <cell r="B113">
            <v>0.2273</v>
          </cell>
          <cell r="C113">
            <v>0.47</v>
          </cell>
          <cell r="D113">
            <v>0.16420000000000001</v>
          </cell>
          <cell r="E113">
            <v>7</v>
          </cell>
          <cell r="F113">
            <v>82</v>
          </cell>
          <cell r="G113">
            <v>89</v>
          </cell>
        </row>
        <row r="114">
          <cell r="A114">
            <v>113</v>
          </cell>
          <cell r="B114">
            <v>0.19700000000000001</v>
          </cell>
          <cell r="C114">
            <v>0.51</v>
          </cell>
          <cell r="D114">
            <v>0.19400000000000001</v>
          </cell>
          <cell r="E114">
            <v>3</v>
          </cell>
          <cell r="F114">
            <v>40</v>
          </cell>
          <cell r="G114">
            <v>43</v>
          </cell>
        </row>
        <row r="115">
          <cell r="A115">
            <v>114</v>
          </cell>
          <cell r="B115">
            <v>0.19700000000000001</v>
          </cell>
          <cell r="C115">
            <v>0.55000000000000004</v>
          </cell>
          <cell r="D115">
            <v>0.1343</v>
          </cell>
          <cell r="E115">
            <v>1</v>
          </cell>
          <cell r="F115">
            <v>41</v>
          </cell>
          <cell r="G115">
            <v>42</v>
          </cell>
        </row>
        <row r="116">
          <cell r="A116">
            <v>115</v>
          </cell>
          <cell r="B116">
            <v>0.2576</v>
          </cell>
          <cell r="C116">
            <v>0.47</v>
          </cell>
          <cell r="D116">
            <v>0</v>
          </cell>
          <cell r="E116">
            <v>1</v>
          </cell>
          <cell r="F116">
            <v>18</v>
          </cell>
          <cell r="G116">
            <v>19</v>
          </cell>
        </row>
        <row r="117">
          <cell r="A117">
            <v>116</v>
          </cell>
          <cell r="B117">
            <v>0.2424</v>
          </cell>
          <cell r="C117">
            <v>0.55000000000000004</v>
          </cell>
          <cell r="D117">
            <v>0</v>
          </cell>
          <cell r="E117">
            <v>0</v>
          </cell>
          <cell r="F117">
            <v>11</v>
          </cell>
          <cell r="G117">
            <v>11</v>
          </cell>
        </row>
        <row r="118">
          <cell r="A118">
            <v>117</v>
          </cell>
          <cell r="B118">
            <v>0.2273</v>
          </cell>
          <cell r="C118">
            <v>0.64</v>
          </cell>
          <cell r="D118">
            <v>0</v>
          </cell>
          <cell r="E118">
            <v>0</v>
          </cell>
          <cell r="F118">
            <v>4</v>
          </cell>
          <cell r="G118">
            <v>4</v>
          </cell>
        </row>
        <row r="119">
          <cell r="A119">
            <v>118</v>
          </cell>
          <cell r="B119">
            <v>0.2273</v>
          </cell>
          <cell r="C119">
            <v>0.64</v>
          </cell>
          <cell r="D119">
            <v>0</v>
          </cell>
          <cell r="E119">
            <v>0</v>
          </cell>
          <cell r="F119">
            <v>2</v>
          </cell>
          <cell r="G119">
            <v>2</v>
          </cell>
        </row>
        <row r="120">
          <cell r="A120">
            <v>119</v>
          </cell>
          <cell r="B120">
            <v>0.19700000000000001</v>
          </cell>
          <cell r="C120">
            <v>0.64</v>
          </cell>
          <cell r="D120">
            <v>8.9599999999999999E-2</v>
          </cell>
          <cell r="E120">
            <v>0</v>
          </cell>
          <cell r="F120">
            <v>1</v>
          </cell>
          <cell r="G120">
            <v>1</v>
          </cell>
        </row>
        <row r="121">
          <cell r="A121">
            <v>120</v>
          </cell>
          <cell r="B121">
            <v>0.18179999999999999</v>
          </cell>
          <cell r="C121">
            <v>0.69</v>
          </cell>
          <cell r="D121">
            <v>8.9599999999999999E-2</v>
          </cell>
          <cell r="E121">
            <v>0</v>
          </cell>
          <cell r="F121">
            <v>4</v>
          </cell>
          <cell r="G121">
            <v>4</v>
          </cell>
        </row>
        <row r="122">
          <cell r="A122">
            <v>121</v>
          </cell>
          <cell r="B122">
            <v>0.16669999999999999</v>
          </cell>
          <cell r="C122">
            <v>0.63</v>
          </cell>
          <cell r="D122">
            <v>0.1045</v>
          </cell>
          <cell r="E122">
            <v>0</v>
          </cell>
          <cell r="F122">
            <v>36</v>
          </cell>
          <cell r="G122">
            <v>36</v>
          </cell>
        </row>
        <row r="123">
          <cell r="A123">
            <v>122</v>
          </cell>
          <cell r="B123">
            <v>0.2273</v>
          </cell>
          <cell r="C123">
            <v>0.59</v>
          </cell>
          <cell r="D123">
            <v>0</v>
          </cell>
          <cell r="E123">
            <v>0</v>
          </cell>
          <cell r="F123">
            <v>95</v>
          </cell>
          <cell r="G123">
            <v>95</v>
          </cell>
        </row>
        <row r="124">
          <cell r="A124">
            <v>123</v>
          </cell>
          <cell r="B124">
            <v>0.2273</v>
          </cell>
          <cell r="C124">
            <v>0.59</v>
          </cell>
          <cell r="D124">
            <v>0</v>
          </cell>
          <cell r="E124">
            <v>3</v>
          </cell>
          <cell r="F124">
            <v>216</v>
          </cell>
          <cell r="G124">
            <v>219</v>
          </cell>
        </row>
        <row r="125">
          <cell r="A125">
            <v>124</v>
          </cell>
          <cell r="B125">
            <v>0.2424</v>
          </cell>
          <cell r="C125">
            <v>0.51</v>
          </cell>
          <cell r="D125">
            <v>0</v>
          </cell>
          <cell r="E125">
            <v>6</v>
          </cell>
          <cell r="F125">
            <v>116</v>
          </cell>
          <cell r="G125">
            <v>122</v>
          </cell>
        </row>
        <row r="126">
          <cell r="A126">
            <v>125</v>
          </cell>
          <cell r="B126">
            <v>0.2576</v>
          </cell>
          <cell r="C126">
            <v>0.47</v>
          </cell>
          <cell r="D126">
            <v>0</v>
          </cell>
          <cell r="E126">
            <v>3</v>
          </cell>
          <cell r="F126">
            <v>42</v>
          </cell>
          <cell r="G126">
            <v>45</v>
          </cell>
        </row>
        <row r="127">
          <cell r="A127">
            <v>126</v>
          </cell>
          <cell r="B127">
            <v>0.2576</v>
          </cell>
          <cell r="C127">
            <v>0.44</v>
          </cell>
          <cell r="D127">
            <v>8.9599999999999999E-2</v>
          </cell>
          <cell r="E127">
            <v>2</v>
          </cell>
          <cell r="F127">
            <v>57</v>
          </cell>
          <cell r="G127">
            <v>59</v>
          </cell>
        </row>
        <row r="128">
          <cell r="A128">
            <v>127</v>
          </cell>
          <cell r="B128">
            <v>0.28789999999999999</v>
          </cell>
          <cell r="C128">
            <v>0.35</v>
          </cell>
          <cell r="D128">
            <v>0</v>
          </cell>
          <cell r="E128">
            <v>6</v>
          </cell>
          <cell r="F128">
            <v>78</v>
          </cell>
          <cell r="G128">
            <v>84</v>
          </cell>
        </row>
        <row r="129">
          <cell r="A129">
            <v>128</v>
          </cell>
          <cell r="B129">
            <v>0.2727</v>
          </cell>
          <cell r="C129">
            <v>0.35</v>
          </cell>
          <cell r="D129">
            <v>0.1045</v>
          </cell>
          <cell r="E129">
            <v>12</v>
          </cell>
          <cell r="F129">
            <v>55</v>
          </cell>
          <cell r="G129">
            <v>67</v>
          </cell>
        </row>
        <row r="130">
          <cell r="A130">
            <v>129</v>
          </cell>
          <cell r="B130">
            <v>0.2727</v>
          </cell>
          <cell r="C130">
            <v>0.36</v>
          </cell>
          <cell r="D130">
            <v>0.16420000000000001</v>
          </cell>
          <cell r="E130">
            <v>11</v>
          </cell>
          <cell r="F130">
            <v>59</v>
          </cell>
          <cell r="G130">
            <v>70</v>
          </cell>
        </row>
        <row r="131">
          <cell r="A131">
            <v>130</v>
          </cell>
          <cell r="B131">
            <v>0.2727</v>
          </cell>
          <cell r="C131">
            <v>0.36</v>
          </cell>
          <cell r="D131">
            <v>0</v>
          </cell>
          <cell r="E131">
            <v>8</v>
          </cell>
          <cell r="F131">
            <v>54</v>
          </cell>
          <cell r="G131">
            <v>62</v>
          </cell>
        </row>
        <row r="132">
          <cell r="A132">
            <v>131</v>
          </cell>
          <cell r="B132">
            <v>0.2576</v>
          </cell>
          <cell r="C132">
            <v>0.38</v>
          </cell>
          <cell r="D132">
            <v>0.16420000000000001</v>
          </cell>
          <cell r="E132">
            <v>12</v>
          </cell>
          <cell r="F132">
            <v>74</v>
          </cell>
          <cell r="G132">
            <v>86</v>
          </cell>
        </row>
        <row r="133">
          <cell r="A133">
            <v>132</v>
          </cell>
          <cell r="B133">
            <v>0.2273</v>
          </cell>
          <cell r="C133">
            <v>0.51</v>
          </cell>
          <cell r="D133">
            <v>0.16420000000000001</v>
          </cell>
          <cell r="E133">
            <v>9</v>
          </cell>
          <cell r="F133">
            <v>163</v>
          </cell>
          <cell r="G133">
            <v>172</v>
          </cell>
        </row>
        <row r="134">
          <cell r="A134">
            <v>133</v>
          </cell>
          <cell r="B134">
            <v>0.2273</v>
          </cell>
          <cell r="C134">
            <v>0.51</v>
          </cell>
          <cell r="D134">
            <v>0.1343</v>
          </cell>
          <cell r="E134">
            <v>5</v>
          </cell>
          <cell r="F134">
            <v>158</v>
          </cell>
          <cell r="G134">
            <v>163</v>
          </cell>
        </row>
        <row r="135">
          <cell r="A135">
            <v>134</v>
          </cell>
          <cell r="B135">
            <v>0.2576</v>
          </cell>
          <cell r="C135">
            <v>0.55000000000000004</v>
          </cell>
          <cell r="D135">
            <v>8.9599999999999999E-2</v>
          </cell>
          <cell r="E135">
            <v>3</v>
          </cell>
          <cell r="F135">
            <v>109</v>
          </cell>
          <cell r="G135">
            <v>112</v>
          </cell>
        </row>
        <row r="136">
          <cell r="A136">
            <v>135</v>
          </cell>
          <cell r="B136">
            <v>0.21210000000000001</v>
          </cell>
          <cell r="C136">
            <v>0.51</v>
          </cell>
          <cell r="D136">
            <v>0.16420000000000001</v>
          </cell>
          <cell r="E136">
            <v>3</v>
          </cell>
          <cell r="F136">
            <v>66</v>
          </cell>
          <cell r="G136">
            <v>69</v>
          </cell>
        </row>
        <row r="137">
          <cell r="A137">
            <v>136</v>
          </cell>
          <cell r="B137">
            <v>0.21210000000000001</v>
          </cell>
          <cell r="C137">
            <v>0.55000000000000004</v>
          </cell>
          <cell r="D137">
            <v>0.22389999999999999</v>
          </cell>
          <cell r="E137">
            <v>0</v>
          </cell>
          <cell r="F137">
            <v>48</v>
          </cell>
          <cell r="G137">
            <v>48</v>
          </cell>
        </row>
        <row r="138">
          <cell r="A138">
            <v>137</v>
          </cell>
          <cell r="B138">
            <v>0.21210000000000001</v>
          </cell>
          <cell r="C138">
            <v>0.51</v>
          </cell>
          <cell r="D138">
            <v>0.28360000000000002</v>
          </cell>
          <cell r="E138">
            <v>1</v>
          </cell>
          <cell r="F138">
            <v>51</v>
          </cell>
          <cell r="G138">
            <v>52</v>
          </cell>
        </row>
        <row r="139">
          <cell r="A139">
            <v>138</v>
          </cell>
          <cell r="B139">
            <v>0.19700000000000001</v>
          </cell>
          <cell r="C139">
            <v>0.59</v>
          </cell>
          <cell r="D139">
            <v>0.19400000000000001</v>
          </cell>
          <cell r="E139">
            <v>4</v>
          </cell>
          <cell r="F139">
            <v>19</v>
          </cell>
          <cell r="G139">
            <v>23</v>
          </cell>
        </row>
        <row r="140">
          <cell r="A140">
            <v>139</v>
          </cell>
          <cell r="B140">
            <v>0.19700000000000001</v>
          </cell>
          <cell r="C140">
            <v>0.64</v>
          </cell>
          <cell r="D140">
            <v>0.19400000000000001</v>
          </cell>
          <cell r="E140">
            <v>4</v>
          </cell>
          <cell r="F140">
            <v>13</v>
          </cell>
          <cell r="G140">
            <v>17</v>
          </cell>
        </row>
        <row r="141">
          <cell r="A141">
            <v>140</v>
          </cell>
          <cell r="B141">
            <v>0.19700000000000001</v>
          </cell>
          <cell r="C141">
            <v>0.69</v>
          </cell>
          <cell r="D141">
            <v>0.22389999999999999</v>
          </cell>
          <cell r="E141">
            <v>2</v>
          </cell>
          <cell r="F141">
            <v>5</v>
          </cell>
          <cell r="G141">
            <v>7</v>
          </cell>
        </row>
        <row r="142">
          <cell r="A142">
            <v>141</v>
          </cell>
          <cell r="B142">
            <v>0.19700000000000001</v>
          </cell>
          <cell r="C142">
            <v>0.69</v>
          </cell>
          <cell r="D142">
            <v>0.22389999999999999</v>
          </cell>
          <cell r="E142">
            <v>0</v>
          </cell>
          <cell r="F142">
            <v>1</v>
          </cell>
          <cell r="G142">
            <v>1</v>
          </cell>
        </row>
        <row r="143">
          <cell r="A143">
            <v>142</v>
          </cell>
          <cell r="B143">
            <v>0.21210000000000001</v>
          </cell>
          <cell r="C143">
            <v>0.69</v>
          </cell>
          <cell r="D143">
            <v>0.1343</v>
          </cell>
          <cell r="E143">
            <v>0</v>
          </cell>
          <cell r="F143">
            <v>1</v>
          </cell>
          <cell r="G143">
            <v>1</v>
          </cell>
        </row>
        <row r="144">
          <cell r="A144">
            <v>143</v>
          </cell>
          <cell r="B144">
            <v>0.2727</v>
          </cell>
          <cell r="C144">
            <v>0.55000000000000004</v>
          </cell>
          <cell r="D144">
            <v>0</v>
          </cell>
          <cell r="E144">
            <v>0</v>
          </cell>
          <cell r="F144">
            <v>5</v>
          </cell>
          <cell r="G144">
            <v>5</v>
          </cell>
        </row>
        <row r="145">
          <cell r="A145">
            <v>144</v>
          </cell>
          <cell r="B145">
            <v>0.2576</v>
          </cell>
          <cell r="C145">
            <v>0.69</v>
          </cell>
          <cell r="D145">
            <v>0</v>
          </cell>
          <cell r="E145">
            <v>8</v>
          </cell>
          <cell r="F145">
            <v>26</v>
          </cell>
          <cell r="G145">
            <v>34</v>
          </cell>
        </row>
        <row r="146">
          <cell r="A146">
            <v>145</v>
          </cell>
          <cell r="B146">
            <v>0.21210000000000001</v>
          </cell>
          <cell r="C146">
            <v>0.69</v>
          </cell>
          <cell r="D146">
            <v>0.1343</v>
          </cell>
          <cell r="E146">
            <v>8</v>
          </cell>
          <cell r="F146">
            <v>76</v>
          </cell>
          <cell r="G146">
            <v>84</v>
          </cell>
        </row>
        <row r="147">
          <cell r="A147">
            <v>146</v>
          </cell>
          <cell r="B147">
            <v>0.19700000000000001</v>
          </cell>
          <cell r="C147">
            <v>0.51</v>
          </cell>
          <cell r="D147">
            <v>0.25369999999999998</v>
          </cell>
          <cell r="E147">
            <v>20</v>
          </cell>
          <cell r="F147">
            <v>190</v>
          </cell>
          <cell r="G147">
            <v>210</v>
          </cell>
        </row>
        <row r="148">
          <cell r="A148">
            <v>147</v>
          </cell>
          <cell r="B148">
            <v>0.18179999999999999</v>
          </cell>
          <cell r="C148">
            <v>0.47</v>
          </cell>
          <cell r="D148">
            <v>0.29849999999999999</v>
          </cell>
          <cell r="E148">
            <v>9</v>
          </cell>
          <cell r="F148">
            <v>125</v>
          </cell>
          <cell r="G148">
            <v>134</v>
          </cell>
        </row>
        <row r="149">
          <cell r="A149">
            <v>148</v>
          </cell>
          <cell r="B149">
            <v>0.19700000000000001</v>
          </cell>
          <cell r="C149">
            <v>0.37</v>
          </cell>
          <cell r="D149">
            <v>0.32840000000000003</v>
          </cell>
          <cell r="E149">
            <v>16</v>
          </cell>
          <cell r="F149">
            <v>47</v>
          </cell>
          <cell r="G149">
            <v>63</v>
          </cell>
        </row>
        <row r="150">
          <cell r="A150">
            <v>149</v>
          </cell>
          <cell r="B150">
            <v>0.19700000000000001</v>
          </cell>
          <cell r="C150">
            <v>0.4</v>
          </cell>
          <cell r="D150">
            <v>0.22389999999999999</v>
          </cell>
          <cell r="E150">
            <v>19</v>
          </cell>
          <cell r="F150">
            <v>48</v>
          </cell>
          <cell r="G150">
            <v>67</v>
          </cell>
        </row>
        <row r="151">
          <cell r="A151">
            <v>150</v>
          </cell>
          <cell r="B151">
            <v>0.19700000000000001</v>
          </cell>
          <cell r="C151">
            <v>0.37</v>
          </cell>
          <cell r="D151">
            <v>0.25369999999999998</v>
          </cell>
          <cell r="E151">
            <v>9</v>
          </cell>
          <cell r="F151">
            <v>50</v>
          </cell>
          <cell r="G151">
            <v>59</v>
          </cell>
        </row>
        <row r="152">
          <cell r="A152">
            <v>151</v>
          </cell>
          <cell r="B152">
            <v>0.18179999999999999</v>
          </cell>
          <cell r="C152">
            <v>0.37</v>
          </cell>
          <cell r="D152">
            <v>0.28360000000000002</v>
          </cell>
          <cell r="E152">
            <v>9</v>
          </cell>
          <cell r="F152">
            <v>64</v>
          </cell>
          <cell r="G152">
            <v>73</v>
          </cell>
        </row>
        <row r="153">
          <cell r="A153">
            <v>152</v>
          </cell>
          <cell r="B153">
            <v>0.19700000000000001</v>
          </cell>
          <cell r="C153">
            <v>0.4</v>
          </cell>
          <cell r="D153">
            <v>0.25369999999999998</v>
          </cell>
          <cell r="E153">
            <v>7</v>
          </cell>
          <cell r="F153">
            <v>43</v>
          </cell>
          <cell r="G153">
            <v>50</v>
          </cell>
        </row>
        <row r="154">
          <cell r="A154">
            <v>153</v>
          </cell>
          <cell r="B154">
            <v>0.21210000000000001</v>
          </cell>
          <cell r="C154">
            <v>0.37</v>
          </cell>
          <cell r="D154">
            <v>0.16420000000000001</v>
          </cell>
          <cell r="E154">
            <v>9</v>
          </cell>
          <cell r="F154">
            <v>63</v>
          </cell>
          <cell r="G154">
            <v>72</v>
          </cell>
        </row>
        <row r="155">
          <cell r="A155">
            <v>154</v>
          </cell>
          <cell r="B155">
            <v>0.21210000000000001</v>
          </cell>
          <cell r="C155">
            <v>0.37</v>
          </cell>
          <cell r="D155">
            <v>0.16420000000000001</v>
          </cell>
          <cell r="E155">
            <v>5</v>
          </cell>
          <cell r="F155">
            <v>82</v>
          </cell>
          <cell r="G155">
            <v>87</v>
          </cell>
        </row>
        <row r="156">
          <cell r="A156">
            <v>155</v>
          </cell>
          <cell r="B156">
            <v>0.2576</v>
          </cell>
          <cell r="C156">
            <v>0.37</v>
          </cell>
          <cell r="D156">
            <v>0</v>
          </cell>
          <cell r="E156">
            <v>9</v>
          </cell>
          <cell r="F156">
            <v>178</v>
          </cell>
          <cell r="G156">
            <v>187</v>
          </cell>
        </row>
        <row r="157">
          <cell r="A157">
            <v>156</v>
          </cell>
          <cell r="B157">
            <v>0.2273</v>
          </cell>
          <cell r="C157">
            <v>0.4</v>
          </cell>
          <cell r="D157">
            <v>8.9599999999999999E-2</v>
          </cell>
          <cell r="E157">
            <v>7</v>
          </cell>
          <cell r="F157">
            <v>116</v>
          </cell>
          <cell r="G157">
            <v>123</v>
          </cell>
        </row>
        <row r="158">
          <cell r="A158">
            <v>157</v>
          </cell>
          <cell r="B158">
            <v>0.19700000000000001</v>
          </cell>
          <cell r="C158">
            <v>0.55000000000000004</v>
          </cell>
          <cell r="D158">
            <v>8.9599999999999999E-2</v>
          </cell>
          <cell r="E158">
            <v>3</v>
          </cell>
          <cell r="F158">
            <v>92</v>
          </cell>
          <cell r="G158">
            <v>95</v>
          </cell>
        </row>
        <row r="159">
          <cell r="A159">
            <v>158</v>
          </cell>
          <cell r="B159">
            <v>0.21210000000000001</v>
          </cell>
          <cell r="C159">
            <v>0.47</v>
          </cell>
          <cell r="D159">
            <v>0.1045</v>
          </cell>
          <cell r="E159">
            <v>1</v>
          </cell>
          <cell r="F159">
            <v>50</v>
          </cell>
          <cell r="G159">
            <v>51</v>
          </cell>
        </row>
        <row r="160">
          <cell r="A160">
            <v>159</v>
          </cell>
          <cell r="B160">
            <v>0.19700000000000001</v>
          </cell>
          <cell r="C160">
            <v>0.47</v>
          </cell>
          <cell r="D160">
            <v>0.1343</v>
          </cell>
          <cell r="E160">
            <v>0</v>
          </cell>
          <cell r="F160">
            <v>39</v>
          </cell>
          <cell r="G160">
            <v>39</v>
          </cell>
        </row>
        <row r="161">
          <cell r="A161">
            <v>160</v>
          </cell>
          <cell r="B161">
            <v>0.19700000000000001</v>
          </cell>
          <cell r="C161">
            <v>0.43</v>
          </cell>
          <cell r="D161">
            <v>0.16420000000000001</v>
          </cell>
          <cell r="E161">
            <v>2</v>
          </cell>
          <cell r="F161">
            <v>34</v>
          </cell>
          <cell r="G161">
            <v>36</v>
          </cell>
        </row>
        <row r="162">
          <cell r="A162">
            <v>161</v>
          </cell>
          <cell r="B162">
            <v>0.19700000000000001</v>
          </cell>
          <cell r="C162">
            <v>0.51</v>
          </cell>
          <cell r="D162">
            <v>0.16420000000000001</v>
          </cell>
          <cell r="E162">
            <v>1</v>
          </cell>
          <cell r="F162">
            <v>14</v>
          </cell>
          <cell r="G162">
            <v>15</v>
          </cell>
        </row>
        <row r="163">
          <cell r="A163">
            <v>162</v>
          </cell>
          <cell r="B163">
            <v>0.19700000000000001</v>
          </cell>
          <cell r="C163">
            <v>0.51</v>
          </cell>
          <cell r="D163">
            <v>0.16420000000000001</v>
          </cell>
          <cell r="E163">
            <v>1</v>
          </cell>
          <cell r="F163">
            <v>24</v>
          </cell>
          <cell r="G163">
            <v>25</v>
          </cell>
        </row>
        <row r="164">
          <cell r="A164">
            <v>163</v>
          </cell>
          <cell r="B164">
            <v>0.21210000000000001</v>
          </cell>
          <cell r="C164">
            <v>0.55000000000000004</v>
          </cell>
          <cell r="D164">
            <v>8.9599999999999999E-2</v>
          </cell>
          <cell r="E164">
            <v>1</v>
          </cell>
          <cell r="F164">
            <v>15</v>
          </cell>
          <cell r="G164">
            <v>16</v>
          </cell>
        </row>
        <row r="165">
          <cell r="A165">
            <v>164</v>
          </cell>
          <cell r="B165">
            <v>0.2424</v>
          </cell>
          <cell r="C165">
            <v>0.55000000000000004</v>
          </cell>
          <cell r="D165">
            <v>0</v>
          </cell>
          <cell r="E165">
            <v>3</v>
          </cell>
          <cell r="F165">
            <v>13</v>
          </cell>
          <cell r="G165">
            <v>16</v>
          </cell>
        </row>
        <row r="166">
          <cell r="A166">
            <v>165</v>
          </cell>
          <cell r="B166">
            <v>0.19700000000000001</v>
          </cell>
          <cell r="C166">
            <v>0.55000000000000004</v>
          </cell>
          <cell r="D166">
            <v>0.16420000000000001</v>
          </cell>
          <cell r="E166">
            <v>0</v>
          </cell>
          <cell r="F166">
            <v>7</v>
          </cell>
          <cell r="G166">
            <v>7</v>
          </cell>
        </row>
        <row r="167">
          <cell r="A167">
            <v>166</v>
          </cell>
          <cell r="B167">
            <v>0.19700000000000001</v>
          </cell>
          <cell r="C167">
            <v>0.55000000000000004</v>
          </cell>
          <cell r="D167">
            <v>0.16420000000000001</v>
          </cell>
          <cell r="E167">
            <v>0</v>
          </cell>
          <cell r="F167">
            <v>1</v>
          </cell>
          <cell r="G167">
            <v>1</v>
          </cell>
        </row>
        <row r="168">
          <cell r="A168">
            <v>167</v>
          </cell>
          <cell r="B168">
            <v>0.16669999999999999</v>
          </cell>
          <cell r="C168">
            <v>0.74</v>
          </cell>
          <cell r="D168">
            <v>0.16420000000000001</v>
          </cell>
          <cell r="E168">
            <v>0</v>
          </cell>
          <cell r="F168">
            <v>5</v>
          </cell>
          <cell r="G168">
            <v>5</v>
          </cell>
        </row>
        <row r="169">
          <cell r="A169">
            <v>168</v>
          </cell>
          <cell r="B169">
            <v>0.16669999999999999</v>
          </cell>
          <cell r="C169">
            <v>0.74</v>
          </cell>
          <cell r="D169">
            <v>0.16420000000000001</v>
          </cell>
          <cell r="E169">
            <v>0</v>
          </cell>
          <cell r="F169">
            <v>2</v>
          </cell>
          <cell r="G169">
            <v>2</v>
          </cell>
        </row>
        <row r="170">
          <cell r="A170">
            <v>169</v>
          </cell>
          <cell r="B170">
            <v>0.18179999999999999</v>
          </cell>
          <cell r="C170">
            <v>0.74</v>
          </cell>
          <cell r="D170">
            <v>0.1045</v>
          </cell>
          <cell r="E170">
            <v>1</v>
          </cell>
          <cell r="F170">
            <v>8</v>
          </cell>
          <cell r="G170">
            <v>9</v>
          </cell>
        </row>
        <row r="171">
          <cell r="A171">
            <v>170</v>
          </cell>
          <cell r="B171">
            <v>0.18179999999999999</v>
          </cell>
          <cell r="C171">
            <v>0.93</v>
          </cell>
          <cell r="D171">
            <v>0.1045</v>
          </cell>
          <cell r="E171">
            <v>0</v>
          </cell>
          <cell r="F171">
            <v>15</v>
          </cell>
          <cell r="G171">
            <v>15</v>
          </cell>
        </row>
        <row r="172">
          <cell r="A172">
            <v>171</v>
          </cell>
          <cell r="B172">
            <v>0.18179999999999999</v>
          </cell>
          <cell r="C172">
            <v>0.93</v>
          </cell>
          <cell r="D172">
            <v>0.1045</v>
          </cell>
          <cell r="E172">
            <v>0</v>
          </cell>
          <cell r="F172">
            <v>20</v>
          </cell>
          <cell r="G172">
            <v>20</v>
          </cell>
        </row>
        <row r="173">
          <cell r="A173">
            <v>172</v>
          </cell>
          <cell r="B173">
            <v>0.19700000000000001</v>
          </cell>
          <cell r="C173">
            <v>0.8</v>
          </cell>
          <cell r="D173">
            <v>0.16420000000000001</v>
          </cell>
          <cell r="E173">
            <v>5</v>
          </cell>
          <cell r="F173">
            <v>56</v>
          </cell>
          <cell r="G173">
            <v>61</v>
          </cell>
        </row>
        <row r="174">
          <cell r="A174">
            <v>173</v>
          </cell>
          <cell r="B174">
            <v>0.18179999999999999</v>
          </cell>
          <cell r="C174">
            <v>0.69</v>
          </cell>
          <cell r="D174">
            <v>0.3881</v>
          </cell>
          <cell r="E174">
            <v>2</v>
          </cell>
          <cell r="F174">
            <v>60</v>
          </cell>
          <cell r="G174">
            <v>62</v>
          </cell>
        </row>
        <row r="175">
          <cell r="A175">
            <v>174</v>
          </cell>
          <cell r="B175">
            <v>0.18179999999999999</v>
          </cell>
          <cell r="C175">
            <v>0.59</v>
          </cell>
          <cell r="D175">
            <v>0.35820000000000002</v>
          </cell>
          <cell r="E175">
            <v>8</v>
          </cell>
          <cell r="F175">
            <v>90</v>
          </cell>
          <cell r="G175">
            <v>98</v>
          </cell>
        </row>
        <row r="176">
          <cell r="A176">
            <v>175</v>
          </cell>
          <cell r="B176">
            <v>0.18179999999999999</v>
          </cell>
          <cell r="C176">
            <v>0.44</v>
          </cell>
          <cell r="D176">
            <v>0.32840000000000003</v>
          </cell>
          <cell r="E176">
            <v>7</v>
          </cell>
          <cell r="F176">
            <v>95</v>
          </cell>
          <cell r="G176">
            <v>102</v>
          </cell>
        </row>
        <row r="177">
          <cell r="A177">
            <v>176</v>
          </cell>
          <cell r="B177">
            <v>0.16669999999999999</v>
          </cell>
          <cell r="C177">
            <v>0.32</v>
          </cell>
          <cell r="D177">
            <v>0.49249999999999999</v>
          </cell>
          <cell r="E177">
            <v>12</v>
          </cell>
          <cell r="F177">
            <v>83</v>
          </cell>
          <cell r="G177">
            <v>95</v>
          </cell>
        </row>
        <row r="178">
          <cell r="A178">
            <v>177</v>
          </cell>
          <cell r="B178">
            <v>0.16669999999999999</v>
          </cell>
          <cell r="C178">
            <v>0.32</v>
          </cell>
          <cell r="D178">
            <v>0.44779999999999998</v>
          </cell>
          <cell r="E178">
            <v>5</v>
          </cell>
          <cell r="F178">
            <v>69</v>
          </cell>
          <cell r="G178">
            <v>74</v>
          </cell>
        </row>
        <row r="179">
          <cell r="A179">
            <v>178</v>
          </cell>
          <cell r="B179">
            <v>0.13639999999999999</v>
          </cell>
          <cell r="C179">
            <v>0.28999999999999998</v>
          </cell>
          <cell r="D179">
            <v>0.44779999999999998</v>
          </cell>
          <cell r="E179">
            <v>8</v>
          </cell>
          <cell r="F179">
            <v>68</v>
          </cell>
          <cell r="G179">
            <v>76</v>
          </cell>
        </row>
        <row r="180">
          <cell r="A180">
            <v>179</v>
          </cell>
          <cell r="B180">
            <v>0.1212</v>
          </cell>
          <cell r="C180">
            <v>0.37</v>
          </cell>
          <cell r="D180">
            <v>0.55220000000000002</v>
          </cell>
          <cell r="E180">
            <v>5</v>
          </cell>
          <cell r="F180">
            <v>64</v>
          </cell>
          <cell r="G180">
            <v>69</v>
          </cell>
        </row>
        <row r="181">
          <cell r="A181">
            <v>180</v>
          </cell>
          <cell r="B181">
            <v>0.1212</v>
          </cell>
          <cell r="C181">
            <v>0.39</v>
          </cell>
          <cell r="D181">
            <v>0.29849999999999999</v>
          </cell>
          <cell r="E181">
            <v>3</v>
          </cell>
          <cell r="F181">
            <v>52</v>
          </cell>
          <cell r="G181">
            <v>55</v>
          </cell>
        </row>
        <row r="182">
          <cell r="A182">
            <v>181</v>
          </cell>
          <cell r="B182">
            <v>0.1212</v>
          </cell>
          <cell r="C182">
            <v>0.36</v>
          </cell>
          <cell r="D182">
            <v>0.25369999999999998</v>
          </cell>
          <cell r="E182">
            <v>4</v>
          </cell>
          <cell r="F182">
            <v>26</v>
          </cell>
          <cell r="G182">
            <v>30</v>
          </cell>
        </row>
        <row r="183">
          <cell r="A183">
            <v>182</v>
          </cell>
          <cell r="B183">
            <v>0.1212</v>
          </cell>
          <cell r="C183">
            <v>0.36</v>
          </cell>
          <cell r="D183">
            <v>0.25369999999999998</v>
          </cell>
          <cell r="E183">
            <v>0</v>
          </cell>
          <cell r="F183">
            <v>28</v>
          </cell>
          <cell r="G183">
            <v>28</v>
          </cell>
        </row>
        <row r="184">
          <cell r="A184">
            <v>183</v>
          </cell>
          <cell r="B184">
            <v>0.1061</v>
          </cell>
          <cell r="C184">
            <v>0.39</v>
          </cell>
          <cell r="D184">
            <v>0.35820000000000002</v>
          </cell>
          <cell r="E184">
            <v>2</v>
          </cell>
          <cell r="F184">
            <v>35</v>
          </cell>
          <cell r="G184">
            <v>37</v>
          </cell>
        </row>
        <row r="185">
          <cell r="A185">
            <v>184</v>
          </cell>
          <cell r="B185">
            <v>0.1061</v>
          </cell>
          <cell r="C185">
            <v>0.36</v>
          </cell>
          <cell r="D185">
            <v>0.3881</v>
          </cell>
          <cell r="E185">
            <v>1</v>
          </cell>
          <cell r="F185">
            <v>33</v>
          </cell>
          <cell r="G185">
            <v>34</v>
          </cell>
        </row>
        <row r="186">
          <cell r="A186">
            <v>185</v>
          </cell>
          <cell r="B186">
            <v>6.0600000000000001E-2</v>
          </cell>
          <cell r="C186">
            <v>0.39</v>
          </cell>
          <cell r="D186">
            <v>0.44779999999999998</v>
          </cell>
          <cell r="E186">
            <v>0</v>
          </cell>
          <cell r="F186">
            <v>22</v>
          </cell>
          <cell r="G186">
            <v>22</v>
          </cell>
        </row>
        <row r="187">
          <cell r="A187">
            <v>186</v>
          </cell>
          <cell r="B187">
            <v>7.5800000000000006E-2</v>
          </cell>
          <cell r="C187">
            <v>0.42</v>
          </cell>
          <cell r="D187">
            <v>0.3881</v>
          </cell>
          <cell r="E187">
            <v>1</v>
          </cell>
          <cell r="F187">
            <v>24</v>
          </cell>
          <cell r="G187">
            <v>25</v>
          </cell>
        </row>
        <row r="188">
          <cell r="A188">
            <v>187</v>
          </cell>
          <cell r="B188">
            <v>6.0600000000000001E-2</v>
          </cell>
          <cell r="C188">
            <v>0.42</v>
          </cell>
          <cell r="D188">
            <v>0.4627</v>
          </cell>
          <cell r="E188">
            <v>0</v>
          </cell>
          <cell r="F188">
            <v>12</v>
          </cell>
          <cell r="G188">
            <v>12</v>
          </cell>
        </row>
        <row r="189">
          <cell r="A189">
            <v>188</v>
          </cell>
          <cell r="B189">
            <v>6.0600000000000001E-2</v>
          </cell>
          <cell r="C189">
            <v>0.46</v>
          </cell>
          <cell r="D189">
            <v>0.4627</v>
          </cell>
          <cell r="E189">
            <v>0</v>
          </cell>
          <cell r="F189">
            <v>11</v>
          </cell>
          <cell r="G189">
            <v>11</v>
          </cell>
        </row>
        <row r="190">
          <cell r="A190">
            <v>189</v>
          </cell>
          <cell r="B190">
            <v>7.5800000000000006E-2</v>
          </cell>
          <cell r="C190">
            <v>0.46</v>
          </cell>
          <cell r="D190">
            <v>0.41789999999999999</v>
          </cell>
          <cell r="E190">
            <v>0</v>
          </cell>
          <cell r="F190">
            <v>4</v>
          </cell>
          <cell r="G190">
            <v>4</v>
          </cell>
        </row>
        <row r="191">
          <cell r="A191">
            <v>190</v>
          </cell>
          <cell r="B191">
            <v>9.0899999999999995E-2</v>
          </cell>
          <cell r="C191">
            <v>0.53</v>
          </cell>
          <cell r="D191">
            <v>0.19400000000000001</v>
          </cell>
          <cell r="E191">
            <v>0</v>
          </cell>
          <cell r="F191">
            <v>1</v>
          </cell>
          <cell r="G191">
            <v>1</v>
          </cell>
        </row>
        <row r="192">
          <cell r="A192">
            <v>191</v>
          </cell>
          <cell r="B192">
            <v>9.0899999999999995E-2</v>
          </cell>
          <cell r="C192">
            <v>0.53</v>
          </cell>
          <cell r="D192">
            <v>0.19400000000000001</v>
          </cell>
          <cell r="E192">
            <v>0</v>
          </cell>
          <cell r="F192">
            <v>1</v>
          </cell>
          <cell r="G192">
            <v>1</v>
          </cell>
        </row>
        <row r="193">
          <cell r="A193">
            <v>192</v>
          </cell>
          <cell r="B193">
            <v>9.0899999999999995E-2</v>
          </cell>
          <cell r="C193">
            <v>0.49</v>
          </cell>
          <cell r="D193">
            <v>0.28360000000000002</v>
          </cell>
          <cell r="E193">
            <v>0</v>
          </cell>
          <cell r="F193">
            <v>1</v>
          </cell>
          <cell r="G193">
            <v>1</v>
          </cell>
        </row>
        <row r="194">
          <cell r="A194">
            <v>193</v>
          </cell>
          <cell r="B194">
            <v>9.0899999999999995E-2</v>
          </cell>
          <cell r="C194">
            <v>0.53</v>
          </cell>
          <cell r="D194">
            <v>0.19400000000000001</v>
          </cell>
          <cell r="E194">
            <v>1</v>
          </cell>
          <cell r="F194">
            <v>5</v>
          </cell>
          <cell r="G194">
            <v>6</v>
          </cell>
        </row>
        <row r="195">
          <cell r="A195">
            <v>194</v>
          </cell>
          <cell r="B195">
            <v>9.0899999999999995E-2</v>
          </cell>
          <cell r="C195">
            <v>0.49</v>
          </cell>
          <cell r="D195">
            <v>0.28360000000000002</v>
          </cell>
          <cell r="E195">
            <v>0</v>
          </cell>
          <cell r="F195">
            <v>10</v>
          </cell>
          <cell r="G195">
            <v>10</v>
          </cell>
        </row>
        <row r="196">
          <cell r="A196">
            <v>195</v>
          </cell>
          <cell r="B196">
            <v>7.5800000000000006E-2</v>
          </cell>
          <cell r="C196">
            <v>0.46</v>
          </cell>
          <cell r="D196">
            <v>0.52239999999999998</v>
          </cell>
          <cell r="E196">
            <v>0</v>
          </cell>
          <cell r="F196">
            <v>19</v>
          </cell>
          <cell r="G196">
            <v>19</v>
          </cell>
        </row>
        <row r="197">
          <cell r="A197">
            <v>196</v>
          </cell>
          <cell r="B197">
            <v>0.1061</v>
          </cell>
          <cell r="C197">
            <v>0.43</v>
          </cell>
          <cell r="D197">
            <v>0.3881</v>
          </cell>
          <cell r="E197">
            <v>0</v>
          </cell>
          <cell r="F197">
            <v>49</v>
          </cell>
          <cell r="G197">
            <v>49</v>
          </cell>
        </row>
        <row r="198">
          <cell r="A198">
            <v>197</v>
          </cell>
          <cell r="B198">
            <v>0.1212</v>
          </cell>
          <cell r="C198">
            <v>0.4</v>
          </cell>
          <cell r="D198">
            <v>0.52239999999999998</v>
          </cell>
          <cell r="E198">
            <v>2</v>
          </cell>
          <cell r="F198">
            <v>47</v>
          </cell>
          <cell r="G198">
            <v>49</v>
          </cell>
        </row>
        <row r="199">
          <cell r="A199">
            <v>198</v>
          </cell>
          <cell r="B199">
            <v>0.13639999999999999</v>
          </cell>
          <cell r="C199">
            <v>0.37</v>
          </cell>
          <cell r="D199">
            <v>0.44779999999999998</v>
          </cell>
          <cell r="E199">
            <v>4</v>
          </cell>
          <cell r="F199">
            <v>79</v>
          </cell>
          <cell r="G199">
            <v>83</v>
          </cell>
        </row>
        <row r="200">
          <cell r="A200">
            <v>199</v>
          </cell>
          <cell r="B200">
            <v>0.16669999999999999</v>
          </cell>
          <cell r="C200">
            <v>0.34</v>
          </cell>
          <cell r="D200">
            <v>0.44779999999999998</v>
          </cell>
          <cell r="E200">
            <v>6</v>
          </cell>
          <cell r="F200">
            <v>69</v>
          </cell>
          <cell r="G200">
            <v>75</v>
          </cell>
        </row>
        <row r="201">
          <cell r="A201">
            <v>200</v>
          </cell>
          <cell r="B201">
            <v>0.18179999999999999</v>
          </cell>
          <cell r="C201">
            <v>0.32</v>
          </cell>
          <cell r="D201">
            <v>0.4627</v>
          </cell>
          <cell r="E201">
            <v>8</v>
          </cell>
          <cell r="F201">
            <v>64</v>
          </cell>
          <cell r="G201">
            <v>72</v>
          </cell>
        </row>
        <row r="202">
          <cell r="A202">
            <v>201</v>
          </cell>
          <cell r="B202">
            <v>0.19700000000000001</v>
          </cell>
          <cell r="C202">
            <v>0.35</v>
          </cell>
          <cell r="D202">
            <v>0.35820000000000002</v>
          </cell>
          <cell r="E202">
            <v>5</v>
          </cell>
          <cell r="F202">
            <v>77</v>
          </cell>
          <cell r="G202">
            <v>82</v>
          </cell>
        </row>
        <row r="203">
          <cell r="A203">
            <v>202</v>
          </cell>
          <cell r="B203">
            <v>0.16669999999999999</v>
          </cell>
          <cell r="C203">
            <v>0.34</v>
          </cell>
          <cell r="D203">
            <v>0.44779999999999998</v>
          </cell>
          <cell r="E203">
            <v>13</v>
          </cell>
          <cell r="F203">
            <v>79</v>
          </cell>
          <cell r="G203">
            <v>92</v>
          </cell>
        </row>
        <row r="204">
          <cell r="A204">
            <v>203</v>
          </cell>
          <cell r="B204">
            <v>0.1515</v>
          </cell>
          <cell r="C204">
            <v>0.37</v>
          </cell>
          <cell r="D204">
            <v>0.3881</v>
          </cell>
          <cell r="E204">
            <v>3</v>
          </cell>
          <cell r="F204">
            <v>59</v>
          </cell>
          <cell r="G204">
            <v>62</v>
          </cell>
        </row>
        <row r="205">
          <cell r="A205">
            <v>204</v>
          </cell>
          <cell r="B205">
            <v>0.13639999999999999</v>
          </cell>
          <cell r="C205">
            <v>0.4</v>
          </cell>
          <cell r="D205">
            <v>0.32840000000000003</v>
          </cell>
          <cell r="E205">
            <v>4</v>
          </cell>
          <cell r="F205">
            <v>44</v>
          </cell>
          <cell r="G205">
            <v>48</v>
          </cell>
        </row>
        <row r="206">
          <cell r="A206">
            <v>205</v>
          </cell>
          <cell r="B206">
            <v>0.13639999999999999</v>
          </cell>
          <cell r="C206">
            <v>0.43</v>
          </cell>
          <cell r="D206">
            <v>0.32840000000000003</v>
          </cell>
          <cell r="E206">
            <v>1</v>
          </cell>
          <cell r="F206">
            <v>40</v>
          </cell>
          <cell r="G206">
            <v>41</v>
          </cell>
        </row>
        <row r="207">
          <cell r="A207">
            <v>206</v>
          </cell>
          <cell r="B207">
            <v>0.1212</v>
          </cell>
          <cell r="C207">
            <v>0.46</v>
          </cell>
          <cell r="D207">
            <v>0.25369999999999998</v>
          </cell>
          <cell r="E207">
            <v>0</v>
          </cell>
          <cell r="F207">
            <v>38</v>
          </cell>
          <cell r="G207">
            <v>38</v>
          </cell>
        </row>
        <row r="208">
          <cell r="A208">
            <v>207</v>
          </cell>
          <cell r="B208">
            <v>0.1061</v>
          </cell>
          <cell r="C208">
            <v>0.46</v>
          </cell>
          <cell r="D208">
            <v>0.41789999999999999</v>
          </cell>
          <cell r="E208">
            <v>1</v>
          </cell>
          <cell r="F208">
            <v>19</v>
          </cell>
          <cell r="G208">
            <v>20</v>
          </cell>
        </row>
        <row r="209">
          <cell r="A209">
            <v>208</v>
          </cell>
          <cell r="B209">
            <v>0.1212</v>
          </cell>
          <cell r="C209">
            <v>0.46</v>
          </cell>
          <cell r="D209">
            <v>0.29849999999999999</v>
          </cell>
          <cell r="E209">
            <v>5</v>
          </cell>
          <cell r="F209">
            <v>10</v>
          </cell>
          <cell r="G209">
            <v>15</v>
          </cell>
        </row>
        <row r="210">
          <cell r="A210">
            <v>209</v>
          </cell>
          <cell r="B210">
            <v>0.13639999999999999</v>
          </cell>
          <cell r="C210">
            <v>0.5</v>
          </cell>
          <cell r="D210">
            <v>0.19400000000000001</v>
          </cell>
          <cell r="E210">
            <v>0</v>
          </cell>
          <cell r="F210">
            <v>6</v>
          </cell>
          <cell r="G210">
            <v>6</v>
          </cell>
        </row>
        <row r="211">
          <cell r="A211">
            <v>210</v>
          </cell>
          <cell r="B211">
            <v>0.1212</v>
          </cell>
          <cell r="C211">
            <v>0.5</v>
          </cell>
          <cell r="D211">
            <v>0.28360000000000002</v>
          </cell>
          <cell r="E211">
            <v>2</v>
          </cell>
          <cell r="F211">
            <v>3</v>
          </cell>
          <cell r="G211">
            <v>5</v>
          </cell>
        </row>
        <row r="212">
          <cell r="A212">
            <v>211</v>
          </cell>
          <cell r="B212">
            <v>0.1212</v>
          </cell>
          <cell r="C212">
            <v>0.5</v>
          </cell>
          <cell r="D212">
            <v>0.28360000000000002</v>
          </cell>
          <cell r="E212">
            <v>1</v>
          </cell>
          <cell r="F212">
            <v>0</v>
          </cell>
          <cell r="G212">
            <v>1</v>
          </cell>
        </row>
        <row r="213">
          <cell r="A213">
            <v>212</v>
          </cell>
          <cell r="B213">
            <v>0.1212</v>
          </cell>
          <cell r="C213">
            <v>0.5</v>
          </cell>
          <cell r="D213">
            <v>0.22389999999999999</v>
          </cell>
          <cell r="E213">
            <v>0</v>
          </cell>
          <cell r="F213">
            <v>3</v>
          </cell>
          <cell r="G213">
            <v>3</v>
          </cell>
        </row>
        <row r="214">
          <cell r="A214">
            <v>213</v>
          </cell>
          <cell r="B214">
            <v>0.1212</v>
          </cell>
          <cell r="C214">
            <v>0.5</v>
          </cell>
          <cell r="D214">
            <v>0.22389999999999999</v>
          </cell>
          <cell r="E214">
            <v>0</v>
          </cell>
          <cell r="F214">
            <v>1</v>
          </cell>
          <cell r="G214">
            <v>1</v>
          </cell>
        </row>
        <row r="215">
          <cell r="A215">
            <v>214</v>
          </cell>
          <cell r="B215">
            <v>0.1212</v>
          </cell>
          <cell r="C215">
            <v>0.54</v>
          </cell>
          <cell r="D215">
            <v>0.1343</v>
          </cell>
          <cell r="E215">
            <v>1</v>
          </cell>
          <cell r="F215">
            <v>2</v>
          </cell>
          <cell r="G215">
            <v>3</v>
          </cell>
        </row>
        <row r="216">
          <cell r="A216">
            <v>215</v>
          </cell>
          <cell r="B216">
            <v>0.1061</v>
          </cell>
          <cell r="C216">
            <v>0.54</v>
          </cell>
          <cell r="D216">
            <v>0.25369999999999998</v>
          </cell>
          <cell r="E216">
            <v>0</v>
          </cell>
          <cell r="F216">
            <v>3</v>
          </cell>
          <cell r="G216">
            <v>3</v>
          </cell>
        </row>
        <row r="217">
          <cell r="A217">
            <v>216</v>
          </cell>
          <cell r="B217">
            <v>0.1212</v>
          </cell>
          <cell r="C217">
            <v>0.5</v>
          </cell>
          <cell r="D217">
            <v>0.28360000000000002</v>
          </cell>
          <cell r="E217">
            <v>0</v>
          </cell>
          <cell r="F217">
            <v>31</v>
          </cell>
          <cell r="G217">
            <v>31</v>
          </cell>
        </row>
        <row r="218">
          <cell r="A218">
            <v>217</v>
          </cell>
          <cell r="B218">
            <v>0.1212</v>
          </cell>
          <cell r="C218">
            <v>0.5</v>
          </cell>
          <cell r="D218">
            <v>0.22389999999999999</v>
          </cell>
          <cell r="E218">
            <v>2</v>
          </cell>
          <cell r="F218">
            <v>75</v>
          </cell>
          <cell r="G218">
            <v>77</v>
          </cell>
        </row>
        <row r="219">
          <cell r="A219">
            <v>218</v>
          </cell>
          <cell r="B219">
            <v>0.1212</v>
          </cell>
          <cell r="C219">
            <v>0.5</v>
          </cell>
          <cell r="D219">
            <v>0.28360000000000002</v>
          </cell>
          <cell r="E219">
            <v>4</v>
          </cell>
          <cell r="F219">
            <v>184</v>
          </cell>
          <cell r="G219">
            <v>188</v>
          </cell>
        </row>
        <row r="220">
          <cell r="A220">
            <v>219</v>
          </cell>
          <cell r="B220">
            <v>0.1212</v>
          </cell>
          <cell r="C220">
            <v>0.5</v>
          </cell>
          <cell r="D220">
            <v>0.25369999999999998</v>
          </cell>
          <cell r="E220">
            <v>2</v>
          </cell>
          <cell r="F220">
            <v>92</v>
          </cell>
          <cell r="G220">
            <v>94</v>
          </cell>
        </row>
        <row r="221">
          <cell r="A221">
            <v>220</v>
          </cell>
          <cell r="B221">
            <v>0.1212</v>
          </cell>
          <cell r="C221">
            <v>0.5</v>
          </cell>
          <cell r="D221">
            <v>0.29849999999999999</v>
          </cell>
          <cell r="E221">
            <v>0</v>
          </cell>
          <cell r="F221">
            <v>31</v>
          </cell>
          <cell r="G221">
            <v>31</v>
          </cell>
        </row>
        <row r="222">
          <cell r="A222">
            <v>221</v>
          </cell>
          <cell r="B222">
            <v>0.13639999999999999</v>
          </cell>
          <cell r="C222">
            <v>0.47</v>
          </cell>
          <cell r="D222">
            <v>0.28360000000000002</v>
          </cell>
          <cell r="E222">
            <v>2</v>
          </cell>
          <cell r="F222">
            <v>28</v>
          </cell>
          <cell r="G222">
            <v>30</v>
          </cell>
        </row>
        <row r="223">
          <cell r="A223">
            <v>222</v>
          </cell>
          <cell r="B223">
            <v>0.18179999999999999</v>
          </cell>
          <cell r="C223">
            <v>0.4</v>
          </cell>
          <cell r="D223">
            <v>0.28360000000000002</v>
          </cell>
          <cell r="E223">
            <v>5</v>
          </cell>
          <cell r="F223">
            <v>47</v>
          </cell>
          <cell r="G223">
            <v>52</v>
          </cell>
        </row>
        <row r="224">
          <cell r="A224">
            <v>223</v>
          </cell>
          <cell r="B224">
            <v>0.18179999999999999</v>
          </cell>
          <cell r="C224">
            <v>0.4</v>
          </cell>
          <cell r="D224">
            <v>0.28360000000000002</v>
          </cell>
          <cell r="E224">
            <v>4</v>
          </cell>
          <cell r="F224">
            <v>50</v>
          </cell>
          <cell r="G224">
            <v>54</v>
          </cell>
        </row>
        <row r="225">
          <cell r="A225">
            <v>224</v>
          </cell>
          <cell r="B225">
            <v>0.19700000000000001</v>
          </cell>
          <cell r="C225">
            <v>0.4</v>
          </cell>
          <cell r="D225">
            <v>0.22389999999999999</v>
          </cell>
          <cell r="E225">
            <v>0</v>
          </cell>
          <cell r="F225">
            <v>47</v>
          </cell>
          <cell r="G225">
            <v>47</v>
          </cell>
        </row>
        <row r="226">
          <cell r="A226">
            <v>225</v>
          </cell>
          <cell r="B226">
            <v>0.19700000000000001</v>
          </cell>
          <cell r="C226">
            <v>0.4</v>
          </cell>
          <cell r="D226">
            <v>0.22389999999999999</v>
          </cell>
          <cell r="E226">
            <v>2</v>
          </cell>
          <cell r="F226">
            <v>43</v>
          </cell>
          <cell r="G226">
            <v>45</v>
          </cell>
        </row>
        <row r="227">
          <cell r="A227">
            <v>226</v>
          </cell>
          <cell r="B227">
            <v>0.21210000000000001</v>
          </cell>
          <cell r="C227">
            <v>0.4</v>
          </cell>
          <cell r="D227">
            <v>0.1343</v>
          </cell>
          <cell r="E227">
            <v>4</v>
          </cell>
          <cell r="F227">
            <v>70</v>
          </cell>
          <cell r="G227">
            <v>74</v>
          </cell>
        </row>
        <row r="228">
          <cell r="A228">
            <v>227</v>
          </cell>
          <cell r="B228">
            <v>0.2273</v>
          </cell>
          <cell r="C228">
            <v>0.4</v>
          </cell>
          <cell r="D228">
            <v>0.1045</v>
          </cell>
          <cell r="E228">
            <v>4</v>
          </cell>
          <cell r="F228">
            <v>174</v>
          </cell>
          <cell r="G228">
            <v>178</v>
          </cell>
        </row>
        <row r="229">
          <cell r="A229">
            <v>228</v>
          </cell>
          <cell r="B229">
            <v>0.19700000000000001</v>
          </cell>
          <cell r="C229">
            <v>0.4</v>
          </cell>
          <cell r="D229">
            <v>0.22389999999999999</v>
          </cell>
          <cell r="E229">
            <v>1</v>
          </cell>
          <cell r="F229">
            <v>154</v>
          </cell>
          <cell r="G229">
            <v>155</v>
          </cell>
        </row>
        <row r="230">
          <cell r="A230">
            <v>229</v>
          </cell>
          <cell r="B230">
            <v>0.16669999999999999</v>
          </cell>
          <cell r="C230">
            <v>0.47</v>
          </cell>
          <cell r="D230">
            <v>0.16420000000000001</v>
          </cell>
          <cell r="E230">
            <v>3</v>
          </cell>
          <cell r="F230">
            <v>92</v>
          </cell>
          <cell r="G230">
            <v>95</v>
          </cell>
        </row>
        <row r="231">
          <cell r="A231">
            <v>230</v>
          </cell>
          <cell r="B231">
            <v>0.16669999999999999</v>
          </cell>
          <cell r="C231">
            <v>0.5</v>
          </cell>
          <cell r="D231">
            <v>0.16420000000000001</v>
          </cell>
          <cell r="E231">
            <v>1</v>
          </cell>
          <cell r="F231">
            <v>73</v>
          </cell>
          <cell r="G231">
            <v>74</v>
          </cell>
        </row>
        <row r="232">
          <cell r="A232">
            <v>231</v>
          </cell>
          <cell r="B232">
            <v>0.13639999999999999</v>
          </cell>
          <cell r="C232">
            <v>0.59</v>
          </cell>
          <cell r="D232">
            <v>0.19400000000000001</v>
          </cell>
          <cell r="E232">
            <v>1</v>
          </cell>
          <cell r="F232">
            <v>37</v>
          </cell>
          <cell r="G232">
            <v>38</v>
          </cell>
        </row>
        <row r="233">
          <cell r="A233">
            <v>232</v>
          </cell>
          <cell r="B233">
            <v>0.1515</v>
          </cell>
          <cell r="C233">
            <v>0.59</v>
          </cell>
          <cell r="D233">
            <v>0.16420000000000001</v>
          </cell>
          <cell r="E233">
            <v>2</v>
          </cell>
          <cell r="F233">
            <v>22</v>
          </cell>
          <cell r="G233">
            <v>24</v>
          </cell>
        </row>
        <row r="234">
          <cell r="A234">
            <v>233</v>
          </cell>
          <cell r="B234">
            <v>0.1515</v>
          </cell>
          <cell r="C234">
            <v>0.59</v>
          </cell>
          <cell r="D234">
            <v>0.16420000000000001</v>
          </cell>
          <cell r="E234">
            <v>0</v>
          </cell>
          <cell r="F234">
            <v>18</v>
          </cell>
          <cell r="G234">
            <v>18</v>
          </cell>
        </row>
        <row r="235">
          <cell r="A235">
            <v>234</v>
          </cell>
          <cell r="B235">
            <v>0.16669999999999999</v>
          </cell>
          <cell r="C235">
            <v>0.59</v>
          </cell>
          <cell r="D235">
            <v>0.1045</v>
          </cell>
          <cell r="E235">
            <v>2</v>
          </cell>
          <cell r="F235">
            <v>10</v>
          </cell>
          <cell r="G235">
            <v>12</v>
          </cell>
        </row>
        <row r="236">
          <cell r="A236">
            <v>235</v>
          </cell>
          <cell r="B236">
            <v>0.1515</v>
          </cell>
          <cell r="C236">
            <v>0.59</v>
          </cell>
          <cell r="D236">
            <v>0.16420000000000001</v>
          </cell>
          <cell r="E236">
            <v>0</v>
          </cell>
          <cell r="F236">
            <v>3</v>
          </cell>
          <cell r="G236">
            <v>3</v>
          </cell>
        </row>
        <row r="237">
          <cell r="A237">
            <v>236</v>
          </cell>
          <cell r="B237">
            <v>0.1515</v>
          </cell>
          <cell r="C237">
            <v>0.55000000000000004</v>
          </cell>
          <cell r="D237">
            <v>0.19400000000000001</v>
          </cell>
          <cell r="E237">
            <v>0</v>
          </cell>
          <cell r="F237">
            <v>3</v>
          </cell>
          <cell r="G237">
            <v>3</v>
          </cell>
        </row>
        <row r="238">
          <cell r="A238">
            <v>237</v>
          </cell>
          <cell r="B238">
            <v>0.18179999999999999</v>
          </cell>
          <cell r="C238">
            <v>0.55000000000000004</v>
          </cell>
          <cell r="D238">
            <v>0.1343</v>
          </cell>
          <cell r="E238">
            <v>0</v>
          </cell>
          <cell r="F238">
            <v>6</v>
          </cell>
          <cell r="G238">
            <v>6</v>
          </cell>
        </row>
        <row r="239">
          <cell r="A239">
            <v>238</v>
          </cell>
          <cell r="B239">
            <v>0.18179999999999999</v>
          </cell>
          <cell r="C239">
            <v>0.55000000000000004</v>
          </cell>
          <cell r="D239">
            <v>0.1343</v>
          </cell>
          <cell r="E239">
            <v>0</v>
          </cell>
          <cell r="F239">
            <v>27</v>
          </cell>
          <cell r="G239">
            <v>27</v>
          </cell>
        </row>
        <row r="240">
          <cell r="A240">
            <v>239</v>
          </cell>
          <cell r="B240">
            <v>0.2273</v>
          </cell>
          <cell r="C240">
            <v>0.55000000000000004</v>
          </cell>
          <cell r="D240">
            <v>0</v>
          </cell>
          <cell r="E240">
            <v>2</v>
          </cell>
          <cell r="F240">
            <v>97</v>
          </cell>
          <cell r="G240">
            <v>99</v>
          </cell>
        </row>
        <row r="241">
          <cell r="A241">
            <v>240</v>
          </cell>
          <cell r="B241">
            <v>0.21210000000000001</v>
          </cell>
          <cell r="C241">
            <v>0.51</v>
          </cell>
          <cell r="D241">
            <v>8.9599999999999999E-2</v>
          </cell>
          <cell r="E241">
            <v>3</v>
          </cell>
          <cell r="F241">
            <v>214</v>
          </cell>
          <cell r="G241">
            <v>217</v>
          </cell>
        </row>
        <row r="242">
          <cell r="A242">
            <v>241</v>
          </cell>
          <cell r="B242">
            <v>0.19700000000000001</v>
          </cell>
          <cell r="C242">
            <v>0.51</v>
          </cell>
          <cell r="D242">
            <v>0.16420000000000001</v>
          </cell>
          <cell r="E242">
            <v>3</v>
          </cell>
          <cell r="F242">
            <v>127</v>
          </cell>
          <cell r="G242">
            <v>130</v>
          </cell>
        </row>
        <row r="243">
          <cell r="A243">
            <v>242</v>
          </cell>
          <cell r="B243">
            <v>0.21210000000000001</v>
          </cell>
          <cell r="C243">
            <v>0.51</v>
          </cell>
          <cell r="D243">
            <v>0.16420000000000001</v>
          </cell>
          <cell r="E243">
            <v>3</v>
          </cell>
          <cell r="F243">
            <v>51</v>
          </cell>
          <cell r="G243">
            <v>54</v>
          </cell>
        </row>
        <row r="244">
          <cell r="A244">
            <v>243</v>
          </cell>
          <cell r="B244">
            <v>0.21210000000000001</v>
          </cell>
          <cell r="C244">
            <v>0.47</v>
          </cell>
          <cell r="D244">
            <v>0.1343</v>
          </cell>
          <cell r="E244">
            <v>4</v>
          </cell>
          <cell r="F244">
            <v>31</v>
          </cell>
          <cell r="G244">
            <v>35</v>
          </cell>
        </row>
        <row r="245">
          <cell r="A245">
            <v>244</v>
          </cell>
          <cell r="B245">
            <v>0.2273</v>
          </cell>
          <cell r="C245">
            <v>0.51</v>
          </cell>
          <cell r="D245">
            <v>0.1045</v>
          </cell>
          <cell r="E245">
            <v>2</v>
          </cell>
          <cell r="F245">
            <v>55</v>
          </cell>
          <cell r="G245">
            <v>57</v>
          </cell>
        </row>
        <row r="246">
          <cell r="A246">
            <v>245</v>
          </cell>
          <cell r="B246">
            <v>0.2273</v>
          </cell>
          <cell r="C246">
            <v>0.59</v>
          </cell>
          <cell r="D246">
            <v>8.9599999999999999E-2</v>
          </cell>
          <cell r="E246">
            <v>6</v>
          </cell>
          <cell r="F246">
            <v>46</v>
          </cell>
          <cell r="G246">
            <v>52</v>
          </cell>
        </row>
        <row r="247">
          <cell r="A247">
            <v>246</v>
          </cell>
          <cell r="B247">
            <v>0.2273</v>
          </cell>
          <cell r="C247">
            <v>0.59</v>
          </cell>
          <cell r="D247">
            <v>8.9599999999999999E-2</v>
          </cell>
          <cell r="E247">
            <v>3</v>
          </cell>
          <cell r="F247">
            <v>60</v>
          </cell>
          <cell r="G247">
            <v>63</v>
          </cell>
        </row>
        <row r="248">
          <cell r="A248">
            <v>247</v>
          </cell>
          <cell r="B248">
            <v>0.19700000000000001</v>
          </cell>
          <cell r="C248">
            <v>0.8</v>
          </cell>
          <cell r="D248">
            <v>8.9599999999999999E-2</v>
          </cell>
          <cell r="E248">
            <v>2</v>
          </cell>
          <cell r="F248">
            <v>45</v>
          </cell>
          <cell r="G248">
            <v>47</v>
          </cell>
        </row>
        <row r="249">
          <cell r="A249">
            <v>248</v>
          </cell>
          <cell r="B249">
            <v>0.1515</v>
          </cell>
          <cell r="C249">
            <v>0.86</v>
          </cell>
          <cell r="D249">
            <v>0.22389999999999999</v>
          </cell>
          <cell r="E249">
            <v>4</v>
          </cell>
          <cell r="F249">
            <v>72</v>
          </cell>
          <cell r="G249">
            <v>76</v>
          </cell>
        </row>
        <row r="250">
          <cell r="A250">
            <v>249</v>
          </cell>
          <cell r="B250">
            <v>0.1515</v>
          </cell>
          <cell r="C250">
            <v>0.86</v>
          </cell>
          <cell r="D250">
            <v>0.22389999999999999</v>
          </cell>
          <cell r="E250">
            <v>6</v>
          </cell>
          <cell r="F250">
            <v>130</v>
          </cell>
          <cell r="G250">
            <v>136</v>
          </cell>
        </row>
        <row r="251">
          <cell r="A251">
            <v>250</v>
          </cell>
          <cell r="B251">
            <v>0.18179999999999999</v>
          </cell>
          <cell r="C251">
            <v>0.93</v>
          </cell>
          <cell r="D251">
            <v>0.1045</v>
          </cell>
          <cell r="E251">
            <v>1</v>
          </cell>
          <cell r="F251">
            <v>94</v>
          </cell>
          <cell r="G251">
            <v>95</v>
          </cell>
        </row>
        <row r="252">
          <cell r="A252">
            <v>251</v>
          </cell>
          <cell r="B252">
            <v>0.2273</v>
          </cell>
          <cell r="C252">
            <v>0.93</v>
          </cell>
          <cell r="D252">
            <v>0</v>
          </cell>
          <cell r="E252">
            <v>0</v>
          </cell>
          <cell r="F252">
            <v>51</v>
          </cell>
          <cell r="G252">
            <v>51</v>
          </cell>
        </row>
        <row r="253">
          <cell r="A253">
            <v>252</v>
          </cell>
          <cell r="B253">
            <v>0.1515</v>
          </cell>
          <cell r="C253">
            <v>0.93</v>
          </cell>
          <cell r="D253">
            <v>0.19400000000000001</v>
          </cell>
          <cell r="E253">
            <v>0</v>
          </cell>
          <cell r="F253">
            <v>32</v>
          </cell>
          <cell r="G253">
            <v>32</v>
          </cell>
        </row>
        <row r="254">
          <cell r="A254">
            <v>253</v>
          </cell>
          <cell r="B254">
            <v>0.19700000000000001</v>
          </cell>
          <cell r="C254">
            <v>0.86</v>
          </cell>
          <cell r="D254">
            <v>8.9599999999999999E-2</v>
          </cell>
          <cell r="E254">
            <v>0</v>
          </cell>
          <cell r="F254">
            <v>20</v>
          </cell>
          <cell r="G254">
            <v>20</v>
          </cell>
        </row>
        <row r="255">
          <cell r="A255">
            <v>254</v>
          </cell>
          <cell r="B255">
            <v>0.18179999999999999</v>
          </cell>
          <cell r="C255">
            <v>0.93</v>
          </cell>
          <cell r="D255">
            <v>0.1045</v>
          </cell>
          <cell r="E255">
            <v>1</v>
          </cell>
          <cell r="F255">
            <v>28</v>
          </cell>
          <cell r="G255">
            <v>29</v>
          </cell>
        </row>
        <row r="256">
          <cell r="A256">
            <v>255</v>
          </cell>
          <cell r="B256">
            <v>0.19700000000000001</v>
          </cell>
          <cell r="C256">
            <v>0.93</v>
          </cell>
          <cell r="D256">
            <v>8.9599999999999999E-2</v>
          </cell>
          <cell r="E256">
            <v>1</v>
          </cell>
          <cell r="F256">
            <v>18</v>
          </cell>
          <cell r="G256">
            <v>19</v>
          </cell>
        </row>
        <row r="257">
          <cell r="A257">
            <v>256</v>
          </cell>
          <cell r="B257">
            <v>0.19700000000000001</v>
          </cell>
          <cell r="C257">
            <v>0.86</v>
          </cell>
          <cell r="D257">
            <v>8.9599999999999999E-2</v>
          </cell>
          <cell r="E257">
            <v>0</v>
          </cell>
          <cell r="F257">
            <v>7</v>
          </cell>
          <cell r="G257">
            <v>7</v>
          </cell>
        </row>
        <row r="258">
          <cell r="A258">
            <v>257</v>
          </cell>
          <cell r="B258">
            <v>0.18179999999999999</v>
          </cell>
          <cell r="C258">
            <v>0.86</v>
          </cell>
          <cell r="D258">
            <v>0.1045</v>
          </cell>
          <cell r="E258">
            <v>0</v>
          </cell>
          <cell r="F258">
            <v>6</v>
          </cell>
          <cell r="G258">
            <v>6</v>
          </cell>
        </row>
        <row r="259">
          <cell r="A259">
            <v>258</v>
          </cell>
          <cell r="B259">
            <v>0.1515</v>
          </cell>
          <cell r="C259">
            <v>0.86</v>
          </cell>
          <cell r="D259">
            <v>0.1343</v>
          </cell>
          <cell r="E259">
            <v>0</v>
          </cell>
          <cell r="F259">
            <v>1</v>
          </cell>
          <cell r="G259">
            <v>1</v>
          </cell>
        </row>
        <row r="260">
          <cell r="A260">
            <v>259</v>
          </cell>
          <cell r="B260">
            <v>0.1515</v>
          </cell>
          <cell r="C260">
            <v>0.86</v>
          </cell>
          <cell r="D260">
            <v>0.16420000000000001</v>
          </cell>
          <cell r="E260">
            <v>0</v>
          </cell>
          <cell r="F260">
            <v>5</v>
          </cell>
          <cell r="G260">
            <v>5</v>
          </cell>
        </row>
        <row r="261">
          <cell r="A261">
            <v>260</v>
          </cell>
          <cell r="B261">
            <v>0.1515</v>
          </cell>
          <cell r="C261">
            <v>0.93</v>
          </cell>
          <cell r="D261">
            <v>0.1343</v>
          </cell>
          <cell r="E261">
            <v>0</v>
          </cell>
          <cell r="F261">
            <v>16</v>
          </cell>
          <cell r="G261">
            <v>16</v>
          </cell>
        </row>
        <row r="262">
          <cell r="A262">
            <v>261</v>
          </cell>
          <cell r="B262">
            <v>0.1515</v>
          </cell>
          <cell r="C262">
            <v>0.69</v>
          </cell>
          <cell r="D262">
            <v>0.1343</v>
          </cell>
          <cell r="E262">
            <v>0</v>
          </cell>
          <cell r="F262">
            <v>54</v>
          </cell>
          <cell r="G262">
            <v>54</v>
          </cell>
        </row>
        <row r="263">
          <cell r="A263">
            <v>262</v>
          </cell>
          <cell r="B263">
            <v>0.16669999999999999</v>
          </cell>
          <cell r="C263">
            <v>0.59</v>
          </cell>
          <cell r="D263">
            <v>0.16420000000000001</v>
          </cell>
          <cell r="E263">
            <v>3</v>
          </cell>
          <cell r="F263">
            <v>125</v>
          </cell>
          <cell r="G263">
            <v>128</v>
          </cell>
        </row>
        <row r="264">
          <cell r="A264">
            <v>263</v>
          </cell>
          <cell r="B264">
            <v>0.13639999999999999</v>
          </cell>
          <cell r="C264">
            <v>0.59</v>
          </cell>
          <cell r="D264">
            <v>0.32840000000000003</v>
          </cell>
          <cell r="E264">
            <v>3</v>
          </cell>
          <cell r="F264">
            <v>78</v>
          </cell>
          <cell r="G264">
            <v>81</v>
          </cell>
        </row>
        <row r="265">
          <cell r="A265">
            <v>264</v>
          </cell>
          <cell r="B265">
            <v>0.18179999999999999</v>
          </cell>
          <cell r="C265">
            <v>0.55000000000000004</v>
          </cell>
          <cell r="D265">
            <v>0.22389999999999999</v>
          </cell>
          <cell r="E265">
            <v>0</v>
          </cell>
          <cell r="F265">
            <v>39</v>
          </cell>
          <cell r="G265">
            <v>39</v>
          </cell>
        </row>
        <row r="266">
          <cell r="A266">
            <v>265</v>
          </cell>
          <cell r="B266">
            <v>0.18179999999999999</v>
          </cell>
          <cell r="C266">
            <v>0.51</v>
          </cell>
          <cell r="D266">
            <v>0.3881</v>
          </cell>
          <cell r="E266">
            <v>3</v>
          </cell>
          <cell r="F266">
            <v>32</v>
          </cell>
          <cell r="G266">
            <v>35</v>
          </cell>
        </row>
        <row r="267">
          <cell r="A267">
            <v>266</v>
          </cell>
          <cell r="B267">
            <v>0.1515</v>
          </cell>
          <cell r="C267">
            <v>0.47</v>
          </cell>
          <cell r="D267">
            <v>0.58209999999999995</v>
          </cell>
          <cell r="E267">
            <v>3</v>
          </cell>
          <cell r="F267">
            <v>52</v>
          </cell>
          <cell r="G267">
            <v>55</v>
          </cell>
        </row>
        <row r="268">
          <cell r="A268">
            <v>267</v>
          </cell>
          <cell r="B268">
            <v>0.19700000000000001</v>
          </cell>
          <cell r="C268">
            <v>0.44</v>
          </cell>
          <cell r="D268">
            <v>0.35820000000000002</v>
          </cell>
          <cell r="E268">
            <v>0</v>
          </cell>
          <cell r="F268">
            <v>49</v>
          </cell>
          <cell r="G268">
            <v>49</v>
          </cell>
        </row>
        <row r="269">
          <cell r="A269">
            <v>268</v>
          </cell>
          <cell r="B269">
            <v>0.18179999999999999</v>
          </cell>
          <cell r="C269">
            <v>0.47</v>
          </cell>
          <cell r="D269">
            <v>0.32840000000000003</v>
          </cell>
          <cell r="E269">
            <v>0</v>
          </cell>
          <cell r="F269">
            <v>44</v>
          </cell>
          <cell r="G269">
            <v>44</v>
          </cell>
        </row>
        <row r="270">
          <cell r="A270">
            <v>269</v>
          </cell>
          <cell r="B270">
            <v>0.16669999999999999</v>
          </cell>
          <cell r="C270">
            <v>0.47</v>
          </cell>
          <cell r="D270">
            <v>0.41789999999999999</v>
          </cell>
          <cell r="E270">
            <v>1</v>
          </cell>
          <cell r="F270">
            <v>48</v>
          </cell>
          <cell r="G270">
            <v>49</v>
          </cell>
        </row>
        <row r="271">
          <cell r="A271">
            <v>270</v>
          </cell>
          <cell r="B271">
            <v>0.19700000000000001</v>
          </cell>
          <cell r="C271">
            <v>0.44</v>
          </cell>
          <cell r="D271">
            <v>0.32840000000000003</v>
          </cell>
          <cell r="E271">
            <v>5</v>
          </cell>
          <cell r="F271">
            <v>63</v>
          </cell>
          <cell r="G271">
            <v>68</v>
          </cell>
        </row>
        <row r="272">
          <cell r="A272">
            <v>271</v>
          </cell>
          <cell r="B272">
            <v>0.18179999999999999</v>
          </cell>
          <cell r="C272">
            <v>0.47</v>
          </cell>
          <cell r="D272">
            <v>0.35820000000000002</v>
          </cell>
          <cell r="E272">
            <v>0</v>
          </cell>
          <cell r="F272">
            <v>139</v>
          </cell>
          <cell r="G272">
            <v>139</v>
          </cell>
        </row>
        <row r="273">
          <cell r="A273">
            <v>272</v>
          </cell>
          <cell r="B273">
            <v>0.1515</v>
          </cell>
          <cell r="C273">
            <v>0.47</v>
          </cell>
          <cell r="D273">
            <v>0.52239999999999998</v>
          </cell>
          <cell r="E273">
            <v>2</v>
          </cell>
          <cell r="F273">
            <v>135</v>
          </cell>
          <cell r="G273">
            <v>137</v>
          </cell>
        </row>
        <row r="274">
          <cell r="A274">
            <v>273</v>
          </cell>
          <cell r="B274">
            <v>0.1515</v>
          </cell>
          <cell r="C274">
            <v>0.47</v>
          </cell>
          <cell r="D274">
            <v>0.41789999999999999</v>
          </cell>
          <cell r="E274">
            <v>1</v>
          </cell>
          <cell r="F274">
            <v>82</v>
          </cell>
          <cell r="G274">
            <v>83</v>
          </cell>
        </row>
        <row r="275">
          <cell r="A275">
            <v>274</v>
          </cell>
          <cell r="B275">
            <v>0.13639999999999999</v>
          </cell>
          <cell r="C275">
            <v>0.5</v>
          </cell>
          <cell r="D275">
            <v>0.32840000000000003</v>
          </cell>
          <cell r="E275">
            <v>2</v>
          </cell>
          <cell r="F275">
            <v>54</v>
          </cell>
          <cell r="G275">
            <v>56</v>
          </cell>
        </row>
        <row r="276">
          <cell r="A276">
            <v>275</v>
          </cell>
          <cell r="B276">
            <v>0.13639999999999999</v>
          </cell>
          <cell r="C276">
            <v>0.55000000000000004</v>
          </cell>
          <cell r="D276">
            <v>0.32840000000000003</v>
          </cell>
          <cell r="E276">
            <v>0</v>
          </cell>
          <cell r="F276">
            <v>57</v>
          </cell>
          <cell r="G276">
            <v>57</v>
          </cell>
        </row>
        <row r="277">
          <cell r="A277">
            <v>276</v>
          </cell>
          <cell r="B277">
            <v>0.1212</v>
          </cell>
          <cell r="C277">
            <v>0.55000000000000004</v>
          </cell>
          <cell r="D277">
            <v>0.44779999999999998</v>
          </cell>
          <cell r="E277">
            <v>1</v>
          </cell>
          <cell r="F277">
            <v>32</v>
          </cell>
          <cell r="G277">
            <v>33</v>
          </cell>
        </row>
        <row r="278">
          <cell r="A278">
            <v>277</v>
          </cell>
          <cell r="B278">
            <v>0.1061</v>
          </cell>
          <cell r="C278">
            <v>0.59</v>
          </cell>
          <cell r="D278">
            <v>0.41789999999999999</v>
          </cell>
          <cell r="E278">
            <v>1</v>
          </cell>
          <cell r="F278">
            <v>19</v>
          </cell>
          <cell r="G278">
            <v>20</v>
          </cell>
        </row>
        <row r="279">
          <cell r="A279">
            <v>278</v>
          </cell>
          <cell r="B279">
            <v>0.1212</v>
          </cell>
          <cell r="C279">
            <v>0.59</v>
          </cell>
          <cell r="D279">
            <v>0.28360000000000002</v>
          </cell>
          <cell r="E279">
            <v>1</v>
          </cell>
          <cell r="F279">
            <v>6</v>
          </cell>
          <cell r="G279">
            <v>7</v>
          </cell>
        </row>
        <row r="280">
          <cell r="A280">
            <v>279</v>
          </cell>
          <cell r="B280">
            <v>0.1212</v>
          </cell>
          <cell r="C280">
            <v>0.5</v>
          </cell>
          <cell r="D280">
            <v>0.28360000000000002</v>
          </cell>
          <cell r="E280">
            <v>0</v>
          </cell>
          <cell r="F280">
            <v>2</v>
          </cell>
          <cell r="G280">
            <v>2</v>
          </cell>
        </row>
        <row r="281">
          <cell r="A281">
            <v>280</v>
          </cell>
          <cell r="B281">
            <v>0.1212</v>
          </cell>
          <cell r="C281">
            <v>0.5</v>
          </cell>
          <cell r="D281">
            <v>0.35820000000000002</v>
          </cell>
          <cell r="E281">
            <v>0</v>
          </cell>
          <cell r="F281">
            <v>2</v>
          </cell>
          <cell r="G281">
            <v>2</v>
          </cell>
        </row>
        <row r="282">
          <cell r="A282">
            <v>281</v>
          </cell>
          <cell r="B282">
            <v>0.1212</v>
          </cell>
          <cell r="C282">
            <v>0.5</v>
          </cell>
          <cell r="D282">
            <v>0.32840000000000003</v>
          </cell>
          <cell r="E282">
            <v>0</v>
          </cell>
          <cell r="F282">
            <v>3</v>
          </cell>
          <cell r="G282">
            <v>3</v>
          </cell>
        </row>
        <row r="283">
          <cell r="A283">
            <v>282</v>
          </cell>
          <cell r="B283">
            <v>0.1212</v>
          </cell>
          <cell r="C283">
            <v>0.5</v>
          </cell>
          <cell r="D283">
            <v>0.25369999999999998</v>
          </cell>
          <cell r="E283">
            <v>0</v>
          </cell>
          <cell r="F283">
            <v>4</v>
          </cell>
          <cell r="G283">
            <v>4</v>
          </cell>
        </row>
        <row r="284">
          <cell r="A284">
            <v>283</v>
          </cell>
          <cell r="B284">
            <v>0.1212</v>
          </cell>
          <cell r="C284">
            <v>0.5</v>
          </cell>
          <cell r="D284">
            <v>0.29849999999999999</v>
          </cell>
          <cell r="E284">
            <v>0</v>
          </cell>
          <cell r="F284">
            <v>3</v>
          </cell>
          <cell r="G284">
            <v>3</v>
          </cell>
        </row>
        <row r="285">
          <cell r="A285">
            <v>284</v>
          </cell>
          <cell r="B285">
            <v>0.1515</v>
          </cell>
          <cell r="C285">
            <v>0.54</v>
          </cell>
          <cell r="D285">
            <v>0.1343</v>
          </cell>
          <cell r="E285">
            <v>0</v>
          </cell>
          <cell r="F285">
            <v>28</v>
          </cell>
          <cell r="G285">
            <v>28</v>
          </cell>
        </row>
        <row r="286">
          <cell r="A286">
            <v>285</v>
          </cell>
          <cell r="B286">
            <v>0.1515</v>
          </cell>
          <cell r="C286">
            <v>0.54</v>
          </cell>
          <cell r="D286">
            <v>0.1343</v>
          </cell>
          <cell r="E286">
            <v>0</v>
          </cell>
          <cell r="F286">
            <v>72</v>
          </cell>
          <cell r="G286">
            <v>72</v>
          </cell>
        </row>
        <row r="287">
          <cell r="A287">
            <v>286</v>
          </cell>
          <cell r="B287">
            <v>0.13639999999999999</v>
          </cell>
          <cell r="C287">
            <v>0.5</v>
          </cell>
          <cell r="D287">
            <v>0.19400000000000001</v>
          </cell>
          <cell r="E287">
            <v>5</v>
          </cell>
          <cell r="F287">
            <v>197</v>
          </cell>
          <cell r="G287">
            <v>202</v>
          </cell>
        </row>
        <row r="288">
          <cell r="A288">
            <v>287</v>
          </cell>
          <cell r="B288">
            <v>0.1212</v>
          </cell>
          <cell r="C288">
            <v>0.5</v>
          </cell>
          <cell r="D288">
            <v>0.32840000000000003</v>
          </cell>
          <cell r="E288">
            <v>2</v>
          </cell>
          <cell r="F288">
            <v>137</v>
          </cell>
          <cell r="G288">
            <v>139</v>
          </cell>
        </row>
        <row r="289">
          <cell r="A289">
            <v>288</v>
          </cell>
          <cell r="B289">
            <v>0.13639999999999999</v>
          </cell>
          <cell r="C289">
            <v>0.5</v>
          </cell>
          <cell r="D289">
            <v>0.35820000000000002</v>
          </cell>
          <cell r="E289">
            <v>2</v>
          </cell>
          <cell r="F289">
            <v>36</v>
          </cell>
          <cell r="G289">
            <v>38</v>
          </cell>
        </row>
        <row r="290">
          <cell r="A290">
            <v>289</v>
          </cell>
          <cell r="B290">
            <v>0.16669999999999999</v>
          </cell>
          <cell r="C290">
            <v>0.44</v>
          </cell>
          <cell r="D290">
            <v>0.44779999999999998</v>
          </cell>
          <cell r="E290">
            <v>4</v>
          </cell>
          <cell r="F290">
            <v>33</v>
          </cell>
          <cell r="G290">
            <v>37</v>
          </cell>
        </row>
        <row r="291">
          <cell r="A291">
            <v>290</v>
          </cell>
          <cell r="B291">
            <v>0.16669999999999999</v>
          </cell>
          <cell r="C291">
            <v>0.44</v>
          </cell>
          <cell r="D291">
            <v>0.41789999999999999</v>
          </cell>
          <cell r="E291">
            <v>3</v>
          </cell>
          <cell r="F291">
            <v>49</v>
          </cell>
          <cell r="G291">
            <v>52</v>
          </cell>
        </row>
        <row r="292">
          <cell r="A292">
            <v>291</v>
          </cell>
          <cell r="B292">
            <v>0.19700000000000001</v>
          </cell>
          <cell r="C292">
            <v>0.41</v>
          </cell>
          <cell r="D292">
            <v>0.44779999999999998</v>
          </cell>
          <cell r="E292">
            <v>2</v>
          </cell>
          <cell r="F292">
            <v>81</v>
          </cell>
          <cell r="G292">
            <v>83</v>
          </cell>
        </row>
        <row r="293">
          <cell r="A293">
            <v>292</v>
          </cell>
          <cell r="B293">
            <v>0.19700000000000001</v>
          </cell>
          <cell r="C293">
            <v>0.41</v>
          </cell>
          <cell r="D293">
            <v>0.3881</v>
          </cell>
          <cell r="E293">
            <v>3</v>
          </cell>
          <cell r="F293">
            <v>39</v>
          </cell>
          <cell r="G293">
            <v>42</v>
          </cell>
        </row>
        <row r="294">
          <cell r="A294">
            <v>293</v>
          </cell>
          <cell r="B294">
            <v>0.21210000000000001</v>
          </cell>
          <cell r="C294">
            <v>0.38</v>
          </cell>
          <cell r="D294">
            <v>0.29849999999999999</v>
          </cell>
          <cell r="E294">
            <v>5</v>
          </cell>
          <cell r="F294">
            <v>55</v>
          </cell>
          <cell r="G294">
            <v>60</v>
          </cell>
        </row>
        <row r="295">
          <cell r="A295">
            <v>294</v>
          </cell>
          <cell r="B295">
            <v>0.21210000000000001</v>
          </cell>
          <cell r="C295">
            <v>0.38</v>
          </cell>
          <cell r="D295">
            <v>0.35820000000000002</v>
          </cell>
          <cell r="E295">
            <v>2</v>
          </cell>
          <cell r="F295">
            <v>76</v>
          </cell>
          <cell r="G295">
            <v>78</v>
          </cell>
        </row>
        <row r="296">
          <cell r="A296">
            <v>295</v>
          </cell>
          <cell r="B296">
            <v>0.18179999999999999</v>
          </cell>
          <cell r="C296">
            <v>0.4</v>
          </cell>
          <cell r="D296">
            <v>0.28360000000000002</v>
          </cell>
          <cell r="E296">
            <v>4</v>
          </cell>
          <cell r="F296">
            <v>158</v>
          </cell>
          <cell r="G296">
            <v>162</v>
          </cell>
        </row>
        <row r="297">
          <cell r="A297">
            <v>296</v>
          </cell>
          <cell r="B297">
            <v>0.18179999999999999</v>
          </cell>
          <cell r="C297">
            <v>0.4</v>
          </cell>
          <cell r="D297">
            <v>0.32840000000000003</v>
          </cell>
          <cell r="E297">
            <v>3</v>
          </cell>
          <cell r="F297">
            <v>141</v>
          </cell>
          <cell r="G297">
            <v>144</v>
          </cell>
        </row>
        <row r="298">
          <cell r="A298">
            <v>297</v>
          </cell>
          <cell r="B298">
            <v>0.1515</v>
          </cell>
          <cell r="C298">
            <v>0.47</v>
          </cell>
          <cell r="D298">
            <v>0.25369999999999998</v>
          </cell>
          <cell r="E298">
            <v>1</v>
          </cell>
          <cell r="F298">
            <v>98</v>
          </cell>
          <cell r="G298">
            <v>99</v>
          </cell>
        </row>
        <row r="299">
          <cell r="A299">
            <v>298</v>
          </cell>
          <cell r="B299">
            <v>0.1515</v>
          </cell>
          <cell r="C299">
            <v>0.47</v>
          </cell>
          <cell r="D299">
            <v>0.22389999999999999</v>
          </cell>
          <cell r="E299">
            <v>0</v>
          </cell>
          <cell r="F299">
            <v>64</v>
          </cell>
          <cell r="G299">
            <v>64</v>
          </cell>
        </row>
        <row r="300">
          <cell r="A300">
            <v>299</v>
          </cell>
          <cell r="B300">
            <v>0.1212</v>
          </cell>
          <cell r="C300">
            <v>0.46</v>
          </cell>
          <cell r="D300">
            <v>0.29849999999999999</v>
          </cell>
          <cell r="E300">
            <v>0</v>
          </cell>
          <cell r="F300">
            <v>40</v>
          </cell>
          <cell r="G300">
            <v>40</v>
          </cell>
        </row>
        <row r="301">
          <cell r="A301">
            <v>300</v>
          </cell>
          <cell r="B301">
            <v>0.1212</v>
          </cell>
          <cell r="C301">
            <v>0.46</v>
          </cell>
          <cell r="D301">
            <v>0.32840000000000003</v>
          </cell>
          <cell r="E301">
            <v>0</v>
          </cell>
          <cell r="F301">
            <v>30</v>
          </cell>
          <cell r="G301">
            <v>30</v>
          </cell>
        </row>
        <row r="302">
          <cell r="A302">
            <v>301</v>
          </cell>
          <cell r="B302">
            <v>0.13639999999999999</v>
          </cell>
          <cell r="C302">
            <v>0.5</v>
          </cell>
          <cell r="D302">
            <v>0.19400000000000001</v>
          </cell>
          <cell r="E302">
            <v>1</v>
          </cell>
          <cell r="F302">
            <v>14</v>
          </cell>
          <cell r="G302">
            <v>15</v>
          </cell>
        </row>
        <row r="303">
          <cell r="A303">
            <v>302</v>
          </cell>
          <cell r="B303">
            <v>0.13639999999999999</v>
          </cell>
          <cell r="C303">
            <v>0.5</v>
          </cell>
          <cell r="D303">
            <v>0.19400000000000001</v>
          </cell>
          <cell r="E303">
            <v>0</v>
          </cell>
          <cell r="F303">
            <v>14</v>
          </cell>
          <cell r="G303">
            <v>14</v>
          </cell>
        </row>
        <row r="304">
          <cell r="A304">
            <v>303</v>
          </cell>
          <cell r="B304">
            <v>0.1212</v>
          </cell>
          <cell r="C304">
            <v>0.54</v>
          </cell>
          <cell r="D304">
            <v>0.16420000000000001</v>
          </cell>
          <cell r="E304">
            <v>0</v>
          </cell>
          <cell r="F304">
            <v>5</v>
          </cell>
          <cell r="G304">
            <v>5</v>
          </cell>
        </row>
        <row r="305">
          <cell r="A305">
            <v>304</v>
          </cell>
          <cell r="B305">
            <v>0.1212</v>
          </cell>
          <cell r="C305">
            <v>0.54</v>
          </cell>
          <cell r="D305">
            <v>0.1343</v>
          </cell>
          <cell r="E305">
            <v>0</v>
          </cell>
          <cell r="F305">
            <v>1</v>
          </cell>
          <cell r="G305">
            <v>1</v>
          </cell>
        </row>
        <row r="306">
          <cell r="A306">
            <v>305</v>
          </cell>
          <cell r="B306">
            <v>0.13639999999999999</v>
          </cell>
          <cell r="C306">
            <v>0.54</v>
          </cell>
          <cell r="D306">
            <v>0.1045</v>
          </cell>
          <cell r="E306">
            <v>0</v>
          </cell>
          <cell r="F306">
            <v>1</v>
          </cell>
          <cell r="G306">
            <v>1</v>
          </cell>
        </row>
        <row r="307">
          <cell r="A307">
            <v>306</v>
          </cell>
          <cell r="B307">
            <v>0.13639999999999999</v>
          </cell>
          <cell r="C307">
            <v>0.54</v>
          </cell>
          <cell r="D307">
            <v>8.9599999999999999E-2</v>
          </cell>
          <cell r="E307">
            <v>0</v>
          </cell>
          <cell r="F307">
            <v>8</v>
          </cell>
          <cell r="G307">
            <v>8</v>
          </cell>
        </row>
        <row r="308">
          <cell r="A308">
            <v>307</v>
          </cell>
          <cell r="B308">
            <v>0.18179999999999999</v>
          </cell>
          <cell r="C308">
            <v>0.54</v>
          </cell>
          <cell r="D308">
            <v>0</v>
          </cell>
          <cell r="E308">
            <v>0</v>
          </cell>
          <cell r="F308">
            <v>17</v>
          </cell>
          <cell r="G308">
            <v>17</v>
          </cell>
        </row>
        <row r="309">
          <cell r="A309">
            <v>308</v>
          </cell>
          <cell r="B309">
            <v>0.1212</v>
          </cell>
          <cell r="C309">
            <v>0.74</v>
          </cell>
          <cell r="D309">
            <v>0.16420000000000001</v>
          </cell>
          <cell r="E309">
            <v>0</v>
          </cell>
          <cell r="F309">
            <v>70</v>
          </cell>
          <cell r="G309">
            <v>70</v>
          </cell>
        </row>
        <row r="310">
          <cell r="A310">
            <v>309</v>
          </cell>
          <cell r="B310">
            <v>0.16669999999999999</v>
          </cell>
          <cell r="C310">
            <v>0.68</v>
          </cell>
          <cell r="D310">
            <v>0</v>
          </cell>
          <cell r="E310">
            <v>2</v>
          </cell>
          <cell r="F310">
            <v>156</v>
          </cell>
          <cell r="G310">
            <v>158</v>
          </cell>
        </row>
        <row r="311">
          <cell r="A311">
            <v>310</v>
          </cell>
          <cell r="B311">
            <v>0.1515</v>
          </cell>
          <cell r="C311">
            <v>0.69</v>
          </cell>
          <cell r="D311">
            <v>0.1343</v>
          </cell>
          <cell r="E311">
            <v>0</v>
          </cell>
          <cell r="F311">
            <v>117</v>
          </cell>
          <cell r="G311">
            <v>117</v>
          </cell>
        </row>
        <row r="312">
          <cell r="A312">
            <v>311</v>
          </cell>
          <cell r="B312">
            <v>0.18179999999999999</v>
          </cell>
          <cell r="C312">
            <v>0.55000000000000004</v>
          </cell>
          <cell r="D312">
            <v>0.19400000000000001</v>
          </cell>
          <cell r="E312">
            <v>4</v>
          </cell>
          <cell r="F312">
            <v>40</v>
          </cell>
          <cell r="G312">
            <v>44</v>
          </cell>
        </row>
        <row r="313">
          <cell r="A313">
            <v>312</v>
          </cell>
          <cell r="B313">
            <v>0.16669999999999999</v>
          </cell>
          <cell r="C313">
            <v>0.51</v>
          </cell>
          <cell r="D313">
            <v>0.28360000000000002</v>
          </cell>
          <cell r="E313">
            <v>6</v>
          </cell>
          <cell r="F313">
            <v>47</v>
          </cell>
          <cell r="G313">
            <v>53</v>
          </cell>
        </row>
        <row r="314">
          <cell r="A314">
            <v>313</v>
          </cell>
          <cell r="B314">
            <v>0.19700000000000001</v>
          </cell>
          <cell r="C314">
            <v>0.44</v>
          </cell>
          <cell r="D314">
            <v>0.25369999999999998</v>
          </cell>
          <cell r="E314">
            <v>2</v>
          </cell>
          <cell r="F314">
            <v>59</v>
          </cell>
          <cell r="G314">
            <v>61</v>
          </cell>
        </row>
        <row r="315">
          <cell r="A315">
            <v>314</v>
          </cell>
          <cell r="B315">
            <v>0.19700000000000001</v>
          </cell>
          <cell r="C315">
            <v>0.37</v>
          </cell>
          <cell r="D315">
            <v>0.3881</v>
          </cell>
          <cell r="E315">
            <v>4</v>
          </cell>
          <cell r="F315">
            <v>73</v>
          </cell>
          <cell r="G315">
            <v>77</v>
          </cell>
        </row>
        <row r="316">
          <cell r="A316">
            <v>315</v>
          </cell>
          <cell r="B316">
            <v>0.21210000000000001</v>
          </cell>
          <cell r="C316">
            <v>0.41</v>
          </cell>
          <cell r="D316">
            <v>0.28360000000000002</v>
          </cell>
          <cell r="E316">
            <v>5</v>
          </cell>
          <cell r="F316">
            <v>59</v>
          </cell>
          <cell r="G316">
            <v>64</v>
          </cell>
        </row>
        <row r="317">
          <cell r="A317">
            <v>316</v>
          </cell>
          <cell r="B317">
            <v>0.2424</v>
          </cell>
          <cell r="C317">
            <v>0.38</v>
          </cell>
          <cell r="D317">
            <v>0.16420000000000001</v>
          </cell>
          <cell r="E317">
            <v>9</v>
          </cell>
          <cell r="F317">
            <v>59</v>
          </cell>
          <cell r="G317">
            <v>68</v>
          </cell>
        </row>
        <row r="318">
          <cell r="A318">
            <v>317</v>
          </cell>
          <cell r="B318">
            <v>0.2424</v>
          </cell>
          <cell r="C318">
            <v>0.41</v>
          </cell>
          <cell r="D318">
            <v>0.1045</v>
          </cell>
          <cell r="E318">
            <v>3</v>
          </cell>
          <cell r="F318">
            <v>87</v>
          </cell>
          <cell r="G318">
            <v>90</v>
          </cell>
        </row>
        <row r="319">
          <cell r="A319">
            <v>318</v>
          </cell>
          <cell r="B319">
            <v>0.2273</v>
          </cell>
          <cell r="C319">
            <v>0.41</v>
          </cell>
          <cell r="D319">
            <v>0.16420000000000001</v>
          </cell>
          <cell r="E319">
            <v>4</v>
          </cell>
          <cell r="F319">
            <v>155</v>
          </cell>
          <cell r="G319">
            <v>159</v>
          </cell>
        </row>
        <row r="320">
          <cell r="A320">
            <v>319</v>
          </cell>
          <cell r="B320">
            <v>0.2576</v>
          </cell>
          <cell r="C320">
            <v>0.47</v>
          </cell>
          <cell r="D320">
            <v>0</v>
          </cell>
          <cell r="E320">
            <v>5</v>
          </cell>
          <cell r="F320">
            <v>134</v>
          </cell>
          <cell r="G320">
            <v>139</v>
          </cell>
        </row>
        <row r="321">
          <cell r="A321">
            <v>320</v>
          </cell>
          <cell r="B321">
            <v>0.19700000000000001</v>
          </cell>
          <cell r="C321">
            <v>0.59</v>
          </cell>
          <cell r="D321">
            <v>8.9599999999999999E-2</v>
          </cell>
          <cell r="E321">
            <v>3</v>
          </cell>
          <cell r="F321">
            <v>89</v>
          </cell>
          <cell r="G321">
            <v>92</v>
          </cell>
        </row>
        <row r="322">
          <cell r="A322">
            <v>321</v>
          </cell>
          <cell r="B322">
            <v>0.2424</v>
          </cell>
          <cell r="C322">
            <v>0.59</v>
          </cell>
          <cell r="D322">
            <v>0</v>
          </cell>
          <cell r="E322">
            <v>0</v>
          </cell>
          <cell r="F322">
            <v>68</v>
          </cell>
          <cell r="G322">
            <v>68</v>
          </cell>
        </row>
        <row r="323">
          <cell r="A323">
            <v>322</v>
          </cell>
          <cell r="B323">
            <v>0.2273</v>
          </cell>
          <cell r="C323">
            <v>0.69</v>
          </cell>
          <cell r="D323">
            <v>0</v>
          </cell>
          <cell r="E323">
            <v>4</v>
          </cell>
          <cell r="F323">
            <v>48</v>
          </cell>
          <cell r="G323">
            <v>52</v>
          </cell>
        </row>
        <row r="324">
          <cell r="A324">
            <v>323</v>
          </cell>
          <cell r="B324">
            <v>0.2273</v>
          </cell>
          <cell r="C324">
            <v>0.69</v>
          </cell>
          <cell r="D324">
            <v>0</v>
          </cell>
          <cell r="E324">
            <v>2</v>
          </cell>
          <cell r="F324">
            <v>34</v>
          </cell>
          <cell r="G324">
            <v>36</v>
          </cell>
        </row>
        <row r="325">
          <cell r="A325">
            <v>324</v>
          </cell>
          <cell r="B325">
            <v>0.2424</v>
          </cell>
          <cell r="C325">
            <v>0.55000000000000004</v>
          </cell>
          <cell r="D325">
            <v>0</v>
          </cell>
          <cell r="E325">
            <v>1</v>
          </cell>
          <cell r="F325">
            <v>26</v>
          </cell>
          <cell r="G325">
            <v>27</v>
          </cell>
        </row>
        <row r="326">
          <cell r="A326">
            <v>325</v>
          </cell>
          <cell r="B326">
            <v>0.2424</v>
          </cell>
          <cell r="C326">
            <v>0.55000000000000004</v>
          </cell>
          <cell r="D326">
            <v>0</v>
          </cell>
          <cell r="E326">
            <v>3</v>
          </cell>
          <cell r="F326">
            <v>25</v>
          </cell>
          <cell r="G326">
            <v>28</v>
          </cell>
        </row>
        <row r="327">
          <cell r="A327">
            <v>326</v>
          </cell>
          <cell r="B327">
            <v>0.19700000000000001</v>
          </cell>
          <cell r="C327">
            <v>0.59</v>
          </cell>
          <cell r="D327">
            <v>8.9599999999999999E-2</v>
          </cell>
          <cell r="E327">
            <v>2</v>
          </cell>
          <cell r="F327">
            <v>18</v>
          </cell>
          <cell r="G327">
            <v>20</v>
          </cell>
        </row>
        <row r="328">
          <cell r="A328">
            <v>327</v>
          </cell>
          <cell r="B328">
            <v>0.19700000000000001</v>
          </cell>
          <cell r="C328">
            <v>0.59</v>
          </cell>
          <cell r="D328">
            <v>8.9599999999999999E-2</v>
          </cell>
          <cell r="E328">
            <v>0</v>
          </cell>
          <cell r="F328">
            <v>12</v>
          </cell>
          <cell r="G328">
            <v>12</v>
          </cell>
        </row>
        <row r="329">
          <cell r="A329">
            <v>328</v>
          </cell>
          <cell r="B329">
            <v>0.2273</v>
          </cell>
          <cell r="C329">
            <v>0.59</v>
          </cell>
          <cell r="D329">
            <v>0</v>
          </cell>
          <cell r="E329">
            <v>1</v>
          </cell>
          <cell r="F329">
            <v>7</v>
          </cell>
          <cell r="G329">
            <v>8</v>
          </cell>
        </row>
        <row r="330">
          <cell r="A330">
            <v>329</v>
          </cell>
          <cell r="B330">
            <v>0.2273</v>
          </cell>
          <cell r="C330">
            <v>0.59</v>
          </cell>
          <cell r="D330">
            <v>0</v>
          </cell>
          <cell r="E330">
            <v>0</v>
          </cell>
          <cell r="F330">
            <v>5</v>
          </cell>
          <cell r="G330">
            <v>5</v>
          </cell>
        </row>
        <row r="331">
          <cell r="A331">
            <v>330</v>
          </cell>
          <cell r="B331">
            <v>0.2273</v>
          </cell>
          <cell r="C331">
            <v>0.59</v>
          </cell>
          <cell r="D331">
            <v>0</v>
          </cell>
          <cell r="E331">
            <v>0</v>
          </cell>
          <cell r="F331">
            <v>1</v>
          </cell>
          <cell r="G331">
            <v>1</v>
          </cell>
        </row>
        <row r="332">
          <cell r="A332">
            <v>331</v>
          </cell>
          <cell r="B332">
            <v>0.16669999999999999</v>
          </cell>
          <cell r="C332">
            <v>0.63</v>
          </cell>
          <cell r="D332">
            <v>0.1045</v>
          </cell>
          <cell r="E332">
            <v>1</v>
          </cell>
          <cell r="F332">
            <v>2</v>
          </cell>
          <cell r="G332">
            <v>3</v>
          </cell>
        </row>
        <row r="333">
          <cell r="A333">
            <v>332</v>
          </cell>
          <cell r="B333">
            <v>0.21210000000000001</v>
          </cell>
          <cell r="C333">
            <v>0.63</v>
          </cell>
          <cell r="D333">
            <v>0</v>
          </cell>
          <cell r="E333">
            <v>1</v>
          </cell>
          <cell r="F333">
            <v>9</v>
          </cell>
          <cell r="G333">
            <v>10</v>
          </cell>
        </row>
        <row r="334">
          <cell r="A334">
            <v>333</v>
          </cell>
          <cell r="B334">
            <v>0.1515</v>
          </cell>
          <cell r="C334">
            <v>0.63</v>
          </cell>
          <cell r="D334">
            <v>0.1343</v>
          </cell>
          <cell r="E334">
            <v>1</v>
          </cell>
          <cell r="F334">
            <v>22</v>
          </cell>
          <cell r="G334">
            <v>23</v>
          </cell>
        </row>
        <row r="335">
          <cell r="A335">
            <v>334</v>
          </cell>
          <cell r="B335">
            <v>0.18179999999999999</v>
          </cell>
          <cell r="C335">
            <v>0.64</v>
          </cell>
          <cell r="D335">
            <v>0.1343</v>
          </cell>
          <cell r="E335">
            <v>2</v>
          </cell>
          <cell r="F335">
            <v>31</v>
          </cell>
          <cell r="G335">
            <v>33</v>
          </cell>
        </row>
        <row r="336">
          <cell r="A336">
            <v>335</v>
          </cell>
          <cell r="B336">
            <v>0.19700000000000001</v>
          </cell>
          <cell r="C336">
            <v>0.59</v>
          </cell>
          <cell r="D336">
            <v>0.16420000000000001</v>
          </cell>
          <cell r="E336">
            <v>2</v>
          </cell>
          <cell r="F336">
            <v>57</v>
          </cell>
          <cell r="G336">
            <v>59</v>
          </cell>
        </row>
        <row r="337">
          <cell r="A337">
            <v>336</v>
          </cell>
          <cell r="B337">
            <v>0.19700000000000001</v>
          </cell>
          <cell r="C337">
            <v>0.55000000000000004</v>
          </cell>
          <cell r="D337">
            <v>0.22389999999999999</v>
          </cell>
          <cell r="E337">
            <v>18</v>
          </cell>
          <cell r="F337">
            <v>54</v>
          </cell>
          <cell r="G337">
            <v>72</v>
          </cell>
        </row>
        <row r="338">
          <cell r="A338">
            <v>337</v>
          </cell>
          <cell r="B338">
            <v>0.2273</v>
          </cell>
          <cell r="C338">
            <v>0.48</v>
          </cell>
          <cell r="D338">
            <v>0.22389999999999999</v>
          </cell>
          <cell r="E338">
            <v>15</v>
          </cell>
          <cell r="F338">
            <v>74</v>
          </cell>
          <cell r="G338">
            <v>89</v>
          </cell>
        </row>
        <row r="339">
          <cell r="A339">
            <v>338</v>
          </cell>
          <cell r="B339">
            <v>0.2576</v>
          </cell>
          <cell r="C339">
            <v>0.38</v>
          </cell>
          <cell r="D339">
            <v>0.29849999999999999</v>
          </cell>
          <cell r="E339">
            <v>21</v>
          </cell>
          <cell r="F339">
            <v>80</v>
          </cell>
          <cell r="G339">
            <v>101</v>
          </cell>
        </row>
        <row r="340">
          <cell r="A340">
            <v>339</v>
          </cell>
          <cell r="B340">
            <v>0.28789999999999999</v>
          </cell>
          <cell r="C340">
            <v>0.39</v>
          </cell>
          <cell r="D340">
            <v>0.28360000000000002</v>
          </cell>
          <cell r="E340">
            <v>26</v>
          </cell>
          <cell r="F340">
            <v>92</v>
          </cell>
          <cell r="G340">
            <v>118</v>
          </cell>
        </row>
        <row r="341">
          <cell r="A341">
            <v>340</v>
          </cell>
          <cell r="B341">
            <v>0.31819999999999998</v>
          </cell>
          <cell r="C341">
            <v>0.36</v>
          </cell>
          <cell r="D341">
            <v>0.19400000000000001</v>
          </cell>
          <cell r="E341">
            <v>21</v>
          </cell>
          <cell r="F341">
            <v>108</v>
          </cell>
          <cell r="G341">
            <v>129</v>
          </cell>
        </row>
        <row r="342">
          <cell r="A342">
            <v>341</v>
          </cell>
          <cell r="B342">
            <v>0.33329999999999999</v>
          </cell>
          <cell r="C342">
            <v>0.34</v>
          </cell>
          <cell r="D342">
            <v>0.19400000000000001</v>
          </cell>
          <cell r="E342">
            <v>33</v>
          </cell>
          <cell r="F342">
            <v>95</v>
          </cell>
          <cell r="G342">
            <v>128</v>
          </cell>
        </row>
        <row r="343">
          <cell r="A343">
            <v>342</v>
          </cell>
          <cell r="B343">
            <v>0.30299999999999999</v>
          </cell>
          <cell r="C343">
            <v>0.36</v>
          </cell>
          <cell r="D343">
            <v>0.28360000000000002</v>
          </cell>
          <cell r="E343">
            <v>29</v>
          </cell>
          <cell r="F343">
            <v>54</v>
          </cell>
          <cell r="G343">
            <v>83</v>
          </cell>
        </row>
        <row r="344">
          <cell r="A344">
            <v>343</v>
          </cell>
          <cell r="B344">
            <v>0.28789999999999999</v>
          </cell>
          <cell r="C344">
            <v>0.45</v>
          </cell>
          <cell r="D344">
            <v>0.25369999999999998</v>
          </cell>
          <cell r="E344">
            <v>15</v>
          </cell>
          <cell r="F344">
            <v>69</v>
          </cell>
          <cell r="G344">
            <v>84</v>
          </cell>
        </row>
        <row r="345">
          <cell r="A345">
            <v>344</v>
          </cell>
          <cell r="B345">
            <v>0.30299999999999999</v>
          </cell>
          <cell r="C345">
            <v>0.39</v>
          </cell>
          <cell r="D345">
            <v>0.25369999999999998</v>
          </cell>
          <cell r="E345">
            <v>14</v>
          </cell>
          <cell r="F345">
            <v>60</v>
          </cell>
          <cell r="G345">
            <v>74</v>
          </cell>
        </row>
        <row r="346">
          <cell r="A346">
            <v>345</v>
          </cell>
          <cell r="B346">
            <v>0.30299999999999999</v>
          </cell>
          <cell r="C346">
            <v>0.39</v>
          </cell>
          <cell r="D346">
            <v>0.25369999999999998</v>
          </cell>
          <cell r="E346">
            <v>6</v>
          </cell>
          <cell r="F346">
            <v>35</v>
          </cell>
          <cell r="G346">
            <v>41</v>
          </cell>
        </row>
        <row r="347">
          <cell r="A347">
            <v>346</v>
          </cell>
          <cell r="B347">
            <v>0.30299999999999999</v>
          </cell>
          <cell r="C347">
            <v>0.39</v>
          </cell>
          <cell r="D347">
            <v>0.22389999999999999</v>
          </cell>
          <cell r="E347">
            <v>6</v>
          </cell>
          <cell r="F347">
            <v>51</v>
          </cell>
          <cell r="G347">
            <v>57</v>
          </cell>
        </row>
        <row r="348">
          <cell r="A348">
            <v>347</v>
          </cell>
          <cell r="B348">
            <v>0.31819999999999998</v>
          </cell>
          <cell r="C348">
            <v>0.42</v>
          </cell>
          <cell r="D348">
            <v>0.1045</v>
          </cell>
          <cell r="E348">
            <v>0</v>
          </cell>
          <cell r="F348">
            <v>26</v>
          </cell>
          <cell r="G348">
            <v>26</v>
          </cell>
        </row>
        <row r="349">
          <cell r="A349">
            <v>348</v>
          </cell>
          <cell r="B349">
            <v>0.28789999999999999</v>
          </cell>
          <cell r="C349">
            <v>0.45</v>
          </cell>
          <cell r="D349">
            <v>0.28360000000000002</v>
          </cell>
          <cell r="E349">
            <v>5</v>
          </cell>
          <cell r="F349">
            <v>39</v>
          </cell>
          <cell r="G349">
            <v>44</v>
          </cell>
        </row>
        <row r="350">
          <cell r="A350">
            <v>349</v>
          </cell>
          <cell r="B350">
            <v>0.30299999999999999</v>
          </cell>
          <cell r="C350">
            <v>0.56000000000000005</v>
          </cell>
          <cell r="D350">
            <v>0</v>
          </cell>
          <cell r="E350">
            <v>6</v>
          </cell>
          <cell r="F350">
            <v>33</v>
          </cell>
          <cell r="G350">
            <v>39</v>
          </cell>
        </row>
        <row r="351">
          <cell r="A351">
            <v>350</v>
          </cell>
          <cell r="B351">
            <v>0.2727</v>
          </cell>
          <cell r="C351">
            <v>0.56000000000000005</v>
          </cell>
          <cell r="D351">
            <v>0.1343</v>
          </cell>
          <cell r="E351">
            <v>4</v>
          </cell>
          <cell r="F351">
            <v>19</v>
          </cell>
          <cell r="G351">
            <v>23</v>
          </cell>
        </row>
        <row r="352">
          <cell r="A352">
            <v>351</v>
          </cell>
          <cell r="B352">
            <v>0.28789999999999999</v>
          </cell>
          <cell r="C352">
            <v>0.56000000000000005</v>
          </cell>
          <cell r="D352">
            <v>8.9599999999999999E-2</v>
          </cell>
          <cell r="E352">
            <v>3</v>
          </cell>
          <cell r="F352">
            <v>13</v>
          </cell>
          <cell r="G352">
            <v>16</v>
          </cell>
        </row>
        <row r="353">
          <cell r="A353">
            <v>352</v>
          </cell>
          <cell r="B353">
            <v>0.2727</v>
          </cell>
          <cell r="C353">
            <v>0.69</v>
          </cell>
          <cell r="D353">
            <v>0</v>
          </cell>
          <cell r="E353">
            <v>9</v>
          </cell>
          <cell r="F353">
            <v>6</v>
          </cell>
          <cell r="G353">
            <v>15</v>
          </cell>
        </row>
        <row r="354">
          <cell r="A354">
            <v>353</v>
          </cell>
          <cell r="B354">
            <v>0.2576</v>
          </cell>
          <cell r="C354">
            <v>0.56000000000000005</v>
          </cell>
          <cell r="D354">
            <v>0.16420000000000001</v>
          </cell>
          <cell r="E354">
            <v>0</v>
          </cell>
          <cell r="F354">
            <v>1</v>
          </cell>
          <cell r="G354">
            <v>1</v>
          </cell>
        </row>
        <row r="355">
          <cell r="A355">
            <v>354</v>
          </cell>
          <cell r="B355">
            <v>0.2576</v>
          </cell>
          <cell r="C355">
            <v>0.56000000000000005</v>
          </cell>
          <cell r="D355">
            <v>0.16420000000000001</v>
          </cell>
          <cell r="E355">
            <v>1</v>
          </cell>
          <cell r="F355">
            <v>1</v>
          </cell>
          <cell r="G355">
            <v>2</v>
          </cell>
        </row>
        <row r="356">
          <cell r="A356">
            <v>355</v>
          </cell>
          <cell r="B356">
            <v>0.2576</v>
          </cell>
          <cell r="C356">
            <v>0.56000000000000005</v>
          </cell>
          <cell r="D356">
            <v>0.16420000000000001</v>
          </cell>
          <cell r="E356">
            <v>0</v>
          </cell>
          <cell r="F356">
            <v>1</v>
          </cell>
          <cell r="G356">
            <v>1</v>
          </cell>
        </row>
        <row r="357">
          <cell r="A357">
            <v>356</v>
          </cell>
          <cell r="B357">
            <v>0.21210000000000001</v>
          </cell>
          <cell r="C357">
            <v>0.56000000000000005</v>
          </cell>
          <cell r="D357">
            <v>0.29849999999999999</v>
          </cell>
          <cell r="E357">
            <v>0</v>
          </cell>
          <cell r="F357">
            <v>3</v>
          </cell>
          <cell r="G357">
            <v>3</v>
          </cell>
        </row>
        <row r="358">
          <cell r="A358">
            <v>357</v>
          </cell>
          <cell r="B358">
            <v>0.21210000000000001</v>
          </cell>
          <cell r="C358">
            <v>0.55000000000000004</v>
          </cell>
          <cell r="D358">
            <v>0.28360000000000002</v>
          </cell>
          <cell r="E358">
            <v>0</v>
          </cell>
          <cell r="F358">
            <v>18</v>
          </cell>
          <cell r="G358">
            <v>18</v>
          </cell>
        </row>
        <row r="359">
          <cell r="A359">
            <v>358</v>
          </cell>
          <cell r="B359">
            <v>0.21210000000000001</v>
          </cell>
          <cell r="C359">
            <v>0.51</v>
          </cell>
          <cell r="D359">
            <v>0.25369999999999998</v>
          </cell>
          <cell r="E359">
            <v>3</v>
          </cell>
          <cell r="F359">
            <v>29</v>
          </cell>
          <cell r="G359">
            <v>32</v>
          </cell>
        </row>
        <row r="360">
          <cell r="A360">
            <v>359</v>
          </cell>
          <cell r="B360">
            <v>0.21210000000000001</v>
          </cell>
          <cell r="C360">
            <v>0.51</v>
          </cell>
          <cell r="D360">
            <v>0.28360000000000002</v>
          </cell>
          <cell r="E360">
            <v>8</v>
          </cell>
          <cell r="F360">
            <v>71</v>
          </cell>
          <cell r="G360">
            <v>79</v>
          </cell>
        </row>
        <row r="361">
          <cell r="A361">
            <v>360</v>
          </cell>
          <cell r="B361">
            <v>0.2273</v>
          </cell>
          <cell r="C361">
            <v>0.44</v>
          </cell>
          <cell r="D361">
            <v>0.25369999999999998</v>
          </cell>
          <cell r="E361">
            <v>23</v>
          </cell>
          <cell r="F361">
            <v>70</v>
          </cell>
          <cell r="G361">
            <v>93</v>
          </cell>
        </row>
        <row r="362">
          <cell r="A362">
            <v>361</v>
          </cell>
          <cell r="B362">
            <v>0.21210000000000001</v>
          </cell>
          <cell r="C362">
            <v>0.41</v>
          </cell>
          <cell r="D362">
            <v>0.28360000000000002</v>
          </cell>
          <cell r="E362">
            <v>29</v>
          </cell>
          <cell r="F362">
            <v>75</v>
          </cell>
          <cell r="G362">
            <v>104</v>
          </cell>
        </row>
        <row r="363">
          <cell r="A363">
            <v>362</v>
          </cell>
          <cell r="B363">
            <v>0.2273</v>
          </cell>
          <cell r="C363">
            <v>0.35</v>
          </cell>
          <cell r="D363">
            <v>0.29849999999999999</v>
          </cell>
          <cell r="E363">
            <v>23</v>
          </cell>
          <cell r="F363">
            <v>95</v>
          </cell>
          <cell r="G363">
            <v>118</v>
          </cell>
        </row>
        <row r="364">
          <cell r="A364">
            <v>363</v>
          </cell>
          <cell r="B364">
            <v>0.2727</v>
          </cell>
          <cell r="C364">
            <v>0.36</v>
          </cell>
          <cell r="D364">
            <v>0.25369999999999998</v>
          </cell>
          <cell r="E364">
            <v>22</v>
          </cell>
          <cell r="F364">
            <v>69</v>
          </cell>
          <cell r="G364">
            <v>91</v>
          </cell>
        </row>
        <row r="365">
          <cell r="A365">
            <v>364</v>
          </cell>
          <cell r="B365">
            <v>0.2424</v>
          </cell>
          <cell r="C365">
            <v>0.38</v>
          </cell>
          <cell r="D365">
            <v>0.25369999999999998</v>
          </cell>
          <cell r="E365">
            <v>35</v>
          </cell>
          <cell r="F365">
            <v>78</v>
          </cell>
          <cell r="G365">
            <v>113</v>
          </cell>
        </row>
        <row r="366">
          <cell r="A366">
            <v>365</v>
          </cell>
          <cell r="B366">
            <v>0.2273</v>
          </cell>
          <cell r="C366">
            <v>0.38</v>
          </cell>
          <cell r="D366">
            <v>0.22389999999999999</v>
          </cell>
          <cell r="E366">
            <v>22</v>
          </cell>
          <cell r="F366">
            <v>77</v>
          </cell>
          <cell r="G366">
            <v>99</v>
          </cell>
        </row>
        <row r="367">
          <cell r="A367">
            <v>366</v>
          </cell>
          <cell r="B367">
            <v>0.21210000000000001</v>
          </cell>
          <cell r="C367">
            <v>0.37</v>
          </cell>
          <cell r="D367">
            <v>0.25369999999999998</v>
          </cell>
          <cell r="E367">
            <v>23</v>
          </cell>
          <cell r="F367">
            <v>82</v>
          </cell>
          <cell r="G367">
            <v>105</v>
          </cell>
        </row>
        <row r="368">
          <cell r="A368">
            <v>367</v>
          </cell>
          <cell r="B368">
            <v>0.21210000000000001</v>
          </cell>
          <cell r="C368">
            <v>0.4</v>
          </cell>
          <cell r="D368">
            <v>0.16420000000000001</v>
          </cell>
          <cell r="E368">
            <v>11</v>
          </cell>
          <cell r="F368">
            <v>56</v>
          </cell>
          <cell r="G368">
            <v>67</v>
          </cell>
        </row>
        <row r="369">
          <cell r="A369">
            <v>368</v>
          </cell>
          <cell r="B369">
            <v>0.19700000000000001</v>
          </cell>
          <cell r="C369">
            <v>0.47</v>
          </cell>
          <cell r="D369">
            <v>0.1343</v>
          </cell>
          <cell r="E369">
            <v>14</v>
          </cell>
          <cell r="F369">
            <v>47</v>
          </cell>
          <cell r="G369">
            <v>61</v>
          </cell>
        </row>
        <row r="370">
          <cell r="A370">
            <v>369</v>
          </cell>
          <cell r="B370">
            <v>0.19700000000000001</v>
          </cell>
          <cell r="C370">
            <v>0.47</v>
          </cell>
          <cell r="D370">
            <v>0.16420000000000001</v>
          </cell>
          <cell r="E370">
            <v>7</v>
          </cell>
          <cell r="F370">
            <v>50</v>
          </cell>
          <cell r="G370">
            <v>57</v>
          </cell>
        </row>
        <row r="371">
          <cell r="A371">
            <v>370</v>
          </cell>
          <cell r="B371">
            <v>0.19700000000000001</v>
          </cell>
          <cell r="C371">
            <v>0.51</v>
          </cell>
          <cell r="D371">
            <v>0.16420000000000001</v>
          </cell>
          <cell r="E371">
            <v>6</v>
          </cell>
          <cell r="F371">
            <v>22</v>
          </cell>
          <cell r="G371">
            <v>28</v>
          </cell>
        </row>
        <row r="372">
          <cell r="A372">
            <v>371</v>
          </cell>
          <cell r="B372">
            <v>0.21210000000000001</v>
          </cell>
          <cell r="C372">
            <v>0.49</v>
          </cell>
          <cell r="D372">
            <v>0.1343</v>
          </cell>
          <cell r="E372">
            <v>2</v>
          </cell>
          <cell r="F372">
            <v>19</v>
          </cell>
          <cell r="G372">
            <v>21</v>
          </cell>
        </row>
        <row r="373">
          <cell r="A373">
            <v>372</v>
          </cell>
          <cell r="B373">
            <v>0.2273</v>
          </cell>
          <cell r="C373">
            <v>0.4</v>
          </cell>
          <cell r="D373">
            <v>0.1045</v>
          </cell>
          <cell r="E373">
            <v>0</v>
          </cell>
          <cell r="F373">
            <v>18</v>
          </cell>
          <cell r="G373">
            <v>18</v>
          </cell>
        </row>
        <row r="374">
          <cell r="A374">
            <v>373</v>
          </cell>
          <cell r="B374">
            <v>0.19700000000000001</v>
          </cell>
          <cell r="C374">
            <v>0.47</v>
          </cell>
          <cell r="D374">
            <v>0.22389999999999999</v>
          </cell>
          <cell r="E374">
            <v>1</v>
          </cell>
          <cell r="F374">
            <v>16</v>
          </cell>
          <cell r="G374">
            <v>17</v>
          </cell>
        </row>
        <row r="375">
          <cell r="A375">
            <v>374</v>
          </cell>
          <cell r="B375">
            <v>0.19700000000000001</v>
          </cell>
          <cell r="C375">
            <v>0.44</v>
          </cell>
          <cell r="D375">
            <v>0.19400000000000001</v>
          </cell>
          <cell r="E375">
            <v>1</v>
          </cell>
          <cell r="F375">
            <v>15</v>
          </cell>
          <cell r="G375">
            <v>16</v>
          </cell>
        </row>
        <row r="376">
          <cell r="A376">
            <v>375</v>
          </cell>
          <cell r="B376">
            <v>0.16669999999999999</v>
          </cell>
          <cell r="C376">
            <v>0.43</v>
          </cell>
          <cell r="D376">
            <v>0.25369999999999998</v>
          </cell>
          <cell r="E376">
            <v>0</v>
          </cell>
          <cell r="F376">
            <v>8</v>
          </cell>
          <cell r="G376">
            <v>8</v>
          </cell>
        </row>
        <row r="377">
          <cell r="A377">
            <v>376</v>
          </cell>
          <cell r="B377">
            <v>0.18179999999999999</v>
          </cell>
          <cell r="C377">
            <v>0.43</v>
          </cell>
          <cell r="D377">
            <v>0.19400000000000001</v>
          </cell>
          <cell r="E377">
            <v>0</v>
          </cell>
          <cell r="F377">
            <v>2</v>
          </cell>
          <cell r="G377">
            <v>2</v>
          </cell>
        </row>
        <row r="378">
          <cell r="A378">
            <v>377</v>
          </cell>
          <cell r="B378">
            <v>0.19700000000000001</v>
          </cell>
          <cell r="C378">
            <v>0.43</v>
          </cell>
          <cell r="D378">
            <v>0.1343</v>
          </cell>
          <cell r="E378">
            <v>1</v>
          </cell>
          <cell r="F378">
            <v>2</v>
          </cell>
          <cell r="G378">
            <v>3</v>
          </cell>
        </row>
        <row r="379">
          <cell r="A379">
            <v>378</v>
          </cell>
          <cell r="B379">
            <v>0.19700000000000001</v>
          </cell>
          <cell r="C379">
            <v>0.43</v>
          </cell>
          <cell r="D379">
            <v>0.16420000000000001</v>
          </cell>
          <cell r="E379">
            <v>0</v>
          </cell>
          <cell r="F379">
            <v>1</v>
          </cell>
          <cell r="G379">
            <v>1</v>
          </cell>
        </row>
        <row r="380">
          <cell r="A380">
            <v>379</v>
          </cell>
          <cell r="B380">
            <v>0.18179999999999999</v>
          </cell>
          <cell r="C380">
            <v>0.43</v>
          </cell>
          <cell r="D380">
            <v>0.19400000000000001</v>
          </cell>
          <cell r="E380">
            <v>0</v>
          </cell>
          <cell r="F380">
            <v>5</v>
          </cell>
          <cell r="G380">
            <v>5</v>
          </cell>
        </row>
        <row r="381">
          <cell r="A381">
            <v>380</v>
          </cell>
          <cell r="B381">
            <v>0.18179999999999999</v>
          </cell>
          <cell r="C381">
            <v>0.5</v>
          </cell>
          <cell r="D381">
            <v>0.1343</v>
          </cell>
          <cell r="E381">
            <v>4</v>
          </cell>
          <cell r="F381">
            <v>9</v>
          </cell>
          <cell r="G381">
            <v>13</v>
          </cell>
        </row>
        <row r="382">
          <cell r="A382">
            <v>381</v>
          </cell>
          <cell r="B382">
            <v>0.1515</v>
          </cell>
          <cell r="C382">
            <v>0.47</v>
          </cell>
          <cell r="D382">
            <v>0.22389999999999999</v>
          </cell>
          <cell r="E382">
            <v>3</v>
          </cell>
          <cell r="F382">
            <v>30</v>
          </cell>
          <cell r="G382">
            <v>33</v>
          </cell>
        </row>
        <row r="383">
          <cell r="A383">
            <v>382</v>
          </cell>
          <cell r="B383">
            <v>0.1515</v>
          </cell>
          <cell r="C383">
            <v>0.47</v>
          </cell>
          <cell r="D383">
            <v>0.22389999999999999</v>
          </cell>
          <cell r="E383">
            <v>8</v>
          </cell>
          <cell r="F383">
            <v>39</v>
          </cell>
          <cell r="G383">
            <v>47</v>
          </cell>
        </row>
        <row r="384">
          <cell r="A384">
            <v>383</v>
          </cell>
          <cell r="B384">
            <v>0.1515</v>
          </cell>
          <cell r="C384">
            <v>0.5</v>
          </cell>
          <cell r="D384">
            <v>0.25369999999999998</v>
          </cell>
          <cell r="E384">
            <v>7</v>
          </cell>
          <cell r="F384">
            <v>50</v>
          </cell>
          <cell r="G384">
            <v>57</v>
          </cell>
        </row>
        <row r="385">
          <cell r="A385">
            <v>384</v>
          </cell>
          <cell r="B385">
            <v>0.1515</v>
          </cell>
          <cell r="C385">
            <v>0.55000000000000004</v>
          </cell>
          <cell r="D385">
            <v>0.19400000000000001</v>
          </cell>
          <cell r="E385">
            <v>9</v>
          </cell>
          <cell r="F385">
            <v>55</v>
          </cell>
          <cell r="G385">
            <v>64</v>
          </cell>
        </row>
        <row r="386">
          <cell r="A386">
            <v>385</v>
          </cell>
          <cell r="B386">
            <v>0.19700000000000001</v>
          </cell>
          <cell r="C386">
            <v>0.47</v>
          </cell>
          <cell r="D386">
            <v>0.1343</v>
          </cell>
          <cell r="E386">
            <v>10</v>
          </cell>
          <cell r="F386">
            <v>70</v>
          </cell>
          <cell r="G386">
            <v>80</v>
          </cell>
        </row>
        <row r="387">
          <cell r="A387">
            <v>386</v>
          </cell>
          <cell r="B387">
            <v>0.19700000000000001</v>
          </cell>
          <cell r="C387">
            <v>0.47</v>
          </cell>
          <cell r="D387">
            <v>0.1343</v>
          </cell>
          <cell r="E387">
            <v>13</v>
          </cell>
          <cell r="F387">
            <v>80</v>
          </cell>
          <cell r="G387">
            <v>93</v>
          </cell>
        </row>
        <row r="388">
          <cell r="A388">
            <v>387</v>
          </cell>
          <cell r="B388">
            <v>0.21210000000000001</v>
          </cell>
          <cell r="C388">
            <v>0.43</v>
          </cell>
          <cell r="D388">
            <v>0.1045</v>
          </cell>
          <cell r="E388">
            <v>12</v>
          </cell>
          <cell r="F388">
            <v>74</v>
          </cell>
          <cell r="G388">
            <v>86</v>
          </cell>
        </row>
        <row r="389">
          <cell r="A389">
            <v>388</v>
          </cell>
          <cell r="B389">
            <v>0.21210000000000001</v>
          </cell>
          <cell r="C389">
            <v>0.47</v>
          </cell>
          <cell r="D389">
            <v>0.16420000000000001</v>
          </cell>
          <cell r="E389">
            <v>21</v>
          </cell>
          <cell r="F389">
            <v>72</v>
          </cell>
          <cell r="G389">
            <v>93</v>
          </cell>
        </row>
        <row r="390">
          <cell r="A390">
            <v>389</v>
          </cell>
          <cell r="B390">
            <v>0.21210000000000001</v>
          </cell>
          <cell r="C390">
            <v>0.47</v>
          </cell>
          <cell r="D390">
            <v>0.16420000000000001</v>
          </cell>
          <cell r="E390">
            <v>6</v>
          </cell>
          <cell r="F390">
            <v>76</v>
          </cell>
          <cell r="G390">
            <v>82</v>
          </cell>
        </row>
        <row r="391">
          <cell r="A391">
            <v>390</v>
          </cell>
          <cell r="B391">
            <v>0.19700000000000001</v>
          </cell>
          <cell r="C391">
            <v>0.51</v>
          </cell>
          <cell r="D391">
            <v>0.19400000000000001</v>
          </cell>
          <cell r="E391">
            <v>4</v>
          </cell>
          <cell r="F391">
            <v>67</v>
          </cell>
          <cell r="G391">
            <v>71</v>
          </cell>
        </row>
        <row r="392">
          <cell r="A392">
            <v>391</v>
          </cell>
          <cell r="B392">
            <v>0.16669999999999999</v>
          </cell>
          <cell r="C392">
            <v>0.55000000000000004</v>
          </cell>
          <cell r="D392">
            <v>0.25369999999999998</v>
          </cell>
          <cell r="E392">
            <v>7</v>
          </cell>
          <cell r="F392">
            <v>85</v>
          </cell>
          <cell r="G392">
            <v>92</v>
          </cell>
        </row>
        <row r="393">
          <cell r="A393">
            <v>392</v>
          </cell>
          <cell r="B393">
            <v>0.18179999999999999</v>
          </cell>
          <cell r="C393">
            <v>0.59</v>
          </cell>
          <cell r="D393">
            <v>0.19400000000000001</v>
          </cell>
          <cell r="E393">
            <v>2</v>
          </cell>
          <cell r="F393">
            <v>58</v>
          </cell>
          <cell r="G393">
            <v>60</v>
          </cell>
        </row>
        <row r="394">
          <cell r="A394">
            <v>393</v>
          </cell>
          <cell r="B394">
            <v>0.1515</v>
          </cell>
          <cell r="C394">
            <v>0.8</v>
          </cell>
          <cell r="D394">
            <v>0.19400000000000001</v>
          </cell>
          <cell r="E394">
            <v>4</v>
          </cell>
          <cell r="F394">
            <v>29</v>
          </cell>
          <cell r="G394">
            <v>33</v>
          </cell>
        </row>
        <row r="395">
          <cell r="A395">
            <v>394</v>
          </cell>
          <cell r="B395">
            <v>0.1515</v>
          </cell>
          <cell r="C395">
            <v>0.8</v>
          </cell>
          <cell r="D395">
            <v>0.19400000000000001</v>
          </cell>
          <cell r="E395">
            <v>3</v>
          </cell>
          <cell r="F395">
            <v>24</v>
          </cell>
          <cell r="G395">
            <v>27</v>
          </cell>
        </row>
        <row r="396">
          <cell r="A396">
            <v>395</v>
          </cell>
          <cell r="B396">
            <v>0.1212</v>
          </cell>
          <cell r="C396">
            <v>0.93</v>
          </cell>
          <cell r="D396">
            <v>0.25369999999999998</v>
          </cell>
          <cell r="E396">
            <v>0</v>
          </cell>
          <cell r="F396">
            <v>13</v>
          </cell>
          <cell r="G396">
            <v>13</v>
          </cell>
        </row>
        <row r="397">
          <cell r="A397">
            <v>396</v>
          </cell>
          <cell r="B397">
            <v>0.13639999999999999</v>
          </cell>
          <cell r="C397">
            <v>0.86</v>
          </cell>
          <cell r="D397">
            <v>0.28360000000000002</v>
          </cell>
          <cell r="E397">
            <v>1</v>
          </cell>
          <cell r="F397">
            <v>3</v>
          </cell>
          <cell r="G397">
            <v>4</v>
          </cell>
        </row>
        <row r="398">
          <cell r="A398">
            <v>397</v>
          </cell>
          <cell r="B398">
            <v>0.18179999999999999</v>
          </cell>
          <cell r="C398">
            <v>0.86</v>
          </cell>
          <cell r="D398">
            <v>0.32840000000000003</v>
          </cell>
          <cell r="E398">
            <v>0</v>
          </cell>
          <cell r="F398">
            <v>3</v>
          </cell>
          <cell r="G398">
            <v>3</v>
          </cell>
        </row>
        <row r="399">
          <cell r="A399">
            <v>398</v>
          </cell>
          <cell r="B399">
            <v>0.19700000000000001</v>
          </cell>
          <cell r="C399">
            <v>0.86</v>
          </cell>
          <cell r="D399">
            <v>0.22389999999999999</v>
          </cell>
          <cell r="E399">
            <v>0</v>
          </cell>
          <cell r="F399">
            <v>22</v>
          </cell>
          <cell r="G399">
            <v>22</v>
          </cell>
        </row>
        <row r="400">
          <cell r="A400">
            <v>399</v>
          </cell>
          <cell r="B400">
            <v>0.2273</v>
          </cell>
          <cell r="C400">
            <v>0.8</v>
          </cell>
          <cell r="D400">
            <v>0.16420000000000001</v>
          </cell>
          <cell r="E400">
            <v>2</v>
          </cell>
          <cell r="F400">
            <v>26</v>
          </cell>
          <cell r="G400">
            <v>28</v>
          </cell>
        </row>
        <row r="401">
          <cell r="A401">
            <v>400</v>
          </cell>
          <cell r="B401">
            <v>0.2273</v>
          </cell>
          <cell r="C401">
            <v>0.87</v>
          </cell>
          <cell r="D401">
            <v>0.16420000000000001</v>
          </cell>
          <cell r="E401">
            <v>3</v>
          </cell>
          <cell r="F401">
            <v>32</v>
          </cell>
          <cell r="G401">
            <v>35</v>
          </cell>
        </row>
        <row r="402">
          <cell r="A402">
            <v>401</v>
          </cell>
          <cell r="B402">
            <v>0.2273</v>
          </cell>
          <cell r="C402">
            <v>0.87</v>
          </cell>
          <cell r="D402">
            <v>0.19400000000000001</v>
          </cell>
          <cell r="E402">
            <v>0</v>
          </cell>
          <cell r="F402">
            <v>61</v>
          </cell>
          <cell r="G402">
            <v>61</v>
          </cell>
        </row>
        <row r="403">
          <cell r="A403">
            <v>402</v>
          </cell>
          <cell r="B403">
            <v>0.2273</v>
          </cell>
          <cell r="C403">
            <v>0.82</v>
          </cell>
          <cell r="D403">
            <v>0.19400000000000001</v>
          </cell>
          <cell r="E403">
            <v>1</v>
          </cell>
          <cell r="F403">
            <v>124</v>
          </cell>
          <cell r="G403">
            <v>125</v>
          </cell>
        </row>
        <row r="404">
          <cell r="A404">
            <v>403</v>
          </cell>
          <cell r="B404">
            <v>0.2273</v>
          </cell>
          <cell r="C404">
            <v>0.8</v>
          </cell>
          <cell r="D404">
            <v>0.16420000000000001</v>
          </cell>
          <cell r="E404">
            <v>1</v>
          </cell>
          <cell r="F404">
            <v>132</v>
          </cell>
          <cell r="G404">
            <v>133</v>
          </cell>
        </row>
        <row r="405">
          <cell r="A405">
            <v>404</v>
          </cell>
          <cell r="B405">
            <v>0.2273</v>
          </cell>
          <cell r="C405">
            <v>0.8</v>
          </cell>
          <cell r="D405">
            <v>0.1343</v>
          </cell>
          <cell r="E405">
            <v>1</v>
          </cell>
          <cell r="F405">
            <v>98</v>
          </cell>
          <cell r="G405">
            <v>99</v>
          </cell>
        </row>
        <row r="406">
          <cell r="A406">
            <v>405</v>
          </cell>
          <cell r="B406">
            <v>0.2727</v>
          </cell>
          <cell r="C406">
            <v>0.87</v>
          </cell>
          <cell r="D406">
            <v>0</v>
          </cell>
          <cell r="E406">
            <v>0</v>
          </cell>
          <cell r="F406">
            <v>83</v>
          </cell>
          <cell r="G406">
            <v>83</v>
          </cell>
        </row>
        <row r="407">
          <cell r="A407">
            <v>406</v>
          </cell>
          <cell r="B407">
            <v>0.2424</v>
          </cell>
          <cell r="C407">
            <v>0.93</v>
          </cell>
          <cell r="D407">
            <v>0.1045</v>
          </cell>
          <cell r="E407">
            <v>0</v>
          </cell>
          <cell r="F407">
            <v>41</v>
          </cell>
          <cell r="G407">
            <v>41</v>
          </cell>
        </row>
        <row r="408">
          <cell r="A408">
            <v>407</v>
          </cell>
          <cell r="B408">
            <v>0.2576</v>
          </cell>
          <cell r="C408">
            <v>0.93</v>
          </cell>
          <cell r="D408">
            <v>8.9599999999999999E-2</v>
          </cell>
          <cell r="E408">
            <v>0</v>
          </cell>
          <cell r="F408">
            <v>33</v>
          </cell>
          <cell r="G408">
            <v>33</v>
          </cell>
        </row>
        <row r="409">
          <cell r="A409">
            <v>408</v>
          </cell>
          <cell r="B409">
            <v>0.2727</v>
          </cell>
          <cell r="C409">
            <v>0.93</v>
          </cell>
          <cell r="D409">
            <v>0</v>
          </cell>
          <cell r="E409">
            <v>1</v>
          </cell>
          <cell r="F409">
            <v>19</v>
          </cell>
          <cell r="G409">
            <v>20</v>
          </cell>
        </row>
        <row r="410">
          <cell r="A410">
            <v>409</v>
          </cell>
          <cell r="B410">
            <v>0.2727</v>
          </cell>
          <cell r="C410">
            <v>0.93</v>
          </cell>
          <cell r="D410">
            <v>0</v>
          </cell>
          <cell r="E410">
            <v>0</v>
          </cell>
          <cell r="F410">
            <v>3</v>
          </cell>
          <cell r="G410">
            <v>3</v>
          </cell>
        </row>
        <row r="411">
          <cell r="A411">
            <v>410</v>
          </cell>
          <cell r="B411">
            <v>0.2273</v>
          </cell>
          <cell r="C411">
            <v>0.93</v>
          </cell>
          <cell r="D411">
            <v>0.1343</v>
          </cell>
          <cell r="E411">
            <v>1</v>
          </cell>
          <cell r="F411">
            <v>6</v>
          </cell>
          <cell r="G411">
            <v>7</v>
          </cell>
        </row>
        <row r="412">
          <cell r="A412">
            <v>411</v>
          </cell>
          <cell r="B412">
            <v>0.2273</v>
          </cell>
          <cell r="C412">
            <v>0.93</v>
          </cell>
          <cell r="D412">
            <v>0.1343</v>
          </cell>
          <cell r="E412">
            <v>0</v>
          </cell>
          <cell r="F412">
            <v>3</v>
          </cell>
          <cell r="G412">
            <v>3</v>
          </cell>
        </row>
        <row r="413">
          <cell r="A413">
            <v>412</v>
          </cell>
          <cell r="B413">
            <v>0.2273</v>
          </cell>
          <cell r="C413">
            <v>0.93</v>
          </cell>
          <cell r="D413">
            <v>0.1343</v>
          </cell>
          <cell r="E413">
            <v>1</v>
          </cell>
          <cell r="F413">
            <v>1</v>
          </cell>
          <cell r="G413">
            <v>2</v>
          </cell>
        </row>
        <row r="414">
          <cell r="A414">
            <v>413</v>
          </cell>
          <cell r="B414">
            <v>0.2576</v>
          </cell>
          <cell r="C414">
            <v>0.93</v>
          </cell>
          <cell r="D414">
            <v>8.9599999999999999E-2</v>
          </cell>
          <cell r="E414">
            <v>0</v>
          </cell>
          <cell r="F414">
            <v>7</v>
          </cell>
          <cell r="G414">
            <v>7</v>
          </cell>
        </row>
        <row r="415">
          <cell r="A415">
            <v>414</v>
          </cell>
          <cell r="B415">
            <v>0.2576</v>
          </cell>
          <cell r="C415">
            <v>0.93</v>
          </cell>
          <cell r="D415">
            <v>8.9599999999999999E-2</v>
          </cell>
          <cell r="E415">
            <v>0</v>
          </cell>
          <cell r="F415">
            <v>32</v>
          </cell>
          <cell r="G415">
            <v>32</v>
          </cell>
        </row>
        <row r="416">
          <cell r="A416">
            <v>415</v>
          </cell>
          <cell r="B416">
            <v>0.2576</v>
          </cell>
          <cell r="C416">
            <v>0.92</v>
          </cell>
          <cell r="D416">
            <v>0.1045</v>
          </cell>
          <cell r="E416">
            <v>1</v>
          </cell>
          <cell r="F416">
            <v>89</v>
          </cell>
          <cell r="G416">
            <v>90</v>
          </cell>
        </row>
        <row r="417">
          <cell r="A417">
            <v>416</v>
          </cell>
          <cell r="B417">
            <v>0.2576</v>
          </cell>
          <cell r="C417">
            <v>0.93</v>
          </cell>
          <cell r="D417">
            <v>0.1045</v>
          </cell>
          <cell r="E417">
            <v>1</v>
          </cell>
          <cell r="F417">
            <v>196</v>
          </cell>
          <cell r="G417">
            <v>197</v>
          </cell>
        </row>
        <row r="418">
          <cell r="A418">
            <v>417</v>
          </cell>
          <cell r="B418">
            <v>0.2576</v>
          </cell>
          <cell r="C418">
            <v>0.93</v>
          </cell>
          <cell r="D418">
            <v>0.1045</v>
          </cell>
          <cell r="E418">
            <v>2</v>
          </cell>
          <cell r="F418">
            <v>107</v>
          </cell>
          <cell r="G418">
            <v>109</v>
          </cell>
        </row>
        <row r="419">
          <cell r="A419">
            <v>418</v>
          </cell>
          <cell r="B419">
            <v>0.2727</v>
          </cell>
          <cell r="C419">
            <v>0.93</v>
          </cell>
          <cell r="D419">
            <v>0.1343</v>
          </cell>
          <cell r="E419">
            <v>1</v>
          </cell>
          <cell r="F419">
            <v>46</v>
          </cell>
          <cell r="G419">
            <v>47</v>
          </cell>
        </row>
        <row r="420">
          <cell r="A420">
            <v>419</v>
          </cell>
          <cell r="B420">
            <v>0.30299999999999999</v>
          </cell>
          <cell r="C420">
            <v>0.87</v>
          </cell>
          <cell r="D420">
            <v>8.9599999999999999E-2</v>
          </cell>
          <cell r="E420">
            <v>5</v>
          </cell>
          <cell r="F420">
            <v>47</v>
          </cell>
          <cell r="G420">
            <v>52</v>
          </cell>
        </row>
        <row r="421">
          <cell r="A421">
            <v>420</v>
          </cell>
          <cell r="B421">
            <v>0.31819999999999998</v>
          </cell>
          <cell r="C421">
            <v>0.81</v>
          </cell>
          <cell r="D421">
            <v>8.9599999999999999E-2</v>
          </cell>
          <cell r="E421">
            <v>5</v>
          </cell>
          <cell r="F421">
            <v>65</v>
          </cell>
          <cell r="G421">
            <v>70</v>
          </cell>
        </row>
        <row r="422">
          <cell r="A422">
            <v>421</v>
          </cell>
          <cell r="B422">
            <v>0.40910000000000002</v>
          </cell>
          <cell r="C422">
            <v>0.62</v>
          </cell>
          <cell r="D422">
            <v>0.28360000000000002</v>
          </cell>
          <cell r="E422">
            <v>11</v>
          </cell>
          <cell r="F422">
            <v>67</v>
          </cell>
          <cell r="G422">
            <v>78</v>
          </cell>
        </row>
        <row r="423">
          <cell r="A423">
            <v>422</v>
          </cell>
          <cell r="B423">
            <v>0.40910000000000002</v>
          </cell>
          <cell r="C423">
            <v>0.57999999999999996</v>
          </cell>
          <cell r="D423">
            <v>0.25369999999999998</v>
          </cell>
          <cell r="E423">
            <v>7</v>
          </cell>
          <cell r="F423">
            <v>68</v>
          </cell>
          <cell r="G423">
            <v>75</v>
          </cell>
        </row>
        <row r="424">
          <cell r="A424">
            <v>423</v>
          </cell>
          <cell r="B424">
            <v>0.40910000000000002</v>
          </cell>
          <cell r="C424">
            <v>0.54</v>
          </cell>
          <cell r="D424">
            <v>0.28360000000000002</v>
          </cell>
          <cell r="E424">
            <v>4</v>
          </cell>
          <cell r="F424">
            <v>78</v>
          </cell>
          <cell r="G424">
            <v>82</v>
          </cell>
        </row>
        <row r="425">
          <cell r="A425">
            <v>424</v>
          </cell>
          <cell r="B425">
            <v>0.39389999999999997</v>
          </cell>
          <cell r="C425">
            <v>0.57999999999999996</v>
          </cell>
          <cell r="D425">
            <v>0.3881</v>
          </cell>
          <cell r="E425">
            <v>10</v>
          </cell>
          <cell r="F425">
            <v>94</v>
          </cell>
          <cell r="G425">
            <v>104</v>
          </cell>
        </row>
        <row r="426">
          <cell r="A426">
            <v>425</v>
          </cell>
          <cell r="B426">
            <v>0.33329999999999999</v>
          </cell>
          <cell r="C426">
            <v>0.56999999999999995</v>
          </cell>
          <cell r="D426">
            <v>0.32840000000000003</v>
          </cell>
          <cell r="E426">
            <v>7</v>
          </cell>
          <cell r="F426">
            <v>190</v>
          </cell>
          <cell r="G426">
            <v>197</v>
          </cell>
        </row>
        <row r="427">
          <cell r="A427">
            <v>426</v>
          </cell>
          <cell r="B427">
            <v>0.31819999999999998</v>
          </cell>
          <cell r="C427">
            <v>0.61</v>
          </cell>
          <cell r="D427">
            <v>0.28360000000000002</v>
          </cell>
          <cell r="E427">
            <v>5</v>
          </cell>
          <cell r="F427">
            <v>156</v>
          </cell>
          <cell r="G427">
            <v>161</v>
          </cell>
        </row>
        <row r="428">
          <cell r="A428">
            <v>427</v>
          </cell>
          <cell r="B428">
            <v>0.28789999999999999</v>
          </cell>
          <cell r="C428">
            <v>0.56999999999999995</v>
          </cell>
          <cell r="D428">
            <v>0.41789999999999999</v>
          </cell>
          <cell r="E428">
            <v>4</v>
          </cell>
          <cell r="F428">
            <v>108</v>
          </cell>
          <cell r="G428">
            <v>112</v>
          </cell>
        </row>
        <row r="429">
          <cell r="A429">
            <v>428</v>
          </cell>
          <cell r="B429">
            <v>0.30299999999999999</v>
          </cell>
          <cell r="C429">
            <v>0.49</v>
          </cell>
          <cell r="D429">
            <v>0.29849999999999999</v>
          </cell>
          <cell r="E429">
            <v>2</v>
          </cell>
          <cell r="F429">
            <v>74</v>
          </cell>
          <cell r="G429">
            <v>76</v>
          </cell>
        </row>
        <row r="430">
          <cell r="A430">
            <v>429</v>
          </cell>
          <cell r="B430">
            <v>0.28789999999999999</v>
          </cell>
          <cell r="C430">
            <v>0.49</v>
          </cell>
          <cell r="D430">
            <v>0.41789999999999999</v>
          </cell>
          <cell r="E430">
            <v>4</v>
          </cell>
          <cell r="F430">
            <v>55</v>
          </cell>
          <cell r="G430">
            <v>59</v>
          </cell>
        </row>
        <row r="431">
          <cell r="A431">
            <v>430</v>
          </cell>
          <cell r="B431">
            <v>0.30299999999999999</v>
          </cell>
          <cell r="C431">
            <v>0.52</v>
          </cell>
          <cell r="D431">
            <v>0.16420000000000001</v>
          </cell>
          <cell r="E431">
            <v>6</v>
          </cell>
          <cell r="F431">
            <v>53</v>
          </cell>
          <cell r="G431">
            <v>59</v>
          </cell>
        </row>
        <row r="432">
          <cell r="A432">
            <v>431</v>
          </cell>
          <cell r="B432">
            <v>0.2727</v>
          </cell>
          <cell r="C432">
            <v>0.52</v>
          </cell>
          <cell r="D432">
            <v>0.4627</v>
          </cell>
          <cell r="E432">
            <v>1</v>
          </cell>
          <cell r="F432">
            <v>27</v>
          </cell>
          <cell r="G432">
            <v>28</v>
          </cell>
        </row>
        <row r="433">
          <cell r="A433">
            <v>432</v>
          </cell>
          <cell r="B433">
            <v>0.2273</v>
          </cell>
          <cell r="C433">
            <v>0.56000000000000005</v>
          </cell>
          <cell r="D433">
            <v>0.3881</v>
          </cell>
          <cell r="E433">
            <v>5</v>
          </cell>
          <cell r="F433">
            <v>8</v>
          </cell>
          <cell r="G433">
            <v>13</v>
          </cell>
        </row>
        <row r="434">
          <cell r="A434">
            <v>433</v>
          </cell>
          <cell r="B434">
            <v>0.2727</v>
          </cell>
          <cell r="C434">
            <v>0.56000000000000005</v>
          </cell>
          <cell r="D434">
            <v>0</v>
          </cell>
          <cell r="E434">
            <v>2</v>
          </cell>
          <cell r="F434">
            <v>3</v>
          </cell>
          <cell r="G434">
            <v>5</v>
          </cell>
        </row>
        <row r="435">
          <cell r="A435">
            <v>434</v>
          </cell>
          <cell r="B435">
            <v>0.2727</v>
          </cell>
          <cell r="C435">
            <v>0.56000000000000005</v>
          </cell>
          <cell r="D435">
            <v>0</v>
          </cell>
          <cell r="E435">
            <v>0</v>
          </cell>
          <cell r="F435">
            <v>2</v>
          </cell>
          <cell r="G435">
            <v>2</v>
          </cell>
        </row>
        <row r="436">
          <cell r="A436">
            <v>435</v>
          </cell>
          <cell r="B436">
            <v>0.2576</v>
          </cell>
          <cell r="C436">
            <v>0.56000000000000005</v>
          </cell>
          <cell r="D436">
            <v>0.16420000000000001</v>
          </cell>
          <cell r="E436">
            <v>0</v>
          </cell>
          <cell r="F436">
            <v>1</v>
          </cell>
          <cell r="G436">
            <v>1</v>
          </cell>
        </row>
        <row r="437">
          <cell r="A437">
            <v>436</v>
          </cell>
          <cell r="B437">
            <v>0.2576</v>
          </cell>
          <cell r="C437">
            <v>0.56000000000000005</v>
          </cell>
          <cell r="D437">
            <v>0.16420000000000001</v>
          </cell>
          <cell r="E437">
            <v>0</v>
          </cell>
          <cell r="F437">
            <v>1</v>
          </cell>
          <cell r="G437">
            <v>1</v>
          </cell>
        </row>
        <row r="438">
          <cell r="A438">
            <v>437</v>
          </cell>
          <cell r="B438">
            <v>0.2273</v>
          </cell>
          <cell r="C438">
            <v>0.6</v>
          </cell>
          <cell r="D438">
            <v>0.22389999999999999</v>
          </cell>
          <cell r="E438">
            <v>0</v>
          </cell>
          <cell r="F438">
            <v>6</v>
          </cell>
          <cell r="G438">
            <v>6</v>
          </cell>
        </row>
        <row r="439">
          <cell r="A439">
            <v>438</v>
          </cell>
          <cell r="B439">
            <v>0.21210000000000001</v>
          </cell>
          <cell r="C439">
            <v>0.6</v>
          </cell>
          <cell r="D439">
            <v>0.22389999999999999</v>
          </cell>
          <cell r="E439">
            <v>0</v>
          </cell>
          <cell r="F439">
            <v>35</v>
          </cell>
          <cell r="G439">
            <v>35</v>
          </cell>
        </row>
        <row r="440">
          <cell r="A440">
            <v>439</v>
          </cell>
          <cell r="B440">
            <v>0.21210000000000001</v>
          </cell>
          <cell r="C440">
            <v>0.55000000000000004</v>
          </cell>
          <cell r="D440">
            <v>0.22389999999999999</v>
          </cell>
          <cell r="E440">
            <v>1</v>
          </cell>
          <cell r="F440">
            <v>100</v>
          </cell>
          <cell r="G440">
            <v>101</v>
          </cell>
        </row>
        <row r="441">
          <cell r="A441">
            <v>440</v>
          </cell>
          <cell r="B441">
            <v>0.21210000000000001</v>
          </cell>
          <cell r="C441">
            <v>0.55000000000000004</v>
          </cell>
          <cell r="D441">
            <v>0.28360000000000002</v>
          </cell>
          <cell r="E441">
            <v>2</v>
          </cell>
          <cell r="F441">
            <v>247</v>
          </cell>
          <cell r="G441">
            <v>249</v>
          </cell>
        </row>
        <row r="442">
          <cell r="A442">
            <v>441</v>
          </cell>
          <cell r="B442">
            <v>0.2273</v>
          </cell>
          <cell r="C442">
            <v>0.52</v>
          </cell>
          <cell r="D442">
            <v>0.22389999999999999</v>
          </cell>
          <cell r="E442">
            <v>3</v>
          </cell>
          <cell r="F442">
            <v>140</v>
          </cell>
          <cell r="G442">
            <v>143</v>
          </cell>
        </row>
        <row r="443">
          <cell r="A443">
            <v>442</v>
          </cell>
          <cell r="B443">
            <v>0.2273</v>
          </cell>
          <cell r="C443">
            <v>0.48</v>
          </cell>
          <cell r="D443">
            <v>0.29849999999999999</v>
          </cell>
          <cell r="E443">
            <v>1</v>
          </cell>
          <cell r="F443">
            <v>56</v>
          </cell>
          <cell r="G443">
            <v>57</v>
          </cell>
        </row>
        <row r="444">
          <cell r="A444">
            <v>443</v>
          </cell>
          <cell r="B444">
            <v>0.2727</v>
          </cell>
          <cell r="C444">
            <v>0.45</v>
          </cell>
          <cell r="D444">
            <v>0.16420000000000001</v>
          </cell>
          <cell r="E444">
            <v>5</v>
          </cell>
          <cell r="F444">
            <v>63</v>
          </cell>
          <cell r="G444">
            <v>68</v>
          </cell>
        </row>
        <row r="445">
          <cell r="A445">
            <v>444</v>
          </cell>
          <cell r="B445">
            <v>0.33329999999999999</v>
          </cell>
          <cell r="C445">
            <v>0.42</v>
          </cell>
          <cell r="D445">
            <v>0</v>
          </cell>
          <cell r="E445">
            <v>7</v>
          </cell>
          <cell r="F445">
            <v>77</v>
          </cell>
          <cell r="G445">
            <v>84</v>
          </cell>
        </row>
        <row r="446">
          <cell r="A446">
            <v>445</v>
          </cell>
          <cell r="B446">
            <v>0.28789999999999999</v>
          </cell>
          <cell r="C446">
            <v>0.45</v>
          </cell>
          <cell r="D446">
            <v>0.1045</v>
          </cell>
          <cell r="E446">
            <v>12</v>
          </cell>
          <cell r="F446">
            <v>86</v>
          </cell>
          <cell r="G446">
            <v>98</v>
          </cell>
        </row>
        <row r="447">
          <cell r="A447">
            <v>446</v>
          </cell>
          <cell r="B447">
            <v>0.30299999999999999</v>
          </cell>
          <cell r="C447">
            <v>0.45</v>
          </cell>
          <cell r="D447">
            <v>0.1343</v>
          </cell>
          <cell r="E447">
            <v>6</v>
          </cell>
          <cell r="F447">
            <v>75</v>
          </cell>
          <cell r="G447">
            <v>81</v>
          </cell>
        </row>
        <row r="448">
          <cell r="A448">
            <v>447</v>
          </cell>
          <cell r="B448">
            <v>0.31819999999999998</v>
          </cell>
          <cell r="C448">
            <v>0.45</v>
          </cell>
          <cell r="D448">
            <v>0.19400000000000001</v>
          </cell>
          <cell r="E448">
            <v>8</v>
          </cell>
          <cell r="F448">
            <v>62</v>
          </cell>
          <cell r="G448">
            <v>70</v>
          </cell>
        </row>
        <row r="449">
          <cell r="A449">
            <v>448</v>
          </cell>
          <cell r="B449">
            <v>0.30299999999999999</v>
          </cell>
          <cell r="C449">
            <v>0.49</v>
          </cell>
          <cell r="D449">
            <v>0.1343</v>
          </cell>
          <cell r="E449">
            <v>8</v>
          </cell>
          <cell r="F449">
            <v>83</v>
          </cell>
          <cell r="G449">
            <v>91</v>
          </cell>
        </row>
        <row r="450">
          <cell r="A450">
            <v>449</v>
          </cell>
          <cell r="B450">
            <v>0.31819999999999998</v>
          </cell>
          <cell r="C450">
            <v>0.49</v>
          </cell>
          <cell r="D450">
            <v>0.1045</v>
          </cell>
          <cell r="E450">
            <v>8</v>
          </cell>
          <cell r="F450">
            <v>207</v>
          </cell>
          <cell r="G450">
            <v>215</v>
          </cell>
        </row>
        <row r="451">
          <cell r="A451">
            <v>450</v>
          </cell>
          <cell r="B451">
            <v>0.2576</v>
          </cell>
          <cell r="C451">
            <v>0.56000000000000005</v>
          </cell>
          <cell r="D451">
            <v>0.19400000000000001</v>
          </cell>
          <cell r="E451">
            <v>1</v>
          </cell>
          <cell r="F451">
            <v>184</v>
          </cell>
          <cell r="G451">
            <v>185</v>
          </cell>
        </row>
        <row r="452">
          <cell r="A452">
            <v>451</v>
          </cell>
          <cell r="B452">
            <v>0.2273</v>
          </cell>
          <cell r="C452">
            <v>0.56000000000000005</v>
          </cell>
          <cell r="D452">
            <v>0.32840000000000003</v>
          </cell>
          <cell r="E452">
            <v>6</v>
          </cell>
          <cell r="F452">
            <v>146</v>
          </cell>
          <cell r="G452">
            <v>152</v>
          </cell>
        </row>
        <row r="453">
          <cell r="A453">
            <v>452</v>
          </cell>
          <cell r="B453">
            <v>0.2424</v>
          </cell>
          <cell r="C453">
            <v>0.6</v>
          </cell>
          <cell r="D453">
            <v>0.28360000000000002</v>
          </cell>
          <cell r="E453">
            <v>2</v>
          </cell>
          <cell r="F453">
            <v>124</v>
          </cell>
          <cell r="G453">
            <v>126</v>
          </cell>
        </row>
        <row r="454">
          <cell r="A454">
            <v>453</v>
          </cell>
          <cell r="B454">
            <v>0.2273</v>
          </cell>
          <cell r="C454">
            <v>0.6</v>
          </cell>
          <cell r="D454">
            <v>0.25369999999999998</v>
          </cell>
          <cell r="E454">
            <v>3</v>
          </cell>
          <cell r="F454">
            <v>54</v>
          </cell>
          <cell r="G454">
            <v>57</v>
          </cell>
        </row>
        <row r="455">
          <cell r="A455">
            <v>454</v>
          </cell>
          <cell r="B455">
            <v>0.21210000000000001</v>
          </cell>
          <cell r="C455">
            <v>0.65</v>
          </cell>
          <cell r="D455">
            <v>0.28360000000000002</v>
          </cell>
          <cell r="E455">
            <v>0</v>
          </cell>
          <cell r="F455">
            <v>56</v>
          </cell>
          <cell r="G455">
            <v>56</v>
          </cell>
        </row>
        <row r="456">
          <cell r="A456">
            <v>455</v>
          </cell>
          <cell r="B456">
            <v>0.21210000000000001</v>
          </cell>
          <cell r="C456">
            <v>0.65</v>
          </cell>
          <cell r="D456">
            <v>0.32840000000000003</v>
          </cell>
          <cell r="E456">
            <v>3</v>
          </cell>
          <cell r="F456">
            <v>28</v>
          </cell>
          <cell r="G456">
            <v>31</v>
          </cell>
        </row>
        <row r="457">
          <cell r="A457">
            <v>456</v>
          </cell>
          <cell r="B457">
            <v>0.2273</v>
          </cell>
          <cell r="C457">
            <v>0.7</v>
          </cell>
          <cell r="D457">
            <v>0.25369999999999998</v>
          </cell>
          <cell r="E457">
            <v>1</v>
          </cell>
          <cell r="F457">
            <v>20</v>
          </cell>
          <cell r="G457">
            <v>21</v>
          </cell>
        </row>
        <row r="458">
          <cell r="A458">
            <v>457</v>
          </cell>
          <cell r="B458">
            <v>0.2273</v>
          </cell>
          <cell r="C458">
            <v>0.7</v>
          </cell>
          <cell r="D458">
            <v>0.25369999999999998</v>
          </cell>
          <cell r="E458">
            <v>0</v>
          </cell>
          <cell r="F458">
            <v>6</v>
          </cell>
          <cell r="G458">
            <v>6</v>
          </cell>
        </row>
        <row r="459">
          <cell r="A459">
            <v>458</v>
          </cell>
          <cell r="B459">
            <v>0.2424</v>
          </cell>
          <cell r="C459">
            <v>0.75</v>
          </cell>
          <cell r="D459">
            <v>0.16420000000000001</v>
          </cell>
          <cell r="E459">
            <v>0</v>
          </cell>
          <cell r="F459">
            <v>2</v>
          </cell>
          <cell r="G459">
            <v>2</v>
          </cell>
        </row>
        <row r="460">
          <cell r="A460">
            <v>459</v>
          </cell>
          <cell r="B460">
            <v>0.21210000000000001</v>
          </cell>
          <cell r="C460">
            <v>0.8</v>
          </cell>
          <cell r="D460">
            <v>0.29849999999999999</v>
          </cell>
          <cell r="E460">
            <v>0</v>
          </cell>
          <cell r="F460">
            <v>1</v>
          </cell>
          <cell r="G460">
            <v>1</v>
          </cell>
        </row>
        <row r="461">
          <cell r="A461">
            <v>460</v>
          </cell>
          <cell r="B461">
            <v>0.2576</v>
          </cell>
          <cell r="C461">
            <v>0.87</v>
          </cell>
          <cell r="D461">
            <v>8.9599999999999999E-2</v>
          </cell>
          <cell r="E461">
            <v>0</v>
          </cell>
          <cell r="F461">
            <v>1</v>
          </cell>
          <cell r="G461">
            <v>1</v>
          </cell>
        </row>
        <row r="462">
          <cell r="A462">
            <v>461</v>
          </cell>
          <cell r="B462">
            <v>0.19700000000000001</v>
          </cell>
          <cell r="C462">
            <v>0.6</v>
          </cell>
          <cell r="D462">
            <v>0.41789999999999999</v>
          </cell>
          <cell r="E462">
            <v>1</v>
          </cell>
          <cell r="F462">
            <v>4</v>
          </cell>
          <cell r="G462">
            <v>5</v>
          </cell>
        </row>
        <row r="463">
          <cell r="A463">
            <v>462</v>
          </cell>
          <cell r="B463">
            <v>0.21210000000000001</v>
          </cell>
          <cell r="C463">
            <v>0.55000000000000004</v>
          </cell>
          <cell r="D463">
            <v>0.25369999999999998</v>
          </cell>
          <cell r="E463">
            <v>0</v>
          </cell>
          <cell r="F463">
            <v>27</v>
          </cell>
          <cell r="G463">
            <v>27</v>
          </cell>
        </row>
        <row r="464">
          <cell r="A464">
            <v>463</v>
          </cell>
          <cell r="B464">
            <v>0.18179999999999999</v>
          </cell>
          <cell r="C464">
            <v>0.51</v>
          </cell>
          <cell r="D464">
            <v>0.28360000000000002</v>
          </cell>
          <cell r="E464">
            <v>2</v>
          </cell>
          <cell r="F464">
            <v>66</v>
          </cell>
          <cell r="G464">
            <v>68</v>
          </cell>
        </row>
        <row r="465">
          <cell r="A465">
            <v>464</v>
          </cell>
          <cell r="B465">
            <v>0.18179999999999999</v>
          </cell>
          <cell r="C465">
            <v>0.47</v>
          </cell>
          <cell r="D465">
            <v>0.32840000000000003</v>
          </cell>
          <cell r="E465">
            <v>7</v>
          </cell>
          <cell r="F465">
            <v>210</v>
          </cell>
          <cell r="G465">
            <v>217</v>
          </cell>
        </row>
        <row r="466">
          <cell r="A466">
            <v>465</v>
          </cell>
          <cell r="B466">
            <v>0.18179999999999999</v>
          </cell>
          <cell r="C466">
            <v>0.51</v>
          </cell>
          <cell r="D466">
            <v>0.35820000000000002</v>
          </cell>
          <cell r="E466">
            <v>7</v>
          </cell>
          <cell r="F466">
            <v>159</v>
          </cell>
          <cell r="G466">
            <v>166</v>
          </cell>
        </row>
        <row r="467">
          <cell r="A467">
            <v>466</v>
          </cell>
          <cell r="B467">
            <v>0.16669999999999999</v>
          </cell>
          <cell r="C467">
            <v>0.47</v>
          </cell>
          <cell r="D467">
            <v>0.4627</v>
          </cell>
          <cell r="E467">
            <v>6</v>
          </cell>
          <cell r="F467">
            <v>57</v>
          </cell>
          <cell r="G467">
            <v>63</v>
          </cell>
        </row>
        <row r="468">
          <cell r="A468">
            <v>467</v>
          </cell>
          <cell r="B468">
            <v>0.18179999999999999</v>
          </cell>
          <cell r="C468">
            <v>0.41</v>
          </cell>
          <cell r="D468">
            <v>0.4627</v>
          </cell>
          <cell r="E468">
            <v>6</v>
          </cell>
          <cell r="F468">
            <v>53</v>
          </cell>
          <cell r="G468">
            <v>59</v>
          </cell>
        </row>
        <row r="469">
          <cell r="A469">
            <v>468</v>
          </cell>
          <cell r="B469">
            <v>0.18179999999999999</v>
          </cell>
          <cell r="C469">
            <v>0.27</v>
          </cell>
          <cell r="D469">
            <v>0.58209999999999995</v>
          </cell>
          <cell r="E469">
            <v>11</v>
          </cell>
          <cell r="F469">
            <v>67</v>
          </cell>
          <cell r="G469">
            <v>78</v>
          </cell>
        </row>
        <row r="470">
          <cell r="A470">
            <v>469</v>
          </cell>
          <cell r="B470">
            <v>0.1515</v>
          </cell>
          <cell r="C470">
            <v>0.21</v>
          </cell>
          <cell r="D470">
            <v>0.58209999999999995</v>
          </cell>
          <cell r="E470">
            <v>8</v>
          </cell>
          <cell r="F470">
            <v>65</v>
          </cell>
          <cell r="G470">
            <v>73</v>
          </cell>
        </row>
        <row r="471">
          <cell r="A471">
            <v>470</v>
          </cell>
          <cell r="B471">
            <v>0.1515</v>
          </cell>
          <cell r="C471">
            <v>0.25</v>
          </cell>
          <cell r="D471">
            <v>0.52239999999999998</v>
          </cell>
          <cell r="E471">
            <v>6</v>
          </cell>
          <cell r="F471">
            <v>56</v>
          </cell>
          <cell r="G471">
            <v>62</v>
          </cell>
        </row>
        <row r="472">
          <cell r="A472">
            <v>471</v>
          </cell>
          <cell r="B472">
            <v>0.1212</v>
          </cell>
          <cell r="C472">
            <v>0.26</v>
          </cell>
          <cell r="D472">
            <v>0.44779999999999998</v>
          </cell>
          <cell r="E472">
            <v>4</v>
          </cell>
          <cell r="F472">
            <v>61</v>
          </cell>
          <cell r="G472">
            <v>65</v>
          </cell>
        </row>
        <row r="473">
          <cell r="A473">
            <v>472</v>
          </cell>
          <cell r="B473">
            <v>0.13639999999999999</v>
          </cell>
          <cell r="C473">
            <v>0.26</v>
          </cell>
          <cell r="D473">
            <v>0.35820000000000002</v>
          </cell>
          <cell r="E473">
            <v>0</v>
          </cell>
          <cell r="F473">
            <v>97</v>
          </cell>
          <cell r="G473">
            <v>97</v>
          </cell>
        </row>
        <row r="474">
          <cell r="A474">
            <v>473</v>
          </cell>
          <cell r="B474">
            <v>0.1212</v>
          </cell>
          <cell r="C474">
            <v>0.28000000000000003</v>
          </cell>
          <cell r="D474">
            <v>0.35820000000000002</v>
          </cell>
          <cell r="E474">
            <v>10</v>
          </cell>
          <cell r="F474">
            <v>151</v>
          </cell>
          <cell r="G474">
            <v>161</v>
          </cell>
        </row>
        <row r="475">
          <cell r="A475">
            <v>474</v>
          </cell>
          <cell r="B475">
            <v>0.1212</v>
          </cell>
          <cell r="C475">
            <v>0.3</v>
          </cell>
          <cell r="D475">
            <v>0.25369999999999998</v>
          </cell>
          <cell r="E475">
            <v>1</v>
          </cell>
          <cell r="F475">
            <v>119</v>
          </cell>
          <cell r="G475">
            <v>120</v>
          </cell>
        </row>
        <row r="476">
          <cell r="A476">
            <v>475</v>
          </cell>
          <cell r="B476">
            <v>0.1061</v>
          </cell>
          <cell r="C476">
            <v>0.3</v>
          </cell>
          <cell r="D476">
            <v>0.32840000000000003</v>
          </cell>
          <cell r="E476">
            <v>3</v>
          </cell>
          <cell r="F476">
            <v>93</v>
          </cell>
          <cell r="G476">
            <v>96</v>
          </cell>
        </row>
        <row r="477">
          <cell r="A477">
            <v>476</v>
          </cell>
          <cell r="B477">
            <v>7.5800000000000006E-2</v>
          </cell>
          <cell r="C477">
            <v>0.33</v>
          </cell>
          <cell r="D477">
            <v>0.41789999999999999</v>
          </cell>
          <cell r="E477">
            <v>1</v>
          </cell>
          <cell r="F477">
            <v>52</v>
          </cell>
          <cell r="G477">
            <v>53</v>
          </cell>
        </row>
        <row r="478">
          <cell r="A478">
            <v>477</v>
          </cell>
          <cell r="B478">
            <v>7.5800000000000006E-2</v>
          </cell>
          <cell r="C478">
            <v>0.38</v>
          </cell>
          <cell r="D478">
            <v>0.28360000000000002</v>
          </cell>
          <cell r="E478">
            <v>0</v>
          </cell>
          <cell r="F478">
            <v>41</v>
          </cell>
          <cell r="G478">
            <v>41</v>
          </cell>
        </row>
        <row r="479">
          <cell r="A479">
            <v>478</v>
          </cell>
          <cell r="B479">
            <v>3.0300000000000001E-2</v>
          </cell>
          <cell r="C479">
            <v>0.41</v>
          </cell>
          <cell r="D479">
            <v>0.3881</v>
          </cell>
          <cell r="E479">
            <v>1</v>
          </cell>
          <cell r="F479">
            <v>33</v>
          </cell>
          <cell r="G479">
            <v>34</v>
          </cell>
        </row>
        <row r="480">
          <cell r="A480">
            <v>479</v>
          </cell>
          <cell r="B480">
            <v>4.5499999999999999E-2</v>
          </cell>
          <cell r="C480">
            <v>0.38</v>
          </cell>
          <cell r="D480">
            <v>0.32840000000000003</v>
          </cell>
          <cell r="E480">
            <v>0</v>
          </cell>
          <cell r="F480">
            <v>27</v>
          </cell>
          <cell r="G480">
            <v>27</v>
          </cell>
        </row>
        <row r="481">
          <cell r="A481">
            <v>480</v>
          </cell>
          <cell r="B481">
            <v>3.0300000000000001E-2</v>
          </cell>
          <cell r="C481">
            <v>0.45</v>
          </cell>
          <cell r="D481">
            <v>0.25369999999999998</v>
          </cell>
          <cell r="E481">
            <v>0</v>
          </cell>
          <cell r="F481">
            <v>13</v>
          </cell>
          <cell r="G481">
            <v>13</v>
          </cell>
        </row>
        <row r="482">
          <cell r="A482">
            <v>481</v>
          </cell>
          <cell r="B482">
            <v>0.19989999999999999</v>
          </cell>
          <cell r="C482">
            <v>0.41</v>
          </cell>
          <cell r="D482">
            <v>0.3881</v>
          </cell>
          <cell r="E482">
            <v>3</v>
          </cell>
          <cell r="F482">
            <v>9</v>
          </cell>
          <cell r="G482">
            <v>12</v>
          </cell>
        </row>
        <row r="483">
          <cell r="A483">
            <v>482</v>
          </cell>
          <cell r="B483">
            <v>3.0300000000000001E-2</v>
          </cell>
          <cell r="C483">
            <v>0.41</v>
          </cell>
          <cell r="D483">
            <v>0.25369999999999998</v>
          </cell>
          <cell r="E483">
            <v>0</v>
          </cell>
          <cell r="F483">
            <v>11</v>
          </cell>
          <cell r="G483">
            <v>11</v>
          </cell>
        </row>
        <row r="484">
          <cell r="A484">
            <v>483</v>
          </cell>
          <cell r="B484">
            <v>3.0300000000000001E-2</v>
          </cell>
          <cell r="C484">
            <v>0.41</v>
          </cell>
          <cell r="D484">
            <v>0.28360000000000002</v>
          </cell>
          <cell r="E484">
            <v>1</v>
          </cell>
          <cell r="F484">
            <v>6</v>
          </cell>
          <cell r="G484">
            <v>7</v>
          </cell>
        </row>
        <row r="485">
          <cell r="A485">
            <v>484</v>
          </cell>
          <cell r="B485">
            <v>1.52E-2</v>
          </cell>
          <cell r="C485">
            <v>0.48</v>
          </cell>
          <cell r="D485">
            <v>0.29849999999999999</v>
          </cell>
          <cell r="E485">
            <v>0</v>
          </cell>
          <cell r="F485">
            <v>3</v>
          </cell>
          <cell r="G485">
            <v>3</v>
          </cell>
        </row>
        <row r="486">
          <cell r="A486">
            <v>485</v>
          </cell>
          <cell r="B486">
            <v>3.0300000000000001E-2</v>
          </cell>
          <cell r="C486">
            <v>0.44</v>
          </cell>
          <cell r="D486">
            <v>0.22389999999999999</v>
          </cell>
          <cell r="E486">
            <v>0</v>
          </cell>
          <cell r="F486">
            <v>2</v>
          </cell>
          <cell r="G486">
            <v>2</v>
          </cell>
        </row>
        <row r="487">
          <cell r="A487">
            <v>486</v>
          </cell>
          <cell r="B487">
            <v>1.52E-2</v>
          </cell>
          <cell r="C487">
            <v>0.44</v>
          </cell>
          <cell r="D487">
            <v>0.28360000000000002</v>
          </cell>
          <cell r="E487">
            <v>0</v>
          </cell>
          <cell r="F487">
            <v>8</v>
          </cell>
          <cell r="G487">
            <v>8</v>
          </cell>
        </row>
        <row r="488">
          <cell r="A488">
            <v>487</v>
          </cell>
          <cell r="B488">
            <v>0.19989999999999999</v>
          </cell>
          <cell r="C488">
            <v>0.44</v>
          </cell>
          <cell r="D488">
            <v>0.32840000000000003</v>
          </cell>
          <cell r="E488">
            <v>1</v>
          </cell>
          <cell r="F488">
            <v>26</v>
          </cell>
          <cell r="G488">
            <v>27</v>
          </cell>
        </row>
        <row r="489">
          <cell r="A489">
            <v>488</v>
          </cell>
          <cell r="B489">
            <v>3.0300000000000001E-2</v>
          </cell>
          <cell r="C489">
            <v>0.41</v>
          </cell>
          <cell r="D489">
            <v>0.25369999999999998</v>
          </cell>
          <cell r="E489">
            <v>3</v>
          </cell>
          <cell r="F489">
            <v>37</v>
          </cell>
          <cell r="G489">
            <v>40</v>
          </cell>
        </row>
        <row r="490">
          <cell r="A490">
            <v>489</v>
          </cell>
          <cell r="B490">
            <v>6.0600000000000001E-2</v>
          </cell>
          <cell r="C490">
            <v>0.41</v>
          </cell>
          <cell r="D490">
            <v>0.16420000000000001</v>
          </cell>
          <cell r="E490">
            <v>3</v>
          </cell>
          <cell r="F490">
            <v>50</v>
          </cell>
          <cell r="G490">
            <v>53</v>
          </cell>
        </row>
        <row r="491">
          <cell r="A491">
            <v>490</v>
          </cell>
          <cell r="B491">
            <v>7.5800000000000006E-2</v>
          </cell>
          <cell r="C491">
            <v>0.38</v>
          </cell>
          <cell r="D491">
            <v>0.1343</v>
          </cell>
          <cell r="E491">
            <v>4</v>
          </cell>
          <cell r="F491">
            <v>59</v>
          </cell>
          <cell r="G491">
            <v>63</v>
          </cell>
        </row>
        <row r="492">
          <cell r="A492">
            <v>491</v>
          </cell>
          <cell r="B492">
            <v>0.1061</v>
          </cell>
          <cell r="C492">
            <v>0.38</v>
          </cell>
          <cell r="D492">
            <v>0.1045</v>
          </cell>
          <cell r="E492">
            <v>10</v>
          </cell>
          <cell r="F492">
            <v>60</v>
          </cell>
          <cell r="G492">
            <v>70</v>
          </cell>
        </row>
        <row r="493">
          <cell r="A493">
            <v>492</v>
          </cell>
          <cell r="B493">
            <v>0.16669999999999999</v>
          </cell>
          <cell r="C493">
            <v>0.35</v>
          </cell>
          <cell r="D493">
            <v>0</v>
          </cell>
          <cell r="E493">
            <v>12</v>
          </cell>
          <cell r="F493">
            <v>72</v>
          </cell>
          <cell r="G493">
            <v>84</v>
          </cell>
        </row>
        <row r="494">
          <cell r="A494">
            <v>493</v>
          </cell>
          <cell r="B494">
            <v>0.13639999999999999</v>
          </cell>
          <cell r="C494">
            <v>0.33</v>
          </cell>
          <cell r="D494">
            <v>0.1045</v>
          </cell>
          <cell r="E494">
            <v>11</v>
          </cell>
          <cell r="F494">
            <v>64</v>
          </cell>
          <cell r="G494">
            <v>75</v>
          </cell>
        </row>
        <row r="495">
          <cell r="A495">
            <v>494</v>
          </cell>
          <cell r="B495">
            <v>0.1515</v>
          </cell>
          <cell r="C495">
            <v>0.28000000000000003</v>
          </cell>
          <cell r="D495">
            <v>0</v>
          </cell>
          <cell r="E495">
            <v>10</v>
          </cell>
          <cell r="F495">
            <v>93</v>
          </cell>
          <cell r="G495">
            <v>103</v>
          </cell>
        </row>
        <row r="496">
          <cell r="A496">
            <v>495</v>
          </cell>
          <cell r="B496">
            <v>0.13639999999999999</v>
          </cell>
          <cell r="C496">
            <v>0.28000000000000003</v>
          </cell>
          <cell r="D496">
            <v>0.19400000000000001</v>
          </cell>
          <cell r="E496">
            <v>11</v>
          </cell>
          <cell r="F496">
            <v>72</v>
          </cell>
          <cell r="G496">
            <v>83</v>
          </cell>
        </row>
        <row r="497">
          <cell r="A497">
            <v>496</v>
          </cell>
          <cell r="B497">
            <v>0.19700000000000001</v>
          </cell>
          <cell r="C497">
            <v>0.28000000000000003</v>
          </cell>
          <cell r="D497">
            <v>0</v>
          </cell>
          <cell r="E497">
            <v>8</v>
          </cell>
          <cell r="F497">
            <v>59</v>
          </cell>
          <cell r="G497">
            <v>67</v>
          </cell>
        </row>
        <row r="498">
          <cell r="A498">
            <v>497</v>
          </cell>
          <cell r="B498">
            <v>9.0899999999999995E-2</v>
          </cell>
          <cell r="C498">
            <v>0.35</v>
          </cell>
          <cell r="D498">
            <v>0.19400000000000001</v>
          </cell>
          <cell r="E498">
            <v>0</v>
          </cell>
          <cell r="F498">
            <v>54</v>
          </cell>
          <cell r="G498">
            <v>54</v>
          </cell>
        </row>
        <row r="499">
          <cell r="A499">
            <v>498</v>
          </cell>
          <cell r="B499">
            <v>0.1061</v>
          </cell>
          <cell r="C499">
            <v>0.35</v>
          </cell>
          <cell r="D499">
            <v>0.1343</v>
          </cell>
          <cell r="E499">
            <v>6</v>
          </cell>
          <cell r="F499">
            <v>53</v>
          </cell>
          <cell r="G499">
            <v>59</v>
          </cell>
        </row>
        <row r="500">
          <cell r="A500">
            <v>499</v>
          </cell>
          <cell r="B500">
            <v>7.5800000000000006E-2</v>
          </cell>
          <cell r="C500">
            <v>0.45</v>
          </cell>
          <cell r="D500">
            <v>0.16420000000000001</v>
          </cell>
          <cell r="E500">
            <v>1</v>
          </cell>
          <cell r="F500">
            <v>44</v>
          </cell>
          <cell r="G500">
            <v>45</v>
          </cell>
        </row>
        <row r="501">
          <cell r="A501">
            <v>500</v>
          </cell>
          <cell r="B501">
            <v>0.1061</v>
          </cell>
          <cell r="C501">
            <v>0.41</v>
          </cell>
          <cell r="D501">
            <v>8.9599999999999999E-2</v>
          </cell>
          <cell r="E501">
            <v>0</v>
          </cell>
          <cell r="F501">
            <v>39</v>
          </cell>
          <cell r="G501">
            <v>39</v>
          </cell>
        </row>
        <row r="502">
          <cell r="A502">
            <v>501</v>
          </cell>
          <cell r="B502">
            <v>0.1515</v>
          </cell>
          <cell r="C502">
            <v>0.49</v>
          </cell>
          <cell r="D502">
            <v>0</v>
          </cell>
          <cell r="E502">
            <v>7</v>
          </cell>
          <cell r="F502">
            <v>23</v>
          </cell>
          <cell r="G502">
            <v>30</v>
          </cell>
        </row>
        <row r="503">
          <cell r="A503">
            <v>502</v>
          </cell>
          <cell r="B503">
            <v>7.5800000000000006E-2</v>
          </cell>
          <cell r="C503">
            <v>0.56999999999999995</v>
          </cell>
          <cell r="D503">
            <v>0.1045</v>
          </cell>
          <cell r="E503">
            <v>2</v>
          </cell>
          <cell r="F503">
            <v>31</v>
          </cell>
          <cell r="G503">
            <v>33</v>
          </cell>
        </row>
        <row r="504">
          <cell r="A504">
            <v>503</v>
          </cell>
          <cell r="B504">
            <v>7.5800000000000006E-2</v>
          </cell>
          <cell r="C504">
            <v>0.56999999999999995</v>
          </cell>
          <cell r="D504">
            <v>0.1045</v>
          </cell>
          <cell r="E504">
            <v>2</v>
          </cell>
          <cell r="F504">
            <v>20</v>
          </cell>
          <cell r="G504">
            <v>22</v>
          </cell>
        </row>
        <row r="505">
          <cell r="A505">
            <v>504</v>
          </cell>
          <cell r="B505">
            <v>7.5800000000000006E-2</v>
          </cell>
          <cell r="C505">
            <v>0.56999999999999995</v>
          </cell>
          <cell r="D505">
            <v>0.1045</v>
          </cell>
          <cell r="E505">
            <v>1</v>
          </cell>
          <cell r="F505">
            <v>12</v>
          </cell>
          <cell r="G505">
            <v>13</v>
          </cell>
        </row>
        <row r="506">
          <cell r="A506">
            <v>505</v>
          </cell>
          <cell r="B506">
            <v>6.0600000000000001E-2</v>
          </cell>
          <cell r="C506">
            <v>0.62</v>
          </cell>
          <cell r="D506">
            <v>0.1343</v>
          </cell>
          <cell r="E506">
            <v>3</v>
          </cell>
          <cell r="F506">
            <v>15</v>
          </cell>
          <cell r="G506">
            <v>18</v>
          </cell>
        </row>
        <row r="507">
          <cell r="A507">
            <v>506</v>
          </cell>
          <cell r="B507">
            <v>6.0600000000000001E-2</v>
          </cell>
          <cell r="C507">
            <v>0.62</v>
          </cell>
          <cell r="D507">
            <v>0.1343</v>
          </cell>
          <cell r="E507">
            <v>1</v>
          </cell>
          <cell r="F507">
            <v>4</v>
          </cell>
          <cell r="G507">
            <v>5</v>
          </cell>
        </row>
        <row r="508">
          <cell r="A508">
            <v>507</v>
          </cell>
          <cell r="B508">
            <v>7.5800000000000006E-2</v>
          </cell>
          <cell r="C508">
            <v>0.56999999999999995</v>
          </cell>
          <cell r="D508">
            <v>0.1045</v>
          </cell>
          <cell r="E508">
            <v>0</v>
          </cell>
          <cell r="F508">
            <v>3</v>
          </cell>
          <cell r="G508">
            <v>3</v>
          </cell>
        </row>
        <row r="509">
          <cell r="A509">
            <v>508</v>
          </cell>
          <cell r="B509">
            <v>7.5800000000000006E-2</v>
          </cell>
          <cell r="C509">
            <v>0.56999999999999995</v>
          </cell>
          <cell r="D509">
            <v>0.1045</v>
          </cell>
          <cell r="E509">
            <v>0</v>
          </cell>
          <cell r="F509">
            <v>1</v>
          </cell>
          <cell r="G509">
            <v>1</v>
          </cell>
        </row>
        <row r="510">
          <cell r="A510">
            <v>509</v>
          </cell>
          <cell r="B510">
            <v>0.1061</v>
          </cell>
          <cell r="C510">
            <v>0.57999999999999996</v>
          </cell>
          <cell r="D510">
            <v>0.16420000000000001</v>
          </cell>
          <cell r="E510">
            <v>1</v>
          </cell>
          <cell r="F510">
            <v>1</v>
          </cell>
          <cell r="G510">
            <v>2</v>
          </cell>
        </row>
        <row r="511">
          <cell r="A511">
            <v>510</v>
          </cell>
          <cell r="B511">
            <v>7.5800000000000006E-2</v>
          </cell>
          <cell r="C511">
            <v>0.62</v>
          </cell>
          <cell r="D511">
            <v>0.16420000000000001</v>
          </cell>
          <cell r="E511">
            <v>2</v>
          </cell>
          <cell r="F511">
            <v>17</v>
          </cell>
          <cell r="G511">
            <v>19</v>
          </cell>
        </row>
        <row r="512">
          <cell r="A512">
            <v>511</v>
          </cell>
          <cell r="B512">
            <v>7.5800000000000006E-2</v>
          </cell>
          <cell r="C512">
            <v>0.54</v>
          </cell>
          <cell r="D512">
            <v>0.35820000000000002</v>
          </cell>
          <cell r="E512">
            <v>3</v>
          </cell>
          <cell r="F512">
            <v>25</v>
          </cell>
          <cell r="G512">
            <v>28</v>
          </cell>
        </row>
        <row r="513">
          <cell r="A513">
            <v>512</v>
          </cell>
          <cell r="B513">
            <v>0.1061</v>
          </cell>
          <cell r="C513">
            <v>0.46</v>
          </cell>
          <cell r="D513">
            <v>0.3881</v>
          </cell>
          <cell r="E513">
            <v>7</v>
          </cell>
          <cell r="F513">
            <v>51</v>
          </cell>
          <cell r="G513">
            <v>58</v>
          </cell>
        </row>
        <row r="514">
          <cell r="A514">
            <v>513</v>
          </cell>
          <cell r="B514">
            <v>0.13639999999999999</v>
          </cell>
          <cell r="C514">
            <v>0.43</v>
          </cell>
          <cell r="D514">
            <v>0.22389999999999999</v>
          </cell>
          <cell r="E514">
            <v>22</v>
          </cell>
          <cell r="F514">
            <v>77</v>
          </cell>
          <cell r="G514">
            <v>99</v>
          </cell>
        </row>
        <row r="515">
          <cell r="A515">
            <v>514</v>
          </cell>
          <cell r="B515">
            <v>0.1212</v>
          </cell>
          <cell r="C515">
            <v>0.37</v>
          </cell>
          <cell r="D515">
            <v>0.4627</v>
          </cell>
          <cell r="E515">
            <v>24</v>
          </cell>
          <cell r="F515">
            <v>92</v>
          </cell>
          <cell r="G515">
            <v>116</v>
          </cell>
        </row>
        <row r="516">
          <cell r="A516">
            <v>515</v>
          </cell>
          <cell r="B516">
            <v>0.1061</v>
          </cell>
          <cell r="C516">
            <v>0.33</v>
          </cell>
          <cell r="D516">
            <v>0.3881</v>
          </cell>
          <cell r="E516">
            <v>12</v>
          </cell>
          <cell r="F516">
            <v>75</v>
          </cell>
          <cell r="G516">
            <v>87</v>
          </cell>
        </row>
        <row r="517">
          <cell r="A517">
            <v>516</v>
          </cell>
          <cell r="B517">
            <v>0.13639999999999999</v>
          </cell>
          <cell r="C517">
            <v>0.28000000000000003</v>
          </cell>
          <cell r="D517">
            <v>0.35820000000000002</v>
          </cell>
          <cell r="E517">
            <v>17</v>
          </cell>
          <cell r="F517">
            <v>93</v>
          </cell>
          <cell r="G517">
            <v>110</v>
          </cell>
        </row>
        <row r="518">
          <cell r="A518">
            <v>517</v>
          </cell>
          <cell r="B518">
            <v>0.13639999999999999</v>
          </cell>
          <cell r="C518">
            <v>0.28000000000000003</v>
          </cell>
          <cell r="D518">
            <v>0.35820000000000002</v>
          </cell>
          <cell r="E518">
            <v>13</v>
          </cell>
          <cell r="F518">
            <v>64</v>
          </cell>
          <cell r="G518">
            <v>77</v>
          </cell>
        </row>
        <row r="519">
          <cell r="A519">
            <v>518</v>
          </cell>
          <cell r="B519">
            <v>0.13639999999999999</v>
          </cell>
          <cell r="C519">
            <v>0.26</v>
          </cell>
          <cell r="D519">
            <v>0.32840000000000003</v>
          </cell>
          <cell r="E519">
            <v>9</v>
          </cell>
          <cell r="F519">
            <v>56</v>
          </cell>
          <cell r="G519">
            <v>65</v>
          </cell>
        </row>
        <row r="520">
          <cell r="A520">
            <v>519</v>
          </cell>
          <cell r="B520">
            <v>0.1061</v>
          </cell>
          <cell r="C520">
            <v>0.26</v>
          </cell>
          <cell r="D520">
            <v>0.3881</v>
          </cell>
          <cell r="E520">
            <v>5</v>
          </cell>
          <cell r="F520">
            <v>50</v>
          </cell>
          <cell r="G520">
            <v>55</v>
          </cell>
        </row>
        <row r="521">
          <cell r="A521">
            <v>520</v>
          </cell>
          <cell r="B521">
            <v>0.1212</v>
          </cell>
          <cell r="C521">
            <v>0.3</v>
          </cell>
          <cell r="D521">
            <v>0.25369999999999998</v>
          </cell>
          <cell r="E521">
            <v>5</v>
          </cell>
          <cell r="F521">
            <v>44</v>
          </cell>
          <cell r="G521">
            <v>49</v>
          </cell>
        </row>
        <row r="522">
          <cell r="A522">
            <v>521</v>
          </cell>
          <cell r="B522">
            <v>0.1212</v>
          </cell>
          <cell r="C522">
            <v>0.3</v>
          </cell>
          <cell r="D522">
            <v>0.28360000000000002</v>
          </cell>
          <cell r="E522">
            <v>5</v>
          </cell>
          <cell r="F522">
            <v>45</v>
          </cell>
          <cell r="G522">
            <v>50</v>
          </cell>
        </row>
        <row r="523">
          <cell r="A523">
            <v>522</v>
          </cell>
          <cell r="B523">
            <v>0.1061</v>
          </cell>
          <cell r="C523">
            <v>0.36</v>
          </cell>
          <cell r="D523">
            <v>0.25369999999999998</v>
          </cell>
          <cell r="E523">
            <v>4</v>
          </cell>
          <cell r="F523">
            <v>31</v>
          </cell>
          <cell r="G523">
            <v>35</v>
          </cell>
        </row>
        <row r="524">
          <cell r="A524">
            <v>523</v>
          </cell>
          <cell r="B524">
            <v>0.1061</v>
          </cell>
          <cell r="C524">
            <v>0.36</v>
          </cell>
          <cell r="D524">
            <v>0.19400000000000001</v>
          </cell>
          <cell r="E524">
            <v>5</v>
          </cell>
          <cell r="F524">
            <v>20</v>
          </cell>
          <cell r="G524">
            <v>25</v>
          </cell>
        </row>
        <row r="525">
          <cell r="A525">
            <v>524</v>
          </cell>
          <cell r="B525">
            <v>9.0899999999999995E-2</v>
          </cell>
          <cell r="C525">
            <v>0.38</v>
          </cell>
          <cell r="D525">
            <v>0.19400000000000001</v>
          </cell>
          <cell r="E525">
            <v>5</v>
          </cell>
          <cell r="F525">
            <v>23</v>
          </cell>
          <cell r="G525">
            <v>28</v>
          </cell>
        </row>
        <row r="526">
          <cell r="A526">
            <v>525</v>
          </cell>
          <cell r="B526">
            <v>6.0600000000000001E-2</v>
          </cell>
          <cell r="C526">
            <v>0.41</v>
          </cell>
          <cell r="D526">
            <v>0.22389999999999999</v>
          </cell>
          <cell r="E526">
            <v>4</v>
          </cell>
          <cell r="F526">
            <v>17</v>
          </cell>
          <cell r="G526">
            <v>21</v>
          </cell>
        </row>
        <row r="527">
          <cell r="A527">
            <v>526</v>
          </cell>
          <cell r="B527">
            <v>6.0600000000000001E-2</v>
          </cell>
          <cell r="C527">
            <v>0.41</v>
          </cell>
          <cell r="D527">
            <v>0.19400000000000001</v>
          </cell>
          <cell r="E527">
            <v>0</v>
          </cell>
          <cell r="F527">
            <v>7</v>
          </cell>
          <cell r="G527">
            <v>7</v>
          </cell>
        </row>
        <row r="528">
          <cell r="A528">
            <v>527</v>
          </cell>
          <cell r="B528">
            <v>4.5499999999999999E-2</v>
          </cell>
          <cell r="C528">
            <v>0.45</v>
          </cell>
          <cell r="D528">
            <v>0.19400000000000001</v>
          </cell>
          <cell r="E528">
            <v>0</v>
          </cell>
          <cell r="F528">
            <v>1</v>
          </cell>
          <cell r="G528">
            <v>1</v>
          </cell>
        </row>
        <row r="529">
          <cell r="A529">
            <v>528</v>
          </cell>
          <cell r="B529">
            <v>3.0300000000000001E-2</v>
          </cell>
          <cell r="C529">
            <v>0.45</v>
          </cell>
          <cell r="D529">
            <v>0.25369999999999998</v>
          </cell>
          <cell r="E529">
            <v>0</v>
          </cell>
          <cell r="F529">
            <v>1</v>
          </cell>
          <cell r="G529">
            <v>1</v>
          </cell>
        </row>
        <row r="530">
          <cell r="A530">
            <v>529</v>
          </cell>
          <cell r="B530">
            <v>6.0600000000000001E-2</v>
          </cell>
          <cell r="C530">
            <v>0.48</v>
          </cell>
          <cell r="D530">
            <v>0.1343</v>
          </cell>
          <cell r="E530">
            <v>0</v>
          </cell>
          <cell r="F530">
            <v>1</v>
          </cell>
          <cell r="G530">
            <v>1</v>
          </cell>
        </row>
        <row r="531">
          <cell r="A531">
            <v>530</v>
          </cell>
          <cell r="B531">
            <v>6.0600000000000001E-2</v>
          </cell>
          <cell r="C531">
            <v>0.48</v>
          </cell>
          <cell r="D531">
            <v>0.1343</v>
          </cell>
          <cell r="E531">
            <v>0</v>
          </cell>
          <cell r="F531">
            <v>5</v>
          </cell>
          <cell r="G531">
            <v>5</v>
          </cell>
        </row>
        <row r="532">
          <cell r="A532">
            <v>531</v>
          </cell>
          <cell r="B532">
            <v>7.5800000000000006E-2</v>
          </cell>
          <cell r="C532">
            <v>0.48</v>
          </cell>
          <cell r="D532">
            <v>8.9599999999999999E-2</v>
          </cell>
          <cell r="E532">
            <v>0</v>
          </cell>
          <cell r="F532">
            <v>15</v>
          </cell>
          <cell r="G532">
            <v>15</v>
          </cell>
        </row>
        <row r="533">
          <cell r="A533">
            <v>532</v>
          </cell>
          <cell r="B533">
            <v>0.1212</v>
          </cell>
          <cell r="C533">
            <v>0.48</v>
          </cell>
          <cell r="D533">
            <v>0</v>
          </cell>
          <cell r="E533">
            <v>5</v>
          </cell>
          <cell r="F533">
            <v>79</v>
          </cell>
          <cell r="G533">
            <v>84</v>
          </cell>
        </row>
        <row r="534">
          <cell r="A534">
            <v>533</v>
          </cell>
          <cell r="B534">
            <v>0.13639999999999999</v>
          </cell>
          <cell r="C534">
            <v>0.49</v>
          </cell>
          <cell r="D534">
            <v>0</v>
          </cell>
          <cell r="E534">
            <v>6</v>
          </cell>
          <cell r="F534">
            <v>171</v>
          </cell>
          <cell r="G534">
            <v>177</v>
          </cell>
        </row>
        <row r="535">
          <cell r="A535">
            <v>534</v>
          </cell>
          <cell r="B535">
            <v>0.1515</v>
          </cell>
          <cell r="C535">
            <v>0.41</v>
          </cell>
          <cell r="D535">
            <v>0</v>
          </cell>
          <cell r="E535">
            <v>4</v>
          </cell>
          <cell r="F535">
            <v>98</v>
          </cell>
          <cell r="G535">
            <v>102</v>
          </cell>
        </row>
        <row r="536">
          <cell r="A536">
            <v>535</v>
          </cell>
          <cell r="B536">
            <v>0.13639999999999999</v>
          </cell>
          <cell r="C536">
            <v>0.42</v>
          </cell>
          <cell r="D536">
            <v>0</v>
          </cell>
          <cell r="E536">
            <v>6</v>
          </cell>
          <cell r="F536">
            <v>34</v>
          </cell>
          <cell r="G536">
            <v>40</v>
          </cell>
        </row>
        <row r="537">
          <cell r="A537">
            <v>536</v>
          </cell>
          <cell r="B537">
            <v>0.1212</v>
          </cell>
          <cell r="C537">
            <v>0.46</v>
          </cell>
          <cell r="D537">
            <v>0.1343</v>
          </cell>
          <cell r="E537">
            <v>3</v>
          </cell>
          <cell r="F537">
            <v>43</v>
          </cell>
          <cell r="G537">
            <v>46</v>
          </cell>
        </row>
        <row r="538">
          <cell r="A538">
            <v>537</v>
          </cell>
          <cell r="B538">
            <v>0.13639999999999999</v>
          </cell>
          <cell r="C538">
            <v>0.42</v>
          </cell>
          <cell r="D538">
            <v>0.19400000000000001</v>
          </cell>
          <cell r="E538">
            <v>11</v>
          </cell>
          <cell r="F538">
            <v>52</v>
          </cell>
          <cell r="G538">
            <v>63</v>
          </cell>
        </row>
        <row r="539">
          <cell r="A539">
            <v>538</v>
          </cell>
          <cell r="B539">
            <v>0.13639999999999999</v>
          </cell>
          <cell r="C539">
            <v>0.43</v>
          </cell>
          <cell r="D539">
            <v>0.22389999999999999</v>
          </cell>
          <cell r="E539">
            <v>6</v>
          </cell>
          <cell r="F539">
            <v>54</v>
          </cell>
          <cell r="G539">
            <v>60</v>
          </cell>
        </row>
        <row r="540">
          <cell r="A540">
            <v>539</v>
          </cell>
          <cell r="B540">
            <v>0.13639999999999999</v>
          </cell>
          <cell r="C540">
            <v>0.46</v>
          </cell>
          <cell r="D540">
            <v>0.22389999999999999</v>
          </cell>
          <cell r="E540">
            <v>2</v>
          </cell>
          <cell r="F540">
            <v>43</v>
          </cell>
          <cell r="G540">
            <v>45</v>
          </cell>
        </row>
        <row r="541">
          <cell r="A541">
            <v>540</v>
          </cell>
          <cell r="B541">
            <v>0.16669999999999999</v>
          </cell>
          <cell r="C541">
            <v>0.4</v>
          </cell>
          <cell r="D541">
            <v>0.16420000000000001</v>
          </cell>
          <cell r="E541">
            <v>7</v>
          </cell>
          <cell r="F541">
            <v>50</v>
          </cell>
          <cell r="G541">
            <v>57</v>
          </cell>
        </row>
        <row r="542">
          <cell r="A542">
            <v>541</v>
          </cell>
          <cell r="B542">
            <v>0.1515</v>
          </cell>
          <cell r="C542">
            <v>0.47</v>
          </cell>
          <cell r="D542">
            <v>0.25369999999999998</v>
          </cell>
          <cell r="E542">
            <v>4</v>
          </cell>
          <cell r="F542">
            <v>66</v>
          </cell>
          <cell r="G542">
            <v>70</v>
          </cell>
        </row>
        <row r="543">
          <cell r="A543">
            <v>542</v>
          </cell>
          <cell r="B543">
            <v>0.1212</v>
          </cell>
          <cell r="C543">
            <v>0.5</v>
          </cell>
          <cell r="D543">
            <v>0.25369999999999998</v>
          </cell>
          <cell r="E543">
            <v>6</v>
          </cell>
          <cell r="F543">
            <v>178</v>
          </cell>
          <cell r="G543">
            <v>184</v>
          </cell>
        </row>
        <row r="544">
          <cell r="A544">
            <v>543</v>
          </cell>
          <cell r="B544">
            <v>0.13639999999999999</v>
          </cell>
          <cell r="C544">
            <v>0.59</v>
          </cell>
          <cell r="D544">
            <v>0.19400000000000001</v>
          </cell>
          <cell r="E544">
            <v>8</v>
          </cell>
          <cell r="F544">
            <v>145</v>
          </cell>
          <cell r="G544">
            <v>153</v>
          </cell>
        </row>
        <row r="545">
          <cell r="A545">
            <v>544</v>
          </cell>
          <cell r="B545">
            <v>0.1515</v>
          </cell>
          <cell r="C545">
            <v>0.54</v>
          </cell>
          <cell r="D545">
            <v>0.16420000000000001</v>
          </cell>
          <cell r="E545">
            <v>5</v>
          </cell>
          <cell r="F545">
            <v>101</v>
          </cell>
          <cell r="G545">
            <v>106</v>
          </cell>
        </row>
        <row r="546">
          <cell r="A546">
            <v>545</v>
          </cell>
          <cell r="B546">
            <v>0.13639999999999999</v>
          </cell>
          <cell r="C546">
            <v>0.59</v>
          </cell>
          <cell r="D546">
            <v>0.19400000000000001</v>
          </cell>
          <cell r="E546">
            <v>1</v>
          </cell>
          <cell r="F546">
            <v>80</v>
          </cell>
          <cell r="G546">
            <v>81</v>
          </cell>
        </row>
        <row r="547">
          <cell r="A547">
            <v>546</v>
          </cell>
          <cell r="B547">
            <v>0.1515</v>
          </cell>
          <cell r="C547">
            <v>0.63</v>
          </cell>
          <cell r="D547">
            <v>0.16420000000000001</v>
          </cell>
          <cell r="E547">
            <v>6</v>
          </cell>
          <cell r="F547">
            <v>53</v>
          </cell>
          <cell r="G547">
            <v>59</v>
          </cell>
        </row>
        <row r="548">
          <cell r="A548">
            <v>547</v>
          </cell>
          <cell r="B548">
            <v>0.13639999999999999</v>
          </cell>
          <cell r="C548">
            <v>0.63</v>
          </cell>
          <cell r="D548">
            <v>0.22389999999999999</v>
          </cell>
          <cell r="E548">
            <v>3</v>
          </cell>
          <cell r="F548">
            <v>32</v>
          </cell>
          <cell r="G548">
            <v>35</v>
          </cell>
        </row>
        <row r="549">
          <cell r="A549">
            <v>548</v>
          </cell>
          <cell r="B549">
            <v>0.1515</v>
          </cell>
          <cell r="C549">
            <v>0.64</v>
          </cell>
          <cell r="D549">
            <v>0.25369999999999998</v>
          </cell>
          <cell r="E549">
            <v>3</v>
          </cell>
          <cell r="F549">
            <v>21</v>
          </cell>
          <cell r="G549">
            <v>24</v>
          </cell>
        </row>
        <row r="550">
          <cell r="A550">
            <v>549</v>
          </cell>
          <cell r="B550">
            <v>0.13639999999999999</v>
          </cell>
          <cell r="C550">
            <v>0.69</v>
          </cell>
          <cell r="D550">
            <v>0.28360000000000002</v>
          </cell>
          <cell r="E550">
            <v>3</v>
          </cell>
          <cell r="F550">
            <v>6</v>
          </cell>
          <cell r="G550">
            <v>9</v>
          </cell>
        </row>
        <row r="551">
          <cell r="A551">
            <v>550</v>
          </cell>
          <cell r="B551">
            <v>0.16669999999999999</v>
          </cell>
          <cell r="C551">
            <v>0.69</v>
          </cell>
          <cell r="D551">
            <v>0.16420000000000001</v>
          </cell>
          <cell r="E551">
            <v>0</v>
          </cell>
          <cell r="F551">
            <v>5</v>
          </cell>
          <cell r="G551">
            <v>5</v>
          </cell>
        </row>
        <row r="552">
          <cell r="A552">
            <v>551</v>
          </cell>
          <cell r="B552">
            <v>0.1515</v>
          </cell>
          <cell r="C552">
            <v>0.69</v>
          </cell>
          <cell r="D552">
            <v>0.22389999999999999</v>
          </cell>
          <cell r="E552">
            <v>0</v>
          </cell>
          <cell r="F552">
            <v>2</v>
          </cell>
          <cell r="G552">
            <v>2</v>
          </cell>
        </row>
        <row r="553">
          <cell r="A553">
            <v>552</v>
          </cell>
          <cell r="B553">
            <v>0.16669999999999999</v>
          </cell>
          <cell r="C553">
            <v>0.74</v>
          </cell>
          <cell r="D553">
            <v>0.1045</v>
          </cell>
          <cell r="E553">
            <v>0</v>
          </cell>
          <cell r="F553">
            <v>1</v>
          </cell>
          <cell r="G553">
            <v>1</v>
          </cell>
        </row>
        <row r="554">
          <cell r="A554">
            <v>553</v>
          </cell>
          <cell r="B554">
            <v>0.13639999999999999</v>
          </cell>
          <cell r="C554">
            <v>0.74</v>
          </cell>
          <cell r="D554">
            <v>0.22389999999999999</v>
          </cell>
          <cell r="E554">
            <v>0</v>
          </cell>
          <cell r="F554">
            <v>9</v>
          </cell>
          <cell r="G554">
            <v>9</v>
          </cell>
        </row>
        <row r="555">
          <cell r="A555">
            <v>554</v>
          </cell>
          <cell r="B555">
            <v>0.18179999999999999</v>
          </cell>
          <cell r="C555">
            <v>0.74</v>
          </cell>
          <cell r="D555">
            <v>0.1045</v>
          </cell>
          <cell r="E555">
            <v>1</v>
          </cell>
          <cell r="F555">
            <v>35</v>
          </cell>
          <cell r="G555">
            <v>36</v>
          </cell>
        </row>
        <row r="556">
          <cell r="A556">
            <v>555</v>
          </cell>
          <cell r="B556">
            <v>0.1515</v>
          </cell>
          <cell r="C556">
            <v>0.74</v>
          </cell>
          <cell r="D556">
            <v>0.22389999999999999</v>
          </cell>
          <cell r="E556">
            <v>5</v>
          </cell>
          <cell r="F556">
            <v>103</v>
          </cell>
          <cell r="G556">
            <v>108</v>
          </cell>
        </row>
        <row r="557">
          <cell r="A557">
            <v>556</v>
          </cell>
          <cell r="B557">
            <v>0.18179999999999999</v>
          </cell>
          <cell r="C557">
            <v>0.74</v>
          </cell>
          <cell r="D557">
            <v>0.1343</v>
          </cell>
          <cell r="E557">
            <v>5</v>
          </cell>
          <cell r="F557">
            <v>233</v>
          </cell>
          <cell r="G557">
            <v>238</v>
          </cell>
        </row>
        <row r="558">
          <cell r="A558">
            <v>557</v>
          </cell>
          <cell r="B558">
            <v>0.2273</v>
          </cell>
          <cell r="C558">
            <v>0.64</v>
          </cell>
          <cell r="D558">
            <v>8.9599999999999999E-2</v>
          </cell>
          <cell r="E558">
            <v>10</v>
          </cell>
          <cell r="F558">
            <v>134</v>
          </cell>
          <cell r="G558">
            <v>144</v>
          </cell>
        </row>
        <row r="559">
          <cell r="A559">
            <v>558</v>
          </cell>
          <cell r="B559">
            <v>0.2424</v>
          </cell>
          <cell r="C559">
            <v>0.6</v>
          </cell>
          <cell r="D559">
            <v>0.1045</v>
          </cell>
          <cell r="E559">
            <v>6</v>
          </cell>
          <cell r="F559">
            <v>49</v>
          </cell>
          <cell r="G559">
            <v>55</v>
          </cell>
        </row>
        <row r="560">
          <cell r="A560">
            <v>559</v>
          </cell>
          <cell r="B560">
            <v>0.2424</v>
          </cell>
          <cell r="C560">
            <v>0.6</v>
          </cell>
          <cell r="D560">
            <v>0.1343</v>
          </cell>
          <cell r="E560">
            <v>6</v>
          </cell>
          <cell r="F560">
            <v>55</v>
          </cell>
          <cell r="G560">
            <v>61</v>
          </cell>
        </row>
        <row r="561">
          <cell r="A561">
            <v>560</v>
          </cell>
          <cell r="B561">
            <v>0.28789999999999999</v>
          </cell>
          <cell r="C561">
            <v>0.56000000000000005</v>
          </cell>
          <cell r="D561">
            <v>8.9599999999999999E-2</v>
          </cell>
          <cell r="E561">
            <v>21</v>
          </cell>
          <cell r="F561">
            <v>85</v>
          </cell>
          <cell r="G561">
            <v>106</v>
          </cell>
        </row>
        <row r="562">
          <cell r="A562">
            <v>561</v>
          </cell>
          <cell r="B562">
            <v>0.2727</v>
          </cell>
          <cell r="C562">
            <v>0.56000000000000005</v>
          </cell>
          <cell r="D562">
            <v>0.1343</v>
          </cell>
          <cell r="E562">
            <v>21</v>
          </cell>
          <cell r="F562">
            <v>72</v>
          </cell>
          <cell r="G562">
            <v>93</v>
          </cell>
        </row>
        <row r="563">
          <cell r="A563">
            <v>562</v>
          </cell>
          <cell r="B563">
            <v>0.33329999999999999</v>
          </cell>
          <cell r="C563">
            <v>0.45</v>
          </cell>
          <cell r="D563">
            <v>0</v>
          </cell>
          <cell r="E563">
            <v>11</v>
          </cell>
          <cell r="F563">
            <v>57</v>
          </cell>
          <cell r="G563">
            <v>68</v>
          </cell>
        </row>
        <row r="564">
          <cell r="A564">
            <v>563</v>
          </cell>
          <cell r="B564">
            <v>0.34849999999999998</v>
          </cell>
          <cell r="C564">
            <v>0.42</v>
          </cell>
          <cell r="D564">
            <v>0</v>
          </cell>
          <cell r="E564">
            <v>21</v>
          </cell>
          <cell r="F564">
            <v>63</v>
          </cell>
          <cell r="G564">
            <v>84</v>
          </cell>
        </row>
        <row r="565">
          <cell r="A565">
            <v>564</v>
          </cell>
          <cell r="B565">
            <v>0.34849999999999998</v>
          </cell>
          <cell r="C565">
            <v>0.42</v>
          </cell>
          <cell r="D565">
            <v>0</v>
          </cell>
          <cell r="E565">
            <v>14</v>
          </cell>
          <cell r="F565">
            <v>102</v>
          </cell>
          <cell r="G565">
            <v>116</v>
          </cell>
        </row>
        <row r="566">
          <cell r="A566">
            <v>565</v>
          </cell>
          <cell r="B566">
            <v>0.33329999999999999</v>
          </cell>
          <cell r="C566">
            <v>0.45</v>
          </cell>
          <cell r="D566">
            <v>0</v>
          </cell>
          <cell r="E566">
            <v>14</v>
          </cell>
          <cell r="F566">
            <v>208</v>
          </cell>
          <cell r="G566">
            <v>222</v>
          </cell>
        </row>
        <row r="567">
          <cell r="A567">
            <v>566</v>
          </cell>
          <cell r="B567">
            <v>0.31819999999999998</v>
          </cell>
          <cell r="C567">
            <v>0.49</v>
          </cell>
          <cell r="D567">
            <v>8.9599999999999999E-2</v>
          </cell>
          <cell r="E567">
            <v>7</v>
          </cell>
          <cell r="F567">
            <v>218</v>
          </cell>
          <cell r="G567">
            <v>225</v>
          </cell>
        </row>
        <row r="568">
          <cell r="A568">
            <v>567</v>
          </cell>
          <cell r="B568">
            <v>0.2576</v>
          </cell>
          <cell r="C568">
            <v>0.65</v>
          </cell>
          <cell r="D568">
            <v>0.16420000000000001</v>
          </cell>
          <cell r="E568">
            <v>13</v>
          </cell>
          <cell r="F568">
            <v>133</v>
          </cell>
          <cell r="G568">
            <v>146</v>
          </cell>
        </row>
        <row r="569">
          <cell r="A569">
            <v>568</v>
          </cell>
          <cell r="B569">
            <v>0.2273</v>
          </cell>
          <cell r="C569">
            <v>0.65</v>
          </cell>
          <cell r="D569">
            <v>0.19400000000000001</v>
          </cell>
          <cell r="E569">
            <v>16</v>
          </cell>
          <cell r="F569">
            <v>103</v>
          </cell>
          <cell r="G569">
            <v>119</v>
          </cell>
        </row>
        <row r="570">
          <cell r="A570">
            <v>569</v>
          </cell>
          <cell r="B570">
            <v>0.2273</v>
          </cell>
          <cell r="C570">
            <v>0.65</v>
          </cell>
          <cell r="D570">
            <v>0.19400000000000001</v>
          </cell>
          <cell r="E570">
            <v>5</v>
          </cell>
          <cell r="F570">
            <v>40</v>
          </cell>
          <cell r="G570">
            <v>45</v>
          </cell>
        </row>
        <row r="571">
          <cell r="A571">
            <v>570</v>
          </cell>
          <cell r="B571">
            <v>0.2273</v>
          </cell>
          <cell r="C571">
            <v>0.64</v>
          </cell>
          <cell r="D571">
            <v>0.16420000000000001</v>
          </cell>
          <cell r="E571">
            <v>4</v>
          </cell>
          <cell r="F571">
            <v>49</v>
          </cell>
          <cell r="G571">
            <v>53</v>
          </cell>
        </row>
        <row r="572">
          <cell r="A572">
            <v>571</v>
          </cell>
          <cell r="B572">
            <v>0.2273</v>
          </cell>
          <cell r="C572">
            <v>0.64</v>
          </cell>
          <cell r="D572">
            <v>0.16420000000000001</v>
          </cell>
          <cell r="E572">
            <v>3</v>
          </cell>
          <cell r="F572">
            <v>37</v>
          </cell>
          <cell r="G572">
            <v>40</v>
          </cell>
        </row>
        <row r="573">
          <cell r="A573">
            <v>572</v>
          </cell>
          <cell r="B573">
            <v>0.2273</v>
          </cell>
          <cell r="C573">
            <v>0.69</v>
          </cell>
          <cell r="D573">
            <v>0.1343</v>
          </cell>
          <cell r="E573">
            <v>3</v>
          </cell>
          <cell r="F573">
            <v>14</v>
          </cell>
          <cell r="G573">
            <v>17</v>
          </cell>
        </row>
        <row r="574">
          <cell r="A574">
            <v>573</v>
          </cell>
          <cell r="B574">
            <v>0.2424</v>
          </cell>
          <cell r="C574">
            <v>0.65</v>
          </cell>
          <cell r="D574">
            <v>0.1343</v>
          </cell>
          <cell r="E574">
            <v>0</v>
          </cell>
          <cell r="F574">
            <v>5</v>
          </cell>
          <cell r="G574">
            <v>5</v>
          </cell>
        </row>
        <row r="575">
          <cell r="A575">
            <v>574</v>
          </cell>
          <cell r="B575">
            <v>0.2273</v>
          </cell>
          <cell r="C575">
            <v>0.69</v>
          </cell>
          <cell r="D575">
            <v>0.19400000000000001</v>
          </cell>
          <cell r="E575">
            <v>3</v>
          </cell>
          <cell r="F575">
            <v>7</v>
          </cell>
          <cell r="G575">
            <v>10</v>
          </cell>
        </row>
        <row r="576">
          <cell r="A576">
            <v>575</v>
          </cell>
          <cell r="B576">
            <v>0.18179999999999999</v>
          </cell>
          <cell r="C576">
            <v>0.86</v>
          </cell>
          <cell r="D576">
            <v>0.28360000000000002</v>
          </cell>
          <cell r="E576">
            <v>0</v>
          </cell>
          <cell r="F576">
            <v>1</v>
          </cell>
          <cell r="G576">
            <v>1</v>
          </cell>
        </row>
        <row r="577">
          <cell r="A577">
            <v>576</v>
          </cell>
          <cell r="B577">
            <v>0.18179999999999999</v>
          </cell>
          <cell r="C577">
            <v>0.86</v>
          </cell>
          <cell r="D577">
            <v>0.28360000000000002</v>
          </cell>
          <cell r="E577">
            <v>0</v>
          </cell>
          <cell r="F577">
            <v>8</v>
          </cell>
          <cell r="G577">
            <v>8</v>
          </cell>
        </row>
        <row r="578">
          <cell r="A578">
            <v>577</v>
          </cell>
          <cell r="B578">
            <v>0.21210000000000001</v>
          </cell>
          <cell r="C578">
            <v>0.87</v>
          </cell>
          <cell r="D578">
            <v>0.29849999999999999</v>
          </cell>
          <cell r="E578">
            <v>1</v>
          </cell>
          <cell r="F578">
            <v>29</v>
          </cell>
          <cell r="G578">
            <v>30</v>
          </cell>
        </row>
        <row r="579">
          <cell r="A579">
            <v>578</v>
          </cell>
          <cell r="B579">
            <v>0.21210000000000001</v>
          </cell>
          <cell r="C579">
            <v>0.87</v>
          </cell>
          <cell r="D579">
            <v>0.29849999999999999</v>
          </cell>
          <cell r="E579">
            <v>3</v>
          </cell>
          <cell r="F579">
            <v>69</v>
          </cell>
          <cell r="G579">
            <v>72</v>
          </cell>
        </row>
        <row r="580">
          <cell r="A580">
            <v>579</v>
          </cell>
          <cell r="B580">
            <v>0.21210000000000001</v>
          </cell>
          <cell r="C580">
            <v>0.87</v>
          </cell>
          <cell r="D580">
            <v>0.29849999999999999</v>
          </cell>
          <cell r="E580">
            <v>3</v>
          </cell>
          <cell r="F580">
            <v>55</v>
          </cell>
          <cell r="G580">
            <v>58</v>
          </cell>
        </row>
        <row r="581">
          <cell r="A581">
            <v>580</v>
          </cell>
          <cell r="B581">
            <v>0.21210000000000001</v>
          </cell>
          <cell r="C581">
            <v>0.93</v>
          </cell>
          <cell r="D581">
            <v>0.28360000000000002</v>
          </cell>
          <cell r="E581">
            <v>2</v>
          </cell>
          <cell r="F581">
            <v>26</v>
          </cell>
          <cell r="G581">
            <v>28</v>
          </cell>
        </row>
        <row r="582">
          <cell r="A582">
            <v>581</v>
          </cell>
          <cell r="B582">
            <v>0.19700000000000001</v>
          </cell>
          <cell r="C582">
            <v>0.93</v>
          </cell>
          <cell r="D582">
            <v>0.32840000000000003</v>
          </cell>
          <cell r="E582">
            <v>6</v>
          </cell>
          <cell r="F582">
            <v>35</v>
          </cell>
          <cell r="G582">
            <v>41</v>
          </cell>
        </row>
        <row r="583">
          <cell r="A583">
            <v>582</v>
          </cell>
          <cell r="B583">
            <v>0.19700000000000001</v>
          </cell>
          <cell r="C583">
            <v>0.93</v>
          </cell>
          <cell r="D583">
            <v>0.32840000000000003</v>
          </cell>
          <cell r="E583">
            <v>7</v>
          </cell>
          <cell r="F583">
            <v>41</v>
          </cell>
          <cell r="G583">
            <v>48</v>
          </cell>
        </row>
        <row r="584">
          <cell r="A584">
            <v>583</v>
          </cell>
          <cell r="B584">
            <v>0.19700000000000001</v>
          </cell>
          <cell r="C584">
            <v>0.93</v>
          </cell>
          <cell r="D584">
            <v>0.32840000000000003</v>
          </cell>
          <cell r="E584">
            <v>4</v>
          </cell>
          <cell r="F584">
            <v>43</v>
          </cell>
          <cell r="G584">
            <v>47</v>
          </cell>
        </row>
        <row r="585">
          <cell r="A585">
            <v>584</v>
          </cell>
          <cell r="B585">
            <v>0.19700000000000001</v>
          </cell>
          <cell r="C585">
            <v>0.93</v>
          </cell>
          <cell r="D585">
            <v>0.35820000000000002</v>
          </cell>
          <cell r="E585">
            <v>0</v>
          </cell>
          <cell r="F585">
            <v>36</v>
          </cell>
          <cell r="G585">
            <v>36</v>
          </cell>
        </row>
        <row r="586">
          <cell r="A586">
            <v>585</v>
          </cell>
          <cell r="B586">
            <v>0.18179999999999999</v>
          </cell>
          <cell r="C586">
            <v>0.93</v>
          </cell>
          <cell r="D586">
            <v>0.4627</v>
          </cell>
          <cell r="E586">
            <v>1</v>
          </cell>
          <cell r="F586">
            <v>42</v>
          </cell>
          <cell r="G586">
            <v>43</v>
          </cell>
        </row>
        <row r="587">
          <cell r="A587">
            <v>586</v>
          </cell>
          <cell r="B587">
            <v>0.19700000000000001</v>
          </cell>
          <cell r="C587">
            <v>0.93</v>
          </cell>
          <cell r="D587">
            <v>0.32840000000000003</v>
          </cell>
          <cell r="E587">
            <v>1</v>
          </cell>
          <cell r="F587">
            <v>35</v>
          </cell>
          <cell r="G587">
            <v>36</v>
          </cell>
        </row>
        <row r="588">
          <cell r="A588">
            <v>587</v>
          </cell>
          <cell r="B588">
            <v>0.18179999999999999</v>
          </cell>
          <cell r="C588">
            <v>0.93</v>
          </cell>
          <cell r="D588">
            <v>0.35820000000000002</v>
          </cell>
          <cell r="E588">
            <v>0</v>
          </cell>
          <cell r="F588">
            <v>26</v>
          </cell>
          <cell r="G588">
            <v>26</v>
          </cell>
        </row>
        <row r="589">
          <cell r="A589">
            <v>588</v>
          </cell>
          <cell r="B589">
            <v>0.2273</v>
          </cell>
          <cell r="C589">
            <v>0.55000000000000004</v>
          </cell>
          <cell r="D589">
            <v>0.19400000000000001</v>
          </cell>
          <cell r="E589">
            <v>1</v>
          </cell>
          <cell r="F589">
            <v>23</v>
          </cell>
          <cell r="G589">
            <v>24</v>
          </cell>
        </row>
        <row r="590">
          <cell r="A590">
            <v>589</v>
          </cell>
          <cell r="B590">
            <v>0.2424</v>
          </cell>
          <cell r="C590">
            <v>0.55000000000000004</v>
          </cell>
          <cell r="D590">
            <v>0.1045</v>
          </cell>
          <cell r="E590">
            <v>2</v>
          </cell>
          <cell r="F590">
            <v>82</v>
          </cell>
          <cell r="G590">
            <v>84</v>
          </cell>
        </row>
        <row r="591">
          <cell r="A591">
            <v>590</v>
          </cell>
          <cell r="B591">
            <v>0.2273</v>
          </cell>
          <cell r="C591">
            <v>0.69</v>
          </cell>
          <cell r="D591">
            <v>8.9599999999999999E-2</v>
          </cell>
          <cell r="E591">
            <v>3</v>
          </cell>
          <cell r="F591">
            <v>101</v>
          </cell>
          <cell r="G591">
            <v>104</v>
          </cell>
        </row>
        <row r="592">
          <cell r="A592">
            <v>591</v>
          </cell>
          <cell r="B592">
            <v>0.2273</v>
          </cell>
          <cell r="C592">
            <v>0.69</v>
          </cell>
          <cell r="D592">
            <v>8.9599999999999999E-2</v>
          </cell>
          <cell r="E592">
            <v>3</v>
          </cell>
          <cell r="F592">
            <v>76</v>
          </cell>
          <cell r="G592">
            <v>79</v>
          </cell>
        </row>
        <row r="593">
          <cell r="A593">
            <v>592</v>
          </cell>
          <cell r="B593">
            <v>0.21210000000000001</v>
          </cell>
          <cell r="C593">
            <v>0.74</v>
          </cell>
          <cell r="D593">
            <v>8.9599999999999999E-2</v>
          </cell>
          <cell r="E593">
            <v>4</v>
          </cell>
          <cell r="F593">
            <v>55</v>
          </cell>
          <cell r="G593">
            <v>59</v>
          </cell>
        </row>
        <row r="594">
          <cell r="A594">
            <v>593</v>
          </cell>
          <cell r="B594">
            <v>0.21210000000000001</v>
          </cell>
          <cell r="C594">
            <v>0.74</v>
          </cell>
          <cell r="D594">
            <v>8.9599999999999999E-2</v>
          </cell>
          <cell r="E594">
            <v>2</v>
          </cell>
          <cell r="F594">
            <v>36</v>
          </cell>
          <cell r="G594">
            <v>38</v>
          </cell>
        </row>
        <row r="595">
          <cell r="A595">
            <v>594</v>
          </cell>
          <cell r="B595">
            <v>0.21210000000000001</v>
          </cell>
          <cell r="C595">
            <v>0.74</v>
          </cell>
          <cell r="D595">
            <v>8.9599999999999999E-2</v>
          </cell>
          <cell r="E595">
            <v>0</v>
          </cell>
          <cell r="F595">
            <v>27</v>
          </cell>
          <cell r="G595">
            <v>27</v>
          </cell>
        </row>
        <row r="596">
          <cell r="A596">
            <v>595</v>
          </cell>
          <cell r="B596">
            <v>0.19700000000000001</v>
          </cell>
          <cell r="C596">
            <v>0.8</v>
          </cell>
          <cell r="D596">
            <v>0.16420000000000001</v>
          </cell>
          <cell r="E596">
            <v>0</v>
          </cell>
          <cell r="F596">
            <v>16</v>
          </cell>
          <cell r="G596">
            <v>16</v>
          </cell>
        </row>
        <row r="597">
          <cell r="A597">
            <v>596</v>
          </cell>
          <cell r="B597">
            <v>0.21210000000000001</v>
          </cell>
          <cell r="C597">
            <v>0.75</v>
          </cell>
          <cell r="D597">
            <v>0.1343</v>
          </cell>
          <cell r="E597">
            <v>0</v>
          </cell>
          <cell r="F597">
            <v>9</v>
          </cell>
          <cell r="G597">
            <v>9</v>
          </cell>
        </row>
        <row r="598">
          <cell r="A598">
            <v>597</v>
          </cell>
          <cell r="B598">
            <v>0.21210000000000001</v>
          </cell>
          <cell r="C598">
            <v>0.75</v>
          </cell>
          <cell r="D598">
            <v>0.1343</v>
          </cell>
          <cell r="E598">
            <v>1</v>
          </cell>
          <cell r="F598">
            <v>2</v>
          </cell>
          <cell r="G598">
            <v>3</v>
          </cell>
        </row>
        <row r="599">
          <cell r="A599">
            <v>598</v>
          </cell>
          <cell r="B599">
            <v>0.21210000000000001</v>
          </cell>
          <cell r="C599">
            <v>0.75</v>
          </cell>
          <cell r="D599">
            <v>0.16420000000000001</v>
          </cell>
          <cell r="E599">
            <v>0</v>
          </cell>
          <cell r="F599">
            <v>2</v>
          </cell>
          <cell r="G599">
            <v>2</v>
          </cell>
        </row>
        <row r="600">
          <cell r="A600">
            <v>599</v>
          </cell>
          <cell r="B600">
            <v>0.2273</v>
          </cell>
          <cell r="C600">
            <v>0.75</v>
          </cell>
          <cell r="D600">
            <v>0.1045</v>
          </cell>
          <cell r="E600">
            <v>1</v>
          </cell>
          <cell r="F600">
            <v>0</v>
          </cell>
          <cell r="G600">
            <v>1</v>
          </cell>
        </row>
        <row r="601">
          <cell r="A601">
            <v>600</v>
          </cell>
          <cell r="B601">
            <v>0.21210000000000001</v>
          </cell>
          <cell r="C601">
            <v>0.8</v>
          </cell>
          <cell r="D601">
            <v>0.1045</v>
          </cell>
          <cell r="E601">
            <v>0</v>
          </cell>
          <cell r="F601">
            <v>4</v>
          </cell>
          <cell r="G601">
            <v>4</v>
          </cell>
        </row>
        <row r="602">
          <cell r="A602">
            <v>601</v>
          </cell>
          <cell r="B602">
            <v>0.19700000000000001</v>
          </cell>
          <cell r="C602">
            <v>0.8</v>
          </cell>
          <cell r="D602">
            <v>0.1343</v>
          </cell>
          <cell r="E602">
            <v>0</v>
          </cell>
          <cell r="F602">
            <v>16</v>
          </cell>
          <cell r="G602">
            <v>16</v>
          </cell>
        </row>
        <row r="603">
          <cell r="A603">
            <v>602</v>
          </cell>
          <cell r="B603">
            <v>0.19700000000000001</v>
          </cell>
          <cell r="C603">
            <v>0.86</v>
          </cell>
          <cell r="D603">
            <v>8.9599999999999999E-2</v>
          </cell>
          <cell r="E603">
            <v>2</v>
          </cell>
          <cell r="F603">
            <v>58</v>
          </cell>
          <cell r="G603">
            <v>60</v>
          </cell>
        </row>
        <row r="604">
          <cell r="A604">
            <v>603</v>
          </cell>
          <cell r="B604">
            <v>0.19700000000000001</v>
          </cell>
          <cell r="C604">
            <v>0.86</v>
          </cell>
          <cell r="D604">
            <v>8.9599999999999999E-2</v>
          </cell>
          <cell r="E604">
            <v>2</v>
          </cell>
          <cell r="F604">
            <v>155</v>
          </cell>
          <cell r="G604">
            <v>157</v>
          </cell>
        </row>
        <row r="605">
          <cell r="A605">
            <v>604</v>
          </cell>
          <cell r="B605">
            <v>0.21210000000000001</v>
          </cell>
          <cell r="C605">
            <v>0.86</v>
          </cell>
          <cell r="D605">
            <v>8.9599999999999999E-2</v>
          </cell>
          <cell r="E605">
            <v>6</v>
          </cell>
          <cell r="F605">
            <v>95</v>
          </cell>
          <cell r="G605">
            <v>101</v>
          </cell>
        </row>
        <row r="606">
          <cell r="A606">
            <v>605</v>
          </cell>
          <cell r="B606">
            <v>0.21210000000000001</v>
          </cell>
          <cell r="C606">
            <v>0.86</v>
          </cell>
          <cell r="D606">
            <v>0.1045</v>
          </cell>
          <cell r="E606">
            <v>0</v>
          </cell>
          <cell r="F606">
            <v>49</v>
          </cell>
          <cell r="G606">
            <v>49</v>
          </cell>
        </row>
        <row r="607">
          <cell r="A607">
            <v>606</v>
          </cell>
          <cell r="B607">
            <v>0.21210000000000001</v>
          </cell>
          <cell r="C607">
            <v>0.93</v>
          </cell>
          <cell r="D607">
            <v>0.1045</v>
          </cell>
          <cell r="E607">
            <v>0</v>
          </cell>
          <cell r="F607">
            <v>30</v>
          </cell>
          <cell r="G607">
            <v>30</v>
          </cell>
        </row>
        <row r="608">
          <cell r="A608">
            <v>607</v>
          </cell>
          <cell r="B608">
            <v>0.21210000000000001</v>
          </cell>
          <cell r="C608">
            <v>0.93</v>
          </cell>
          <cell r="D608">
            <v>0.1045</v>
          </cell>
          <cell r="E608">
            <v>1</v>
          </cell>
          <cell r="F608">
            <v>28</v>
          </cell>
          <cell r="G608">
            <v>29</v>
          </cell>
        </row>
        <row r="609">
          <cell r="A609">
            <v>608</v>
          </cell>
          <cell r="B609">
            <v>0.21210000000000001</v>
          </cell>
          <cell r="C609">
            <v>0.93</v>
          </cell>
          <cell r="D609">
            <v>0.1045</v>
          </cell>
          <cell r="E609">
            <v>0</v>
          </cell>
          <cell r="F609">
            <v>31</v>
          </cell>
          <cell r="G609">
            <v>31</v>
          </cell>
        </row>
        <row r="610">
          <cell r="A610">
            <v>609</v>
          </cell>
          <cell r="B610">
            <v>0.2727</v>
          </cell>
          <cell r="C610">
            <v>0.8</v>
          </cell>
          <cell r="D610">
            <v>0</v>
          </cell>
          <cell r="E610">
            <v>2</v>
          </cell>
          <cell r="F610">
            <v>36</v>
          </cell>
          <cell r="G610">
            <v>38</v>
          </cell>
        </row>
        <row r="611">
          <cell r="A611">
            <v>610</v>
          </cell>
          <cell r="B611">
            <v>0.2576</v>
          </cell>
          <cell r="C611">
            <v>0.86</v>
          </cell>
          <cell r="D611">
            <v>0</v>
          </cell>
          <cell r="E611">
            <v>1</v>
          </cell>
          <cell r="F611">
            <v>40</v>
          </cell>
          <cell r="G611">
            <v>41</v>
          </cell>
        </row>
        <row r="617">
          <cell r="B617" t="str">
            <v>t</v>
          </cell>
          <cell r="C617">
            <v>11</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sus" refreshedDate="45961.973795370373" createdVersion="3" refreshedVersion="3" minRefreshableVersion="3" recordCount="1000">
  <cacheSource type="worksheet">
    <worksheetSource name="Table1[#All]"/>
  </cacheSource>
  <cacheFields count="22">
    <cacheField name="Record_Id" numFmtId="1">
      <sharedItems containsMixedTypes="1" containsNumber="1" containsInteger="1" minValue="1" maxValue="615"/>
    </cacheField>
    <cacheField name="Date" numFmtId="164">
      <sharedItems containsSemiMixedTypes="0" containsNonDate="0" containsDate="1" containsString="0" minDate="2011-01-01T00:00:00" maxDate="2011-12-03T00:00:00"/>
    </cacheField>
    <cacheField name="Day" numFmtId="164">
      <sharedItems/>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ntainsMixedTypes="1" containsNumber="1" containsInteger="1" minValue="1" maxValue="2"/>
    </cacheField>
    <cacheField name="Hour" numFmtId="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ekday_Name" numFmtId="0">
      <sharedItems containsMixedTypes="1" containsNumber="1" containsInteger="1" minValue="0" maxValue="6" count="14">
        <s v="Saturday"/>
        <s v="Sunday"/>
        <s v="Monday"/>
        <s v="Tuesday"/>
        <s v="Wednesday"/>
        <s v="Thursday"/>
        <s v="Friday"/>
        <n v="0" u="1"/>
        <n v="5" u="1"/>
        <n v="2" u="1"/>
        <n v="6" u="1"/>
        <n v="1" u="1"/>
        <n v="3" u="1"/>
        <n v="4" u="1"/>
      </sharedItems>
    </cacheField>
    <cacheField name="Weather_code" numFmtId="0">
      <sharedItems containsSemiMixedTypes="0" containsString="0" containsNumber="1" containsInteger="1" minValue="1" maxValue="4"/>
    </cacheField>
    <cacheField name="Weather_Condition" numFmtId="0">
      <sharedItems count="4">
        <s v="Clear"/>
        <s v="Cloudy"/>
        <s v="Light Rain"/>
        <s v="Heavy Rain"/>
      </sharedItems>
    </cacheField>
    <cacheField name="Temperaturemp" numFmtId="0">
      <sharedItems containsSemiMixedTypes="0" containsString="0" containsNumber="1" minValue="0.02" maxValue="0.46"/>
    </cacheField>
    <cacheField name="Season_name" numFmtId="0">
      <sharedItems/>
    </cacheField>
    <cacheField name="Day_type" numFmtId="0">
      <sharedItems/>
    </cacheField>
    <cacheField name="A_Temperature" numFmtId="0">
      <sharedItems containsSemiMixedTypes="0" containsString="0" containsNumber="1" minValue="1.52E-2" maxValue="0.45450000000000002"/>
    </cacheField>
    <cacheField name="Actual_A_Temp" numFmtId="1">
      <sharedItems containsSemiMixedTypes="0" containsString="0" containsNumber="1" minValue="0.62319999999999998" maxValue="18.634499999999999"/>
    </cacheField>
    <cacheField name="Humidity" numFmtId="0">
      <sharedItems containsSemiMixedTypes="0" containsString="0" containsNumber="1" minValue="0.21" maxValue="1"/>
    </cacheField>
    <cacheField name="Wind_speed" numFmtId="0">
      <sharedItems containsSemiMixedTypes="0" containsString="0" containsNumber="1" minValue="0" maxValue="0.58209999999999995"/>
    </cacheField>
    <cacheField name="Non-Registered_user"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_user"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 Users" numFmtId="0">
      <sharedItems containsSemiMixedTypes="0" containsString="0" containsNumber="1" containsInteger="1" minValue="1" maxValue="249"/>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asus" refreshedDate="45969.837185763892" createdVersion="3" refreshedVersion="3" minRefreshableVersion="3" recordCount="2">
  <cacheSource type="worksheet">
    <worksheetSource ref="F25:G27" sheet="DATA SUMMARY"/>
  </cacheSource>
  <cacheFields count="2">
    <cacheField name="User Type" numFmtId="0">
      <sharedItems count="2">
        <s v="Registered User"/>
        <s v="Non-Registered User"/>
      </sharedItems>
    </cacheField>
    <cacheField name="Count" numFmtId="0">
      <sharedItems containsSemiMixedTypes="0" containsString="0" containsNumber="1" containsInteger="1" minValue="4921" maxValue="53383"/>
    </cacheField>
  </cacheFields>
</pivotCacheDefinition>
</file>

<file path=xl/pivotCache/pivotCacheRecords1.xml><?xml version="1.0" encoding="utf-8"?>
<pivotCacheRecords xmlns="http://schemas.openxmlformats.org/spreadsheetml/2006/main" xmlns:r="http://schemas.openxmlformats.org/officeDocument/2006/relationships" count="1000">
  <r>
    <n v="1"/>
    <d v="2011-01-01T00:00:00"/>
    <s v="Saturday"/>
    <x v="0"/>
    <n v="0"/>
    <n v="1"/>
    <x v="0"/>
    <b v="0"/>
    <n v="6"/>
    <x v="0"/>
    <n v="1"/>
    <x v="0"/>
    <n v="0.24"/>
    <s v="Winter"/>
    <s v="Weekend"/>
    <n v="0.28789999999999999"/>
    <n v="11.803899999999999"/>
    <n v="0.81"/>
    <n v="0"/>
    <x v="0"/>
    <x v="0"/>
    <n v="16"/>
  </r>
  <r>
    <n v="2"/>
    <d v="2011-01-01T00:00:00"/>
    <s v="Saturday"/>
    <x v="0"/>
    <n v="0"/>
    <n v="1"/>
    <x v="1"/>
    <b v="0"/>
    <n v="6"/>
    <x v="0"/>
    <n v="1"/>
    <x v="0"/>
    <n v="0.22"/>
    <s v="Winter"/>
    <s v="Weekend"/>
    <n v="0.2727"/>
    <n v="11.1807"/>
    <n v="0.8"/>
    <n v="0"/>
    <x v="1"/>
    <x v="1"/>
    <n v="40"/>
  </r>
  <r>
    <n v="3"/>
    <d v="2011-01-01T00:00:00"/>
    <s v="Saturday"/>
    <x v="0"/>
    <n v="0"/>
    <n v="1"/>
    <x v="2"/>
    <b v="0"/>
    <n v="6"/>
    <x v="0"/>
    <n v="1"/>
    <x v="0"/>
    <n v="0.22"/>
    <s v="Winter"/>
    <s v="Weekend"/>
    <n v="0.2727"/>
    <n v="11.1807"/>
    <n v="0.8"/>
    <n v="0"/>
    <x v="2"/>
    <x v="2"/>
    <n v="32"/>
  </r>
  <r>
    <n v="4"/>
    <d v="2011-01-01T00:00:00"/>
    <s v="Saturday"/>
    <x v="0"/>
    <n v="0"/>
    <n v="1"/>
    <x v="3"/>
    <b v="0"/>
    <n v="6"/>
    <x v="0"/>
    <n v="1"/>
    <x v="0"/>
    <n v="0.24"/>
    <s v="Winter"/>
    <s v="Weekend"/>
    <n v="0.28789999999999999"/>
    <n v="11.803899999999999"/>
    <n v="0.75"/>
    <n v="0"/>
    <x v="0"/>
    <x v="3"/>
    <n v="13"/>
  </r>
  <r>
    <n v="5"/>
    <d v="2011-01-01T00:00:00"/>
    <s v="Saturday"/>
    <x v="0"/>
    <n v="0"/>
    <n v="1"/>
    <x v="4"/>
    <b v="0"/>
    <n v="6"/>
    <x v="0"/>
    <n v="1"/>
    <x v="0"/>
    <n v="0.24"/>
    <s v="Winter"/>
    <s v="Weekend"/>
    <n v="0.28789999999999999"/>
    <n v="11.803899999999999"/>
    <n v="0.75"/>
    <n v="0"/>
    <x v="3"/>
    <x v="4"/>
    <n v="1"/>
  </r>
  <r>
    <n v="6"/>
    <d v="2011-01-01T00:00:00"/>
    <s v="Saturday"/>
    <x v="0"/>
    <n v="0"/>
    <n v="1"/>
    <x v="5"/>
    <b v="0"/>
    <n v="6"/>
    <x v="0"/>
    <n v="2"/>
    <x v="1"/>
    <n v="0.24"/>
    <s v="Winter"/>
    <s v="Weekend"/>
    <n v="0.2576"/>
    <n v="10.5616"/>
    <n v="0.75"/>
    <n v="8.9599999999999999E-2"/>
    <x v="3"/>
    <x v="4"/>
    <n v="1"/>
  </r>
  <r>
    <n v="7"/>
    <d v="2011-01-01T00:00:00"/>
    <s v="Saturday"/>
    <x v="0"/>
    <n v="0"/>
    <n v="1"/>
    <x v="6"/>
    <b v="0"/>
    <n v="6"/>
    <x v="0"/>
    <n v="1"/>
    <x v="0"/>
    <n v="0.22"/>
    <s v="Winter"/>
    <s v="Weekend"/>
    <n v="0.2727"/>
    <n v="11.1807"/>
    <n v="0.8"/>
    <n v="0"/>
    <x v="4"/>
    <x v="5"/>
    <n v="2"/>
  </r>
  <r>
    <n v="8"/>
    <d v="2011-01-01T00:00:00"/>
    <s v="Saturday"/>
    <x v="0"/>
    <n v="0"/>
    <s v="f"/>
    <x v="7"/>
    <b v="0"/>
    <n v="6"/>
    <x v="0"/>
    <n v="1"/>
    <x v="0"/>
    <n v="0.2"/>
    <s v="Winter"/>
    <s v="Weekend"/>
    <n v="0.2576"/>
    <n v="10.5616"/>
    <n v="0.86"/>
    <n v="0"/>
    <x v="5"/>
    <x v="6"/>
    <n v="3"/>
  </r>
  <r>
    <n v="9"/>
    <d v="2011-01-01T00:00:00"/>
    <s v="Saturday"/>
    <x v="0"/>
    <n v="0"/>
    <n v="1"/>
    <x v="8"/>
    <b v="0"/>
    <n v="6"/>
    <x v="0"/>
    <n v="1"/>
    <x v="0"/>
    <n v="0.24"/>
    <s v="Winter"/>
    <s v="Weekend"/>
    <n v="0.19989999999999999"/>
    <n v="8.1959"/>
    <n v="0.75"/>
    <n v="0"/>
    <x v="5"/>
    <x v="7"/>
    <n v="8"/>
  </r>
  <r>
    <n v="10"/>
    <d v="2011-01-01T00:00:00"/>
    <s v="Saturday"/>
    <x v="0"/>
    <n v="0"/>
    <n v="1"/>
    <x v="9"/>
    <b v="0"/>
    <n v="6"/>
    <x v="0"/>
    <n v="1"/>
    <x v="0"/>
    <n v="0.32"/>
    <s v="Winter"/>
    <s v="Weekend"/>
    <n v="0.34849999999999998"/>
    <n v="14.288499999999999"/>
    <n v="0.76"/>
    <n v="0"/>
    <x v="1"/>
    <x v="8"/>
    <n v="14"/>
  </r>
  <r>
    <n v="11"/>
    <d v="2011-01-01T00:00:00"/>
    <s v="Saturday"/>
    <x v="0"/>
    <n v="0"/>
    <n v="1"/>
    <x v="10"/>
    <b v="0"/>
    <n v="6"/>
    <x v="0"/>
    <n v="1"/>
    <x v="0"/>
    <n v="0.38"/>
    <s v="Winter"/>
    <s v="Weekend"/>
    <n v="0.39389999999999997"/>
    <n v="16.149899999999999"/>
    <n v="0.76"/>
    <n v="0.25369999999999998"/>
    <x v="6"/>
    <x v="9"/>
    <n v="36"/>
  </r>
  <r>
    <n v="12"/>
    <d v="2011-01-01T00:00:00"/>
    <s v="Saturday"/>
    <x v="0"/>
    <n v="0"/>
    <n v="1"/>
    <x v="11"/>
    <b v="0"/>
    <n v="6"/>
    <x v="0"/>
    <n v="1"/>
    <x v="0"/>
    <n v="0.36"/>
    <s v="Winter"/>
    <s v="Weekend"/>
    <n v="0.33329999999999999"/>
    <n v="13.6653"/>
    <n v="0.81"/>
    <n v="0.28360000000000002"/>
    <x v="7"/>
    <x v="10"/>
    <n v="56"/>
  </r>
  <r>
    <n v="13"/>
    <d v="2011-01-01T00:00:00"/>
    <s v="Saturday"/>
    <x v="0"/>
    <n v="0"/>
    <n v="1"/>
    <x v="12"/>
    <b v="0"/>
    <n v="6"/>
    <x v="0"/>
    <n v="1"/>
    <x v="0"/>
    <n v="0.42"/>
    <s v="Winter"/>
    <s v="Weekend"/>
    <n v="0.42420000000000002"/>
    <n v="17.392200000000003"/>
    <n v="0.77"/>
    <n v="0.28360000000000002"/>
    <x v="8"/>
    <x v="11"/>
    <n v="84"/>
  </r>
  <r>
    <n v="14"/>
    <d v="2011-01-01T00:00:00"/>
    <s v="Saturday"/>
    <x v="0"/>
    <n v="0"/>
    <n v="1"/>
    <x v="13"/>
    <b v="0"/>
    <n v="6"/>
    <x v="0"/>
    <n v="2"/>
    <x v="1"/>
    <n v="0.46"/>
    <s v="Winter"/>
    <s v="Weekend"/>
    <n v="0.45450000000000002"/>
    <n v="18.634499999999999"/>
    <n v="0.72"/>
    <n v="0.29849999999999999"/>
    <x v="9"/>
    <x v="12"/>
    <n v="94"/>
  </r>
  <r>
    <n v="15"/>
    <d v="2011-01-01T00:00:00"/>
    <s v="Saturday"/>
    <x v="0"/>
    <n v="0"/>
    <n v="1"/>
    <x v="14"/>
    <b v="0"/>
    <n v="6"/>
    <x v="0"/>
    <n v="2"/>
    <x v="1"/>
    <n v="0.46"/>
    <s v="Winter"/>
    <s v="Weekend"/>
    <n v="0.45450000000000002"/>
    <n v="18.634499999999999"/>
    <n v="0.72"/>
    <n v="0.28360000000000002"/>
    <x v="10"/>
    <x v="13"/>
    <n v="106"/>
  </r>
  <r>
    <n v="16"/>
    <d v="2011-01-01T00:00:00"/>
    <s v="Saturday"/>
    <x v="0"/>
    <n v="0"/>
    <n v="1"/>
    <x v="15"/>
    <b v="0"/>
    <n v="6"/>
    <x v="0"/>
    <n v="2"/>
    <x v="1"/>
    <n v="0.44"/>
    <s v="Winter"/>
    <s v="Weekend"/>
    <n v="0.43940000000000001"/>
    <n v="18.0154"/>
    <n v="0.77"/>
    <n v="0.29849999999999999"/>
    <x v="11"/>
    <x v="14"/>
    <n v="110"/>
  </r>
  <r>
    <n v="17"/>
    <d v="2011-01-01T00:00:00"/>
    <s v="Saturday"/>
    <x v="0"/>
    <n v="0"/>
    <n v="1"/>
    <x v="16"/>
    <b v="0"/>
    <n v="6"/>
    <x v="0"/>
    <n v="2"/>
    <x v="1"/>
    <n v="0.42"/>
    <s v="Winter"/>
    <s v="Weekend"/>
    <n v="0.42420000000000002"/>
    <n v="17.392200000000003"/>
    <n v="0.82"/>
    <n v="0.29849999999999999"/>
    <x v="12"/>
    <x v="15"/>
    <n v="93"/>
  </r>
  <r>
    <n v="18"/>
    <d v="2011-01-01T00:00:00"/>
    <s v="Saturday"/>
    <x v="0"/>
    <n v="0"/>
    <n v="1"/>
    <x v="17"/>
    <b v="0"/>
    <n v="6"/>
    <x v="0"/>
    <n v="2"/>
    <x v="1"/>
    <n v="0.44"/>
    <s v="Winter"/>
    <s v="Weekend"/>
    <n v="0.19989999999999999"/>
    <n v="8.1959"/>
    <n v="0.82"/>
    <n v="0.28360000000000002"/>
    <x v="13"/>
    <x v="15"/>
    <n v="67"/>
  </r>
  <r>
    <n v="19"/>
    <d v="2011-01-01T00:00:00"/>
    <s v="Saturday"/>
    <x v="0"/>
    <n v="0"/>
    <n v="1"/>
    <x v="18"/>
    <b v="0"/>
    <n v="6"/>
    <x v="0"/>
    <n v="3"/>
    <x v="2"/>
    <n v="0.42"/>
    <s v="Winter"/>
    <s v="Weekend"/>
    <n v="0.42420000000000002"/>
    <n v="17.392200000000003"/>
    <n v="0.88"/>
    <n v="0.25369999999999998"/>
    <x v="14"/>
    <x v="16"/>
    <n v="35"/>
  </r>
  <r>
    <n v="20"/>
    <d v="2011-01-01T00:00:00"/>
    <s v="Saturday"/>
    <x v="0"/>
    <n v="0"/>
    <n v="1"/>
    <x v="19"/>
    <b v="0"/>
    <n v="6"/>
    <x v="0"/>
    <n v="3"/>
    <x v="2"/>
    <n v="0.42"/>
    <s v="Winter"/>
    <s v="Weekend"/>
    <n v="0.42420000000000002"/>
    <n v="17.392200000000003"/>
    <n v="0.88"/>
    <n v="0.25369999999999998"/>
    <x v="15"/>
    <x v="17"/>
    <n v="37"/>
  </r>
  <r>
    <n v="21"/>
    <d v="2011-01-01T00:00:00"/>
    <s v="Saturday"/>
    <x v="0"/>
    <n v="0"/>
    <n v="1"/>
    <x v="20"/>
    <b v="0"/>
    <n v="6"/>
    <x v="0"/>
    <n v="2"/>
    <x v="1"/>
    <n v="0.4"/>
    <s v="Winter"/>
    <s v="Weekend"/>
    <n v="0.40910000000000002"/>
    <n v="16.773099999999999"/>
    <n v="0.87"/>
    <n v="0.25369999999999998"/>
    <x v="16"/>
    <x v="18"/>
    <n v="36"/>
  </r>
  <r>
    <n v="22"/>
    <d v="2011-01-01T00:00:00"/>
    <s v="Saturday"/>
    <x v="0"/>
    <n v="0"/>
    <n v="1"/>
    <x v="21"/>
    <b v="0"/>
    <n v="6"/>
    <x v="0"/>
    <n v="2"/>
    <x v="1"/>
    <n v="0.4"/>
    <s v="Winter"/>
    <s v="Weekend"/>
    <n v="0.40910000000000002"/>
    <n v="16.773099999999999"/>
    <n v="0.87"/>
    <n v="0.19400000000000001"/>
    <x v="0"/>
    <x v="17"/>
    <n v="34"/>
  </r>
  <r>
    <n v="23"/>
    <d v="2011-01-01T00:00:00"/>
    <s v="Saturday"/>
    <x v="0"/>
    <n v="0"/>
    <n v="1"/>
    <x v="22"/>
    <b v="0"/>
    <n v="6"/>
    <x v="0"/>
    <n v="2"/>
    <x v="1"/>
    <n v="0.4"/>
    <s v="Winter"/>
    <s v="Weekend"/>
    <n v="0.40910000000000002"/>
    <n v="16.773099999999999"/>
    <n v="0.94"/>
    <n v="0.22389999999999999"/>
    <x v="16"/>
    <x v="19"/>
    <n v="28"/>
  </r>
  <r>
    <n v="24"/>
    <d v="2011-01-01T00:00:00"/>
    <s v="Saturday"/>
    <x v="0"/>
    <n v="0"/>
    <n v="1"/>
    <x v="23"/>
    <b v="0"/>
    <n v="6"/>
    <x v="0"/>
    <n v="2"/>
    <x v="1"/>
    <n v="0.46"/>
    <s v="Winter"/>
    <s v="Weekend"/>
    <n v="0.19989999999999999"/>
    <n v="8.1959"/>
    <n v="0.88"/>
    <n v="0.29849999999999999"/>
    <x v="13"/>
    <x v="9"/>
    <n v="39"/>
  </r>
  <r>
    <n v="25"/>
    <d v="2011-02-01T00:00:00"/>
    <s v="Tuesday"/>
    <x v="0"/>
    <n v="0"/>
    <n v="1"/>
    <x v="0"/>
    <b v="0"/>
    <n v="0"/>
    <x v="1"/>
    <n v="2"/>
    <x v="1"/>
    <n v="0.46"/>
    <s v="Winter"/>
    <s v="Weekday"/>
    <n v="0.45450000000000002"/>
    <n v="18.634499999999999"/>
    <n v="0.88"/>
    <n v="0.29849999999999999"/>
    <x v="17"/>
    <x v="0"/>
    <n v="17"/>
  </r>
  <r>
    <n v="26"/>
    <d v="2011-02-01T00:00:00"/>
    <s v="Tuesday"/>
    <x v="0"/>
    <n v="0"/>
    <n v="1"/>
    <x v="1"/>
    <b v="0"/>
    <n v="0"/>
    <x v="1"/>
    <n v="2"/>
    <x v="1"/>
    <n v="0.44"/>
    <s v="Winter"/>
    <s v="Weekday"/>
    <n v="0.43940000000000001"/>
    <n v="18.0154"/>
    <n v="0.94"/>
    <n v="0.25369999999999998"/>
    <x v="5"/>
    <x v="20"/>
    <n v="17"/>
  </r>
  <r>
    <n v="27"/>
    <d v="2011-02-01T00:00:00"/>
    <s v="Tuesday"/>
    <x v="0"/>
    <n v="0"/>
    <n v="1"/>
    <x v="2"/>
    <b v="0"/>
    <n v="0"/>
    <x v="1"/>
    <n v="2"/>
    <x v="1"/>
    <n v="0.42"/>
    <s v="Winter"/>
    <s v="Weekday"/>
    <n v="0.42420000000000002"/>
    <n v="17.392200000000003"/>
    <n v="1"/>
    <n v="0.28360000000000002"/>
    <x v="5"/>
    <x v="21"/>
    <n v="9"/>
  </r>
  <r>
    <n v="28"/>
    <d v="2011-02-01T00:00:00"/>
    <s v="Tuesday"/>
    <x v="0"/>
    <n v="0"/>
    <n v="1"/>
    <x v="3"/>
    <b v="0"/>
    <n v="0"/>
    <x v="1"/>
    <n v="2"/>
    <x v="1"/>
    <n v="0.46"/>
    <s v="Winter"/>
    <s v="Weekday"/>
    <n v="0.45450000000000002"/>
    <n v="18.634499999999999"/>
    <n v="0.94"/>
    <n v="0.19400000000000001"/>
    <x v="4"/>
    <x v="22"/>
    <n v="6"/>
  </r>
  <r>
    <n v="29"/>
    <d v="2011-02-01T00:00:00"/>
    <s v="Tuesday"/>
    <x v="0"/>
    <n v="0"/>
    <n v="1"/>
    <x v="4"/>
    <b v="0"/>
    <n v="0"/>
    <x v="1"/>
    <n v="2"/>
    <x v="1"/>
    <n v="0.46"/>
    <s v="Winter"/>
    <s v="Weekday"/>
    <n v="0.19989999999999999"/>
    <n v="8.1959"/>
    <n v="0.94"/>
    <n v="0.19400000000000001"/>
    <x v="4"/>
    <x v="4"/>
    <n v="3"/>
  </r>
  <r>
    <n v="30"/>
    <d v="2011-02-01T00:00:00"/>
    <s v="Tuesday"/>
    <x v="0"/>
    <n v="0"/>
    <n v="1"/>
    <x v="6"/>
    <b v="0"/>
    <n v="0"/>
    <x v="1"/>
    <n v="3"/>
    <x v="2"/>
    <n v="0.42"/>
    <s v="Winter"/>
    <s v="Weekday"/>
    <n v="0.42420000000000002"/>
    <n v="17.392200000000003"/>
    <n v="0.77"/>
    <n v="0.29849999999999999"/>
    <x v="3"/>
    <x v="6"/>
    <n v="2"/>
  </r>
  <r>
    <n v="31"/>
    <d v="2011-02-01T00:00:00"/>
    <s v="Tuesday"/>
    <x v="0"/>
    <n v="0"/>
    <n v="1"/>
    <x v="7"/>
    <b v="0"/>
    <n v="0"/>
    <x v="1"/>
    <n v="2"/>
    <x v="1"/>
    <n v="0.4"/>
    <s v="Winter"/>
    <s v="Weekday"/>
    <n v="0.40910000000000002"/>
    <n v="16.773099999999999"/>
    <n v="0.76"/>
    <n v="0.19400000000000001"/>
    <x v="3"/>
    <x v="4"/>
    <n v="1"/>
  </r>
  <r>
    <n v="32"/>
    <d v="2011-02-01T00:00:00"/>
    <s v="Tuesday"/>
    <x v="0"/>
    <n v="0"/>
    <n v="1"/>
    <x v="8"/>
    <b v="0"/>
    <n v="0"/>
    <x v="1"/>
    <n v="3"/>
    <x v="2"/>
    <n v="0.4"/>
    <s v="Winter"/>
    <s v="Weekday"/>
    <n v="0.40910000000000002"/>
    <n v="16.773099999999999"/>
    <n v="0.71"/>
    <n v="0.22389999999999999"/>
    <x v="3"/>
    <x v="21"/>
    <n v="8"/>
  </r>
  <r>
    <n v="33"/>
    <d v="2011-02-01T00:00:00"/>
    <s v="Tuesday"/>
    <x v="0"/>
    <n v="0"/>
    <n v="1"/>
    <x v="9"/>
    <b v="0"/>
    <n v="0"/>
    <x v="1"/>
    <n v="2"/>
    <x v="1"/>
    <n v="0.38"/>
    <s v="Winter"/>
    <s v="Weekday"/>
    <n v="0.19989999999999999"/>
    <n v="8.1959"/>
    <n v="0.76"/>
    <n v="0.22389999999999999"/>
    <x v="5"/>
    <x v="23"/>
    <n v="20"/>
  </r>
  <r>
    <n v="34"/>
    <d v="2011-02-01T00:00:00"/>
    <s v="Tuesday"/>
    <x v="0"/>
    <n v="0"/>
    <n v="1"/>
    <x v="10"/>
    <b v="0"/>
    <n v="0"/>
    <x v="1"/>
    <n v="2"/>
    <x v="1"/>
    <n v="0.36"/>
    <s v="Winter"/>
    <s v="Weekday"/>
    <n v="0.34849999999999998"/>
    <n v="14.288499999999999"/>
    <n v="0.81"/>
    <n v="0.22389999999999999"/>
    <x v="18"/>
    <x v="24"/>
    <n v="53"/>
  </r>
  <r>
    <n v="35"/>
    <d v="2011-02-01T00:00:00"/>
    <s v="Tuesday"/>
    <x v="0"/>
    <n v="0"/>
    <n v="1"/>
    <x v="11"/>
    <b v="0"/>
    <n v="0"/>
    <x v="1"/>
    <n v="2"/>
    <x v="1"/>
    <n v="0.36"/>
    <s v="Winter"/>
    <s v="Weekday"/>
    <n v="0.33329999999999999"/>
    <n v="13.6653"/>
    <n v="0.71"/>
    <n v="0.25369999999999998"/>
    <x v="19"/>
    <x v="25"/>
    <n v="70"/>
  </r>
  <r>
    <n v="36"/>
    <d v="2011-02-01T00:00:00"/>
    <s v="Tuesday"/>
    <x v="0"/>
    <n v="0"/>
    <n v="1"/>
    <x v="12"/>
    <b v="0"/>
    <n v="0"/>
    <x v="1"/>
    <n v="2"/>
    <x v="1"/>
    <n v="0.36"/>
    <s v="Winter"/>
    <s v="Weekday"/>
    <n v="0.33329999999999999"/>
    <n v="13.6653"/>
    <n v="0.66"/>
    <n v="0.29849999999999999"/>
    <x v="20"/>
    <x v="26"/>
    <n v="93"/>
  </r>
  <r>
    <n v="37"/>
    <d v="2011-02-01T00:00:00"/>
    <s v="Tuesday"/>
    <x v="0"/>
    <n v="0"/>
    <n v="1"/>
    <x v="13"/>
    <b v="0"/>
    <n v="0"/>
    <x v="1"/>
    <n v="2"/>
    <x v="1"/>
    <n v="0.36"/>
    <s v="Winter"/>
    <s v="Weekday"/>
    <n v="0.34849999999999998"/>
    <n v="14.288499999999999"/>
    <n v="0.66"/>
    <n v="0.1343"/>
    <x v="16"/>
    <x v="27"/>
    <n v="75"/>
  </r>
  <r>
    <n v="38"/>
    <d v="2011-02-01T00:00:00"/>
    <s v="Tuesday"/>
    <x v="0"/>
    <n v="0"/>
    <n v="1"/>
    <x v="14"/>
    <b v="0"/>
    <n v="0"/>
    <x v="1"/>
    <n v="3"/>
    <x v="2"/>
    <n v="0.36"/>
    <s v="Winter"/>
    <s v="Weekday"/>
    <n v="0.19989999999999999"/>
    <n v="8.1959"/>
    <n v="0.76"/>
    <n v="0.19400000000000001"/>
    <x v="17"/>
    <x v="11"/>
    <n v="59"/>
  </r>
  <r>
    <n v="39"/>
    <d v="2011-02-01T00:00:00"/>
    <s v="Tuesday"/>
    <x v="0"/>
    <n v="0"/>
    <n v="1"/>
    <x v="15"/>
    <b v="0"/>
    <n v="0"/>
    <x v="1"/>
    <n v="3"/>
    <x v="2"/>
    <n v="0.34"/>
    <s v="Winter"/>
    <s v="Weekday"/>
    <n v="0.33329999999999999"/>
    <n v="13.6653"/>
    <n v="0.81"/>
    <n v="0.16420000000000001"/>
    <x v="21"/>
    <x v="11"/>
    <n v="74"/>
  </r>
  <r>
    <n v="40"/>
    <d v="2011-02-01T00:00:00"/>
    <s v="Tuesday"/>
    <x v="0"/>
    <n v="0"/>
    <n v="1"/>
    <x v="16"/>
    <b v="0"/>
    <n v="0"/>
    <x v="1"/>
    <n v="3"/>
    <x v="2"/>
    <n v="0.34"/>
    <s v="Winter"/>
    <s v="Weekday"/>
    <n v="0.33329999999999999"/>
    <n v="13.6653"/>
    <n v="0.71"/>
    <n v="0.16420000000000001"/>
    <x v="14"/>
    <x v="28"/>
    <n v="76"/>
  </r>
  <r>
    <n v="41"/>
    <d v="2011-02-01T00:00:00"/>
    <s v="Tuesday"/>
    <x v="0"/>
    <n v="0"/>
    <n v="1"/>
    <x v="17"/>
    <b v="0"/>
    <n v="0"/>
    <x v="1"/>
    <n v="1"/>
    <x v="0"/>
    <n v="0.34"/>
    <s v="Winter"/>
    <s v="Weekday"/>
    <n v="0.33329999999999999"/>
    <n v="13.6653"/>
    <n v="0.56999999999999995"/>
    <n v="0.19400000000000001"/>
    <x v="18"/>
    <x v="29"/>
    <n v="65"/>
  </r>
  <r>
    <n v="42"/>
    <d v="2011-02-01T00:00:00"/>
    <s v="Tuesday"/>
    <x v="0"/>
    <n v="0"/>
    <n v="1"/>
    <x v="18"/>
    <b v="0"/>
    <n v="0"/>
    <x v="1"/>
    <n v="2"/>
    <x v="1"/>
    <n v="0.36"/>
    <s v="Winter"/>
    <s v="Weekday"/>
    <n v="0.33329999999999999"/>
    <n v="13.6653"/>
    <n v="0.46"/>
    <n v="0.32840000000000003"/>
    <x v="22"/>
    <x v="30"/>
    <n v="53"/>
  </r>
  <r>
    <n v="43"/>
    <d v="2011-02-01T00:00:00"/>
    <s v="Tuesday"/>
    <x v="0"/>
    <n v="0"/>
    <n v="1"/>
    <x v="19"/>
    <b v="0"/>
    <n v="0"/>
    <x v="1"/>
    <n v="1"/>
    <x v="0"/>
    <n v="0.32"/>
    <s v="Winter"/>
    <s v="Weekday"/>
    <n v="0.28789999999999999"/>
    <n v="11.803899999999999"/>
    <n v="0.42"/>
    <n v="0.44779999999999998"/>
    <x v="5"/>
    <x v="31"/>
    <n v="30"/>
  </r>
  <r>
    <n v="44"/>
    <d v="2011-02-01T00:00:00"/>
    <s v="Tuesday"/>
    <x v="0"/>
    <n v="0"/>
    <n v="1"/>
    <x v="20"/>
    <b v="0"/>
    <n v="0"/>
    <x v="1"/>
    <n v="1"/>
    <x v="0"/>
    <n v="0.3"/>
    <s v="Winter"/>
    <s v="Weekday"/>
    <n v="0.19989999999999999"/>
    <n v="8.1959"/>
    <n v="0.39"/>
    <n v="0.35820000000000002"/>
    <x v="2"/>
    <x v="19"/>
    <n v="22"/>
  </r>
  <r>
    <n v="45"/>
    <d v="2011-02-01T00:00:00"/>
    <s v="Tuesday"/>
    <x v="0"/>
    <n v="0"/>
    <n v="1"/>
    <x v="21"/>
    <b v="0"/>
    <n v="0"/>
    <x v="1"/>
    <n v="1"/>
    <x v="0"/>
    <n v="0.26"/>
    <s v="Winter"/>
    <s v="Weekday"/>
    <n v="0.2273"/>
    <n v="9.3193000000000001"/>
    <n v="0.44"/>
    <n v="0.32840000000000003"/>
    <x v="16"/>
    <x v="32"/>
    <n v="31"/>
  </r>
  <r>
    <n v="46"/>
    <d v="2011-02-01T00:00:00"/>
    <s v="Tuesday"/>
    <x v="0"/>
    <n v="0"/>
    <n v="1"/>
    <x v="22"/>
    <b v="0"/>
    <n v="0"/>
    <x v="1"/>
    <n v="1"/>
    <x v="0"/>
    <n v="0.24"/>
    <s v="Winter"/>
    <s v="Weekday"/>
    <n v="0.21210000000000001"/>
    <n v="8.6961000000000013"/>
    <n v="0.44"/>
    <n v="0.29849999999999999"/>
    <x v="3"/>
    <x v="33"/>
    <n v="9"/>
  </r>
  <r>
    <n v="47"/>
    <d v="2011-02-01T00:00:00"/>
    <s v="Tuesday"/>
    <x v="0"/>
    <n v="0"/>
    <n v="1"/>
    <x v="23"/>
    <b v="0"/>
    <n v="0"/>
    <x v="1"/>
    <n v="1"/>
    <x v="0"/>
    <n v="0.22"/>
    <s v="Winter"/>
    <s v="Weekday"/>
    <n v="0.2273"/>
    <n v="9.3193000000000001"/>
    <n v="0.47"/>
    <n v="0.16420000000000001"/>
    <x v="3"/>
    <x v="21"/>
    <n v="8"/>
  </r>
  <r>
    <n v="48"/>
    <d v="2011-03-01T00:00:00"/>
    <s v="Tuesday"/>
    <x v="0"/>
    <n v="0"/>
    <n v="1"/>
    <x v="0"/>
    <b v="0"/>
    <n v="1"/>
    <x v="2"/>
    <n v="1"/>
    <x v="0"/>
    <n v="0.22"/>
    <s v="Winter"/>
    <s v="Weekday"/>
    <n v="0.19700000000000001"/>
    <n v="8.077"/>
    <n v="0.44"/>
    <n v="0.35820000000000002"/>
    <x v="3"/>
    <x v="34"/>
    <n v="5"/>
  </r>
  <r>
    <n v="49"/>
    <d v="2011-03-01T00:00:00"/>
    <s v="Tuesday"/>
    <x v="0"/>
    <n v="0"/>
    <n v="1"/>
    <x v="1"/>
    <b v="0"/>
    <n v="1"/>
    <x v="2"/>
    <n v="1"/>
    <x v="0"/>
    <n v="0.2"/>
    <s v="Winter"/>
    <s v="Weekday"/>
    <n v="0.19989999999999999"/>
    <n v="8.1959"/>
    <n v="0.44"/>
    <n v="0.41789999999999999"/>
    <x v="3"/>
    <x v="6"/>
    <n v="2"/>
  </r>
  <r>
    <n v="50"/>
    <d v="2011-03-01T00:00:00"/>
    <s v="Tuesday"/>
    <x v="0"/>
    <n v="0"/>
    <n v="1"/>
    <x v="4"/>
    <b v="0"/>
    <n v="1"/>
    <x v="2"/>
    <n v="1"/>
    <x v="0"/>
    <n v="0.16"/>
    <s v="Winter"/>
    <s v="Weekday"/>
    <n v="0.13639999999999999"/>
    <n v="5.5923999999999996"/>
    <n v="0.47"/>
    <n v="0.3881"/>
    <x v="3"/>
    <x v="4"/>
    <n v="1"/>
  </r>
  <r>
    <n v="51"/>
    <d v="2011-03-01T00:00:00"/>
    <s v="Tuesday"/>
    <x v="0"/>
    <n v="0"/>
    <n v="1"/>
    <x v="5"/>
    <b v="0"/>
    <n v="1"/>
    <x v="2"/>
    <n v="1"/>
    <x v="0"/>
    <n v="0.16"/>
    <s v="Winter"/>
    <s v="Weekday"/>
    <n v="0.13639999999999999"/>
    <n v="5.5923999999999996"/>
    <n v="0.47"/>
    <n v="0.28360000000000002"/>
    <x v="3"/>
    <x v="35"/>
    <n v="3"/>
  </r>
  <r>
    <n v="52"/>
    <d v="2011-03-01T00:00:00"/>
    <s v="Tuesday"/>
    <x v="0"/>
    <n v="0"/>
    <n v="1"/>
    <x v="6"/>
    <b v="0"/>
    <n v="1"/>
    <x v="2"/>
    <n v="1"/>
    <x v="0"/>
    <n v="0.14000000000000001"/>
    <s v="Winter"/>
    <s v="Weekday"/>
    <n v="0.1061"/>
    <n v="4.3501000000000003"/>
    <n v="0.5"/>
    <n v="0.3881"/>
    <x v="3"/>
    <x v="10"/>
    <n v="30"/>
  </r>
  <r>
    <n v="53"/>
    <d v="2011-03-01T00:00:00"/>
    <s v="Tuesday"/>
    <x v="0"/>
    <n v="0"/>
    <n v="1"/>
    <x v="7"/>
    <b v="0"/>
    <n v="1"/>
    <x v="2"/>
    <n v="1"/>
    <x v="0"/>
    <n v="0.14000000000000001"/>
    <s v="Winter"/>
    <s v="Weekday"/>
    <n v="0.13639999999999999"/>
    <n v="5.5923999999999996"/>
    <n v="0.5"/>
    <n v="0.19400000000000001"/>
    <x v="5"/>
    <x v="36"/>
    <n v="64"/>
  </r>
  <r>
    <n v="54"/>
    <d v="2011-03-01T00:00:00"/>
    <s v="Tuesday"/>
    <x v="0"/>
    <n v="0"/>
    <n v="1"/>
    <x v="8"/>
    <b v="0"/>
    <n v="1"/>
    <x v="2"/>
    <n v="1"/>
    <x v="0"/>
    <n v="0.14000000000000001"/>
    <s v="Winter"/>
    <s v="Weekday"/>
    <n v="0.1212"/>
    <n v="4.9691999999999998"/>
    <n v="0.5"/>
    <n v="0.28360000000000002"/>
    <x v="5"/>
    <x v="37"/>
    <n v="154"/>
  </r>
  <r>
    <n v="55"/>
    <d v="2011-03-01T00:00:00"/>
    <s v="Tuesday"/>
    <x v="0"/>
    <n v="0"/>
    <n v="1"/>
    <x v="9"/>
    <b v="0"/>
    <n v="1"/>
    <x v="2"/>
    <n v="1"/>
    <x v="0"/>
    <n v="0.16"/>
    <s v="Winter"/>
    <s v="Weekday"/>
    <n v="0.13639999999999999"/>
    <n v="5.5923999999999996"/>
    <n v="0.43"/>
    <n v="0.3881"/>
    <x v="18"/>
    <x v="38"/>
    <n v="88"/>
  </r>
  <r>
    <n v="56"/>
    <d v="2011-03-01T00:00:00"/>
    <s v="Tuesday"/>
    <x v="0"/>
    <n v="0"/>
    <n v="1"/>
    <x v="10"/>
    <b v="0"/>
    <n v="1"/>
    <x v="2"/>
    <n v="1"/>
    <x v="0"/>
    <n v="0.18"/>
    <s v="Winter"/>
    <s v="Weekday"/>
    <n v="0.16669999999999999"/>
    <n v="6.8346999999999998"/>
    <n v="0.43"/>
    <n v="0.25369999999999998"/>
    <x v="16"/>
    <x v="39"/>
    <n v="44"/>
  </r>
  <r>
    <n v="57"/>
    <d v="2011-03-01T00:00:00"/>
    <s v="Tuesday"/>
    <x v="0"/>
    <n v="0"/>
    <n v="1"/>
    <x v="11"/>
    <b v="0"/>
    <n v="1"/>
    <x v="2"/>
    <n v="1"/>
    <x v="0"/>
    <n v="0.2"/>
    <s v="Winter"/>
    <s v="Weekday"/>
    <n v="0.18179999999999999"/>
    <n v="7.4537999999999993"/>
    <n v="0.4"/>
    <n v="0.32840000000000003"/>
    <x v="22"/>
    <x v="40"/>
    <n v="51"/>
  </r>
  <r>
    <n v="58"/>
    <d v="2011-03-01T00:00:00"/>
    <s v="Tuesday"/>
    <x v="0"/>
    <n v="0"/>
    <n v="1"/>
    <x v="12"/>
    <b v="0"/>
    <n v="1"/>
    <x v="2"/>
    <n v="1"/>
    <x v="0"/>
    <n v="0.22"/>
    <s v="Winter"/>
    <s v="Weekday"/>
    <n v="0.21210000000000001"/>
    <n v="8.6961000000000013"/>
    <n v="0.35"/>
    <n v="0.29849999999999999"/>
    <x v="23"/>
    <x v="41"/>
    <n v="61"/>
  </r>
  <r>
    <n v="59"/>
    <d v="2011-03-01T00:00:00"/>
    <s v="Tuesday"/>
    <x v="0"/>
    <n v="0"/>
    <n v="1"/>
    <x v="13"/>
    <b v="0"/>
    <n v="1"/>
    <x v="2"/>
    <n v="1"/>
    <x v="0"/>
    <n v="0.24"/>
    <s v="Winter"/>
    <s v="Weekday"/>
    <n v="0.19989999999999999"/>
    <n v="8.1959"/>
    <n v="0.35"/>
    <n v="0.28360000000000002"/>
    <x v="1"/>
    <x v="42"/>
    <n v="61"/>
  </r>
  <r>
    <n v="60"/>
    <d v="2011-03-01T00:00:00"/>
    <s v="Tuesday"/>
    <x v="0"/>
    <n v="0"/>
    <n v="1"/>
    <x v="14"/>
    <b v="0"/>
    <n v="1"/>
    <x v="2"/>
    <n v="1"/>
    <x v="0"/>
    <n v="0.26"/>
    <s v="Winter"/>
    <s v="Weekday"/>
    <n v="0.2424"/>
    <n v="9.9383999999999997"/>
    <n v="0.3"/>
    <n v="0.28360000000000002"/>
    <x v="16"/>
    <x v="43"/>
    <n v="77"/>
  </r>
  <r>
    <n v="61"/>
    <d v="2011-03-01T00:00:00"/>
    <s v="Tuesday"/>
    <x v="0"/>
    <n v="0"/>
    <n v="1"/>
    <x v="15"/>
    <b v="0"/>
    <n v="1"/>
    <x v="2"/>
    <n v="1"/>
    <x v="0"/>
    <n v="0.26"/>
    <s v="Winter"/>
    <s v="Weekday"/>
    <n v="0.2424"/>
    <n v="9.9383999999999997"/>
    <n v="0.3"/>
    <n v="0.25369999999999998"/>
    <x v="24"/>
    <x v="29"/>
    <n v="72"/>
  </r>
  <r>
    <n v="62"/>
    <d v="2011-03-01T00:00:00"/>
    <s v="Tuesday"/>
    <x v="0"/>
    <n v="0"/>
    <n v="1"/>
    <x v="16"/>
    <b v="0"/>
    <n v="1"/>
    <x v="2"/>
    <n v="1"/>
    <x v="0"/>
    <n v="0.26"/>
    <s v="Winter"/>
    <s v="Weekday"/>
    <n v="0.2424"/>
    <n v="9.9383999999999997"/>
    <n v="0.3"/>
    <n v="0.25369999999999998"/>
    <x v="14"/>
    <x v="28"/>
    <n v="76"/>
  </r>
  <r>
    <n v="63"/>
    <d v="2011-03-01T00:00:00"/>
    <s v="Tuesday"/>
    <x v="0"/>
    <n v="0"/>
    <n v="1"/>
    <x v="17"/>
    <b v="0"/>
    <n v="1"/>
    <x v="2"/>
    <n v="1"/>
    <x v="0"/>
    <n v="0.24"/>
    <s v="Winter"/>
    <s v="Weekday"/>
    <n v="0.2273"/>
    <n v="9.3193000000000001"/>
    <n v="0.3"/>
    <n v="0.22389999999999999"/>
    <x v="16"/>
    <x v="44"/>
    <n v="157"/>
  </r>
  <r>
    <n v="64"/>
    <d v="2011-03-01T00:00:00"/>
    <s v="Tuesday"/>
    <x v="0"/>
    <n v="0"/>
    <n v="1"/>
    <x v="18"/>
    <b v="0"/>
    <n v="1"/>
    <x v="2"/>
    <n v="1"/>
    <x v="0"/>
    <n v="0.24"/>
    <s v="Winter"/>
    <s v="Weekday"/>
    <n v="0.2576"/>
    <n v="10.5616"/>
    <n v="0.32"/>
    <n v="0.1045"/>
    <x v="14"/>
    <x v="45"/>
    <n v="157"/>
  </r>
  <r>
    <n v="65"/>
    <d v="2011-03-01T00:00:00"/>
    <s v="Tuesday"/>
    <x v="0"/>
    <n v="0"/>
    <n v="1"/>
    <x v="19"/>
    <b v="0"/>
    <n v="1"/>
    <x v="2"/>
    <n v="1"/>
    <x v="0"/>
    <n v="0.2"/>
    <s v="Winter"/>
    <s v="Weekday"/>
    <n v="0.2576"/>
    <n v="10.5616"/>
    <n v="0.47"/>
    <n v="0"/>
    <x v="1"/>
    <x v="46"/>
    <n v="110"/>
  </r>
  <r>
    <n v="66"/>
    <d v="2011-03-01T00:00:00"/>
    <s v="Tuesday"/>
    <x v="0"/>
    <n v="0"/>
    <n v="1"/>
    <x v="20"/>
    <b v="0"/>
    <n v="1"/>
    <x v="2"/>
    <n v="1"/>
    <x v="0"/>
    <n v="0.2"/>
    <s v="Winter"/>
    <s v="Weekday"/>
    <n v="0.19989999999999999"/>
    <n v="8.1959"/>
    <n v="0.47"/>
    <n v="0.1045"/>
    <x v="0"/>
    <x v="47"/>
    <n v="52"/>
  </r>
  <r>
    <n v="67"/>
    <d v="2011-03-01T00:00:00"/>
    <s v="Tuesday"/>
    <x v="0"/>
    <n v="0"/>
    <n v="1"/>
    <x v="21"/>
    <b v="0"/>
    <n v="1"/>
    <x v="2"/>
    <n v="1"/>
    <x v="0"/>
    <n v="0.18"/>
    <s v="Winter"/>
    <s v="Weekday"/>
    <n v="0.19700000000000001"/>
    <n v="8.077"/>
    <n v="0.64"/>
    <n v="0.1343"/>
    <x v="0"/>
    <x v="47"/>
    <n v="52"/>
  </r>
  <r>
    <n v="68"/>
    <d v="2011-03-01T00:00:00"/>
    <s v="Tuesday"/>
    <x v="0"/>
    <n v="0"/>
    <n v="1"/>
    <x v="22"/>
    <b v="0"/>
    <n v="1"/>
    <x v="2"/>
    <n v="1"/>
    <x v="0"/>
    <n v="0.14000000000000001"/>
    <s v="Winter"/>
    <s v="Weekday"/>
    <n v="0.1515"/>
    <n v="6.2115"/>
    <n v="0.69"/>
    <n v="0.1343"/>
    <x v="3"/>
    <x v="32"/>
    <n v="20"/>
  </r>
  <r>
    <n v="69"/>
    <d v="2011-03-01T00:00:00"/>
    <s v="Tuesday"/>
    <x v="0"/>
    <n v="0"/>
    <n v="1"/>
    <x v="23"/>
    <b v="0"/>
    <n v="1"/>
    <x v="2"/>
    <n v="1"/>
    <x v="0"/>
    <n v="0.18"/>
    <s v="Winter"/>
    <s v="Weekday"/>
    <n v="0.21210000000000001"/>
    <n v="8.6961000000000013"/>
    <n v="0.55000000000000004"/>
    <n v="0.1045"/>
    <x v="5"/>
    <x v="48"/>
    <n v="12"/>
  </r>
  <r>
    <n v="70"/>
    <d v="2011-04-01T00:00:00"/>
    <s v="Friday"/>
    <x v="0"/>
    <n v="0"/>
    <n v="1"/>
    <x v="0"/>
    <b v="0"/>
    <n v="2"/>
    <x v="3"/>
    <n v="1"/>
    <x v="0"/>
    <n v="0.16"/>
    <s v="Winter"/>
    <s v="Weekday"/>
    <n v="0.19989999999999999"/>
    <n v="8.1959"/>
    <n v="0.55000000000000004"/>
    <n v="0.1045"/>
    <x v="3"/>
    <x v="34"/>
    <n v="5"/>
  </r>
  <r>
    <n v="71"/>
    <d v="2011-04-01T00:00:00"/>
    <s v="Friday"/>
    <x v="0"/>
    <n v="0"/>
    <n v="1"/>
    <x v="1"/>
    <b v="0"/>
    <n v="2"/>
    <x v="3"/>
    <n v="1"/>
    <x v="0"/>
    <n v="0.16"/>
    <s v="Winter"/>
    <s v="Weekday"/>
    <n v="0.18179999999999999"/>
    <n v="7.4537999999999993"/>
    <n v="0.59"/>
    <n v="0.1045"/>
    <x v="3"/>
    <x v="6"/>
    <n v="2"/>
  </r>
  <r>
    <n v="72"/>
    <d v="2011-04-01T00:00:00"/>
    <s v="Friday"/>
    <x v="0"/>
    <n v="0"/>
    <n v="1"/>
    <x v="2"/>
    <b v="0"/>
    <n v="2"/>
    <x v="3"/>
    <n v="1"/>
    <x v="0"/>
    <n v="0.14000000000000001"/>
    <s v="Winter"/>
    <s v="Weekday"/>
    <n v="0.1515"/>
    <n v="6.2115"/>
    <n v="0.63"/>
    <n v="0.1343"/>
    <x v="3"/>
    <x v="4"/>
    <n v="1"/>
  </r>
  <r>
    <n v="73"/>
    <d v="2011-04-01T00:00:00"/>
    <s v="Friday"/>
    <x v="0"/>
    <n v="0"/>
    <n v="1"/>
    <x v="4"/>
    <b v="0"/>
    <n v="2"/>
    <x v="3"/>
    <n v="1"/>
    <x v="0"/>
    <n v="0.14000000000000001"/>
    <s v="Winter"/>
    <s v="Weekday"/>
    <n v="0.18179999999999999"/>
    <n v="7.4537999999999993"/>
    <n v="0.63"/>
    <n v="8.9599999999999999E-2"/>
    <x v="3"/>
    <x v="6"/>
    <n v="2"/>
  </r>
  <r>
    <n v="74"/>
    <d v="2011-04-01T00:00:00"/>
    <s v="Friday"/>
    <x v="0"/>
    <n v="0"/>
    <n v="1"/>
    <x v="5"/>
    <b v="0"/>
    <n v="2"/>
    <x v="3"/>
    <n v="1"/>
    <x v="0"/>
    <n v="0.12"/>
    <s v="Winter"/>
    <s v="Weekday"/>
    <n v="0.1515"/>
    <n v="6.2115"/>
    <n v="0.68"/>
    <n v="0.1045"/>
    <x v="3"/>
    <x v="22"/>
    <n v="4"/>
  </r>
  <r>
    <n v="75"/>
    <d v="2011-04-01T00:00:00"/>
    <s v="Friday"/>
    <x v="0"/>
    <n v="0"/>
    <n v="1"/>
    <x v="6"/>
    <b v="0"/>
    <n v="2"/>
    <x v="3"/>
    <n v="1"/>
    <x v="0"/>
    <n v="0.12"/>
    <s v="Winter"/>
    <s v="Weekday"/>
    <n v="0.1515"/>
    <n v="6.2115"/>
    <n v="0.74"/>
    <n v="0.1045"/>
    <x v="3"/>
    <x v="49"/>
    <n v="36"/>
  </r>
  <r>
    <n v="76"/>
    <d v="2011-04-01T00:00:00"/>
    <s v="Friday"/>
    <x v="0"/>
    <n v="0"/>
    <n v="1"/>
    <x v="7"/>
    <b v="0"/>
    <n v="2"/>
    <x v="3"/>
    <n v="1"/>
    <x v="0"/>
    <n v="0.12"/>
    <s v="Winter"/>
    <s v="Weekday"/>
    <n v="0.1515"/>
    <n v="6.2115"/>
    <n v="0.74"/>
    <n v="0.1343"/>
    <x v="4"/>
    <x v="50"/>
    <n v="94"/>
  </r>
  <r>
    <n v="77"/>
    <d v="2011-04-01T00:00:00"/>
    <s v="Friday"/>
    <x v="0"/>
    <n v="0"/>
    <n v="1"/>
    <x v="8"/>
    <b v="0"/>
    <n v="2"/>
    <x v="3"/>
    <n v="1"/>
    <x v="0"/>
    <n v="0.14000000000000001"/>
    <s v="Winter"/>
    <s v="Weekday"/>
    <n v="0.1515"/>
    <n v="6.2115"/>
    <n v="0.69"/>
    <n v="0.16420000000000001"/>
    <x v="4"/>
    <x v="51"/>
    <n v="179"/>
  </r>
  <r>
    <n v="78"/>
    <d v="2011-04-01T00:00:00"/>
    <s v="Friday"/>
    <x v="0"/>
    <n v="0"/>
    <n v="1"/>
    <x v="9"/>
    <b v="0"/>
    <n v="2"/>
    <x v="3"/>
    <n v="1"/>
    <x v="0"/>
    <n v="0.16"/>
    <s v="Winter"/>
    <s v="Weekday"/>
    <n v="0.1515"/>
    <n v="6.2115"/>
    <n v="0.64"/>
    <n v="0.22389999999999999"/>
    <x v="4"/>
    <x v="52"/>
    <n v="100"/>
  </r>
  <r>
    <n v="79"/>
    <d v="2011-04-01T00:00:00"/>
    <s v="Friday"/>
    <x v="0"/>
    <n v="0"/>
    <n v="1"/>
    <x v="10"/>
    <b v="0"/>
    <n v="2"/>
    <x v="3"/>
    <n v="2"/>
    <x v="1"/>
    <n v="0.16"/>
    <s v="Winter"/>
    <s v="Weekday"/>
    <n v="0.13639999999999999"/>
    <n v="5.5923999999999996"/>
    <n v="0.69"/>
    <n v="0.32840000000000003"/>
    <x v="2"/>
    <x v="53"/>
    <n v="42"/>
  </r>
  <r>
    <n v="80"/>
    <d v="2011-04-01T00:00:00"/>
    <s v="Friday"/>
    <x v="0"/>
    <n v="0"/>
    <n v="1"/>
    <x v="11"/>
    <b v="0"/>
    <n v="2"/>
    <x v="3"/>
    <n v="1"/>
    <x v="0"/>
    <n v="0.22"/>
    <s v="Winter"/>
    <s v="Weekday"/>
    <n v="0.21210000000000001"/>
    <n v="8.6961000000000013"/>
    <n v="0.51"/>
    <n v="0.29849999999999999"/>
    <x v="18"/>
    <x v="54"/>
    <n v="57"/>
  </r>
  <r>
    <n v="81"/>
    <d v="2011-04-01T00:00:00"/>
    <s v="Friday"/>
    <x v="0"/>
    <n v="0"/>
    <n v="1"/>
    <x v="12"/>
    <b v="0"/>
    <n v="2"/>
    <x v="3"/>
    <n v="1"/>
    <x v="0"/>
    <n v="0.22"/>
    <s v="Winter"/>
    <s v="Weekday"/>
    <n v="0.2273"/>
    <n v="9.3193000000000001"/>
    <n v="0.51"/>
    <n v="0.16420000000000001"/>
    <x v="6"/>
    <x v="43"/>
    <n v="78"/>
  </r>
  <r>
    <n v="82"/>
    <d v="2011-04-01T00:00:00"/>
    <s v="Friday"/>
    <x v="0"/>
    <n v="0"/>
    <n v="1"/>
    <x v="13"/>
    <b v="0"/>
    <n v="2"/>
    <x v="3"/>
    <n v="1"/>
    <x v="0"/>
    <n v="0.24"/>
    <s v="Winter"/>
    <s v="Weekday"/>
    <n v="0.2273"/>
    <n v="9.3193000000000001"/>
    <n v="0.56000000000000005"/>
    <n v="0.19400000000000001"/>
    <x v="25"/>
    <x v="55"/>
    <n v="97"/>
  </r>
  <r>
    <n v="83"/>
    <d v="2011-04-01T00:00:00"/>
    <s v="Friday"/>
    <x v="0"/>
    <n v="0"/>
    <n v="1"/>
    <x v="14"/>
    <b v="0"/>
    <n v="2"/>
    <x v="3"/>
    <n v="1"/>
    <x v="0"/>
    <n v="0.26"/>
    <s v="Winter"/>
    <s v="Weekday"/>
    <n v="0.2576"/>
    <n v="10.5616"/>
    <n v="0.52"/>
    <n v="0.22389999999999999"/>
    <x v="14"/>
    <x v="25"/>
    <n v="63"/>
  </r>
  <r>
    <n v="84"/>
    <d v="2011-04-01T00:00:00"/>
    <s v="Friday"/>
    <x v="0"/>
    <n v="0"/>
    <n v="1"/>
    <x v="15"/>
    <b v="0"/>
    <n v="2"/>
    <x v="3"/>
    <n v="1"/>
    <x v="0"/>
    <n v="0.28000000000000003"/>
    <s v="Winter"/>
    <s v="Weekday"/>
    <n v="0.2727"/>
    <n v="11.1807"/>
    <n v="0.52"/>
    <n v="0.25369999999999998"/>
    <x v="26"/>
    <x v="41"/>
    <n v="65"/>
  </r>
  <r>
    <n v="85"/>
    <d v="2011-04-01T00:00:00"/>
    <s v="Friday"/>
    <x v="0"/>
    <n v="0"/>
    <n v="1"/>
    <x v="16"/>
    <b v="0"/>
    <n v="2"/>
    <x v="3"/>
    <n v="1"/>
    <x v="0"/>
    <n v="0.3"/>
    <s v="Winter"/>
    <s v="Weekday"/>
    <n v="0.28789999999999999"/>
    <n v="11.803899999999999"/>
    <n v="0.49"/>
    <n v="0.25369999999999998"/>
    <x v="13"/>
    <x v="56"/>
    <n v="83"/>
  </r>
  <r>
    <n v="86"/>
    <d v="2011-04-01T00:00:00"/>
    <s v="Friday"/>
    <x v="0"/>
    <n v="0"/>
    <n v="1"/>
    <x v="17"/>
    <b v="0"/>
    <n v="2"/>
    <x v="3"/>
    <n v="1"/>
    <x v="0"/>
    <n v="0.28000000000000003"/>
    <s v="Winter"/>
    <s v="Weekday"/>
    <n v="0.2727"/>
    <n v="11.1807"/>
    <n v="0.48"/>
    <n v="0.22389999999999999"/>
    <x v="22"/>
    <x v="57"/>
    <n v="212"/>
  </r>
  <r>
    <n v="87"/>
    <d v="2011-04-01T00:00:00"/>
    <s v="Friday"/>
    <x v="0"/>
    <n v="0"/>
    <n v="1"/>
    <x v="18"/>
    <b v="0"/>
    <n v="2"/>
    <x v="3"/>
    <n v="1"/>
    <x v="0"/>
    <n v="0.26"/>
    <s v="Winter"/>
    <s v="Weekday"/>
    <n v="0.2576"/>
    <n v="10.5616"/>
    <n v="0.48"/>
    <n v="0.19400000000000001"/>
    <x v="0"/>
    <x v="58"/>
    <n v="182"/>
  </r>
  <r>
    <n v="88"/>
    <d v="2011-04-01T00:00:00"/>
    <s v="Friday"/>
    <x v="0"/>
    <n v="0"/>
    <n v="1"/>
    <x v="19"/>
    <b v="0"/>
    <n v="2"/>
    <x v="3"/>
    <n v="1"/>
    <x v="0"/>
    <n v="0.24"/>
    <s v="Winter"/>
    <s v="Weekday"/>
    <n v="0.2576"/>
    <n v="10.5616"/>
    <n v="0.48"/>
    <n v="0.1045"/>
    <x v="4"/>
    <x v="59"/>
    <n v="112"/>
  </r>
  <r>
    <n v="89"/>
    <d v="2011-04-01T00:00:00"/>
    <s v="Friday"/>
    <x v="0"/>
    <n v="0"/>
    <n v="1"/>
    <x v="20"/>
    <b v="0"/>
    <n v="2"/>
    <x v="3"/>
    <n v="1"/>
    <x v="0"/>
    <n v="0.24"/>
    <s v="Winter"/>
    <s v="Weekday"/>
    <n v="0.2576"/>
    <n v="10.5616"/>
    <n v="0.48"/>
    <n v="0.1045"/>
    <x v="5"/>
    <x v="42"/>
    <n v="54"/>
  </r>
  <r>
    <n v="90"/>
    <d v="2011-04-01T00:00:00"/>
    <s v="Friday"/>
    <x v="0"/>
    <n v="0"/>
    <n v="1"/>
    <x v="21"/>
    <b v="0"/>
    <n v="2"/>
    <x v="3"/>
    <n v="1"/>
    <x v="0"/>
    <n v="0.22"/>
    <s v="Winter"/>
    <s v="Weekday"/>
    <n v="0.2727"/>
    <n v="11.1807"/>
    <n v="0.64"/>
    <n v="0"/>
    <x v="3"/>
    <x v="41"/>
    <n v="48"/>
  </r>
  <r>
    <n v="91"/>
    <d v="2011-04-01T00:00:00"/>
    <s v="Friday"/>
    <x v="0"/>
    <n v="0"/>
    <n v="1"/>
    <x v="22"/>
    <b v="0"/>
    <n v="2"/>
    <x v="3"/>
    <n v="1"/>
    <x v="0"/>
    <n v="0.22"/>
    <s v="Winter"/>
    <s v="Weekday"/>
    <n v="0.2576"/>
    <n v="10.5616"/>
    <n v="0.64"/>
    <n v="8.9599999999999999E-2"/>
    <x v="5"/>
    <x v="60"/>
    <n v="35"/>
  </r>
  <r>
    <n v="92"/>
    <d v="2011-04-01T00:00:00"/>
    <s v="Friday"/>
    <x v="0"/>
    <n v="0"/>
    <n v="1"/>
    <x v="23"/>
    <b v="0"/>
    <n v="2"/>
    <x v="3"/>
    <n v="1"/>
    <x v="0"/>
    <n v="0.2"/>
    <s v="Winter"/>
    <s v="Weekday"/>
    <n v="0.2273"/>
    <n v="9.3193000000000001"/>
    <n v="0.69"/>
    <n v="8.9599999999999999E-2"/>
    <x v="4"/>
    <x v="33"/>
    <n v="11"/>
  </r>
  <r>
    <n v="93"/>
    <d v="2011-05-01T00:00:00"/>
    <s v="Sunday"/>
    <x v="0"/>
    <n v="0"/>
    <n v="1"/>
    <x v="0"/>
    <b v="0"/>
    <n v="3"/>
    <x v="4"/>
    <n v="1"/>
    <x v="0"/>
    <n v="0.2"/>
    <s v="Winter"/>
    <s v="Weekend"/>
    <n v="0.2576"/>
    <n v="10.5616"/>
    <n v="0.64"/>
    <n v="0"/>
    <x v="3"/>
    <x v="8"/>
    <n v="6"/>
  </r>
  <r>
    <n v="94"/>
    <d v="2011-05-01T00:00:00"/>
    <s v="Sunday"/>
    <x v="0"/>
    <n v="0"/>
    <n v="1"/>
    <x v="1"/>
    <b v="0"/>
    <n v="3"/>
    <x v="4"/>
    <n v="1"/>
    <x v="0"/>
    <n v="0.16"/>
    <s v="Winter"/>
    <s v="Weekend"/>
    <n v="0.19700000000000001"/>
    <n v="8.077"/>
    <n v="0.74"/>
    <n v="8.9599999999999999E-2"/>
    <x v="3"/>
    <x v="8"/>
    <n v="6"/>
  </r>
  <r>
    <n v="95"/>
    <d v="2011-05-01T00:00:00"/>
    <s v="Sunday"/>
    <x v="0"/>
    <n v="0"/>
    <n v="1"/>
    <x v="2"/>
    <b v="0"/>
    <n v="3"/>
    <x v="4"/>
    <n v="1"/>
    <x v="0"/>
    <n v="0.16"/>
    <s v="Winter"/>
    <s v="Weekend"/>
    <n v="0.19700000000000001"/>
    <n v="8.077"/>
    <n v="0.74"/>
    <n v="8.9599999999999999E-2"/>
    <x v="3"/>
    <x v="6"/>
    <n v="2"/>
  </r>
  <r>
    <n v="96"/>
    <d v="2011-05-01T00:00:00"/>
    <s v="Sunday"/>
    <x v="0"/>
    <n v="0"/>
    <n v="1"/>
    <x v="4"/>
    <b v="0"/>
    <n v="3"/>
    <x v="4"/>
    <n v="1"/>
    <x v="0"/>
    <n v="0.24"/>
    <s v="Winter"/>
    <s v="Weekend"/>
    <n v="0.2273"/>
    <n v="9.3193000000000001"/>
    <n v="0.48"/>
    <n v="0.22389999999999999"/>
    <x v="3"/>
    <x v="6"/>
    <n v="2"/>
  </r>
  <r>
    <n v="97"/>
    <d v="2011-05-01T00:00:00"/>
    <s v="Sunday"/>
    <x v="0"/>
    <n v="0"/>
    <n v="1"/>
    <x v="5"/>
    <b v="0"/>
    <n v="3"/>
    <x v="4"/>
    <n v="1"/>
    <x v="0"/>
    <n v="0.22"/>
    <s v="Winter"/>
    <s v="Weekend"/>
    <n v="0.2273"/>
    <n v="9.3193000000000001"/>
    <n v="0.47"/>
    <n v="0.16420000000000001"/>
    <x v="3"/>
    <x v="35"/>
    <n v="3"/>
  </r>
  <r>
    <n v="98"/>
    <d v="2011-05-01T00:00:00"/>
    <s v="Sunday"/>
    <x v="0"/>
    <n v="0"/>
    <n v="1"/>
    <x v="6"/>
    <b v="0"/>
    <n v="3"/>
    <x v="4"/>
    <n v="1"/>
    <x v="0"/>
    <n v="0.2"/>
    <s v="Winter"/>
    <s v="Weekend"/>
    <n v="0.19700000000000001"/>
    <n v="8.077"/>
    <n v="0.47"/>
    <n v="0.22389999999999999"/>
    <x v="3"/>
    <x v="39"/>
    <n v="33"/>
  </r>
  <r>
    <n v="99"/>
    <d v="2011-05-01T00:00:00"/>
    <s v="Sunday"/>
    <x v="0"/>
    <n v="0"/>
    <n v="1"/>
    <x v="7"/>
    <b v="0"/>
    <n v="3"/>
    <x v="4"/>
    <n v="1"/>
    <x v="0"/>
    <n v="0.18"/>
    <s v="Winter"/>
    <s v="Weekend"/>
    <n v="0.18179999999999999"/>
    <n v="7.4537999999999993"/>
    <n v="0.43"/>
    <n v="0.19400000000000001"/>
    <x v="5"/>
    <x v="61"/>
    <n v="88"/>
  </r>
  <r>
    <n v="100"/>
    <d v="2011-05-01T00:00:00"/>
    <s v="Sunday"/>
    <x v="0"/>
    <n v="0"/>
    <n v="1"/>
    <x v="8"/>
    <b v="0"/>
    <n v="3"/>
    <x v="4"/>
    <n v="1"/>
    <x v="0"/>
    <n v="0.2"/>
    <s v="Winter"/>
    <s v="Weekend"/>
    <n v="0.18179999999999999"/>
    <n v="7.4537999999999993"/>
    <n v="0.4"/>
    <n v="0.29849999999999999"/>
    <x v="0"/>
    <x v="62"/>
    <n v="195"/>
  </r>
  <r>
    <n v="101"/>
    <d v="2011-05-01T00:00:00"/>
    <s v="Sunday"/>
    <x v="0"/>
    <n v="0"/>
    <n v="1"/>
    <x v="9"/>
    <b v="0"/>
    <n v="3"/>
    <x v="4"/>
    <n v="1"/>
    <x v="0"/>
    <n v="0.22"/>
    <s v="Winter"/>
    <s v="Weekend"/>
    <n v="0.19700000000000001"/>
    <n v="8.077"/>
    <n v="0.37"/>
    <n v="0.32840000000000003"/>
    <x v="15"/>
    <x v="63"/>
    <n v="115"/>
  </r>
  <r>
    <n v="102"/>
    <d v="2011-05-01T00:00:00"/>
    <s v="Sunday"/>
    <x v="0"/>
    <n v="0"/>
    <n v="1"/>
    <x v="10"/>
    <b v="0"/>
    <n v="3"/>
    <x v="4"/>
    <n v="1"/>
    <x v="0"/>
    <n v="0.22"/>
    <s v="Winter"/>
    <s v="Weekend"/>
    <n v="0.19700000000000001"/>
    <n v="8.077"/>
    <n v="0.37"/>
    <n v="0.32840000000000003"/>
    <x v="17"/>
    <x v="42"/>
    <n v="57"/>
  </r>
  <r>
    <n v="103"/>
    <d v="2011-05-01T00:00:00"/>
    <s v="Sunday"/>
    <x v="0"/>
    <n v="0"/>
    <n v="1"/>
    <x v="11"/>
    <b v="0"/>
    <n v="3"/>
    <x v="4"/>
    <n v="1"/>
    <x v="0"/>
    <n v="0.26"/>
    <s v="Winter"/>
    <s v="Weekend"/>
    <n v="0.2273"/>
    <n v="9.3193000000000001"/>
    <n v="0.33"/>
    <n v="0.32840000000000003"/>
    <x v="6"/>
    <x v="60"/>
    <n v="46"/>
  </r>
  <r>
    <n v="104"/>
    <d v="2011-05-01T00:00:00"/>
    <s v="Sunday"/>
    <x v="0"/>
    <n v="0"/>
    <n v="1"/>
    <x v="12"/>
    <b v="0"/>
    <n v="3"/>
    <x v="4"/>
    <n v="1"/>
    <x v="0"/>
    <n v="0.26"/>
    <s v="Winter"/>
    <s v="Weekend"/>
    <n v="0.2273"/>
    <n v="9.3193000000000001"/>
    <n v="0.33"/>
    <n v="0.32840000000000003"/>
    <x v="2"/>
    <x v="64"/>
    <n v="79"/>
  </r>
  <r>
    <n v="105"/>
    <d v="2011-05-01T00:00:00"/>
    <s v="Sunday"/>
    <x v="0"/>
    <n v="0"/>
    <n v="1"/>
    <x v="13"/>
    <b v="0"/>
    <n v="3"/>
    <x v="4"/>
    <n v="1"/>
    <x v="0"/>
    <n v="0.28000000000000003"/>
    <s v="Winter"/>
    <s v="Weekend"/>
    <n v="0.2576"/>
    <n v="10.5616"/>
    <n v="0.3"/>
    <n v="0.29849999999999999"/>
    <x v="15"/>
    <x v="65"/>
    <n v="71"/>
  </r>
  <r>
    <n v="106"/>
    <d v="2011-05-01T00:00:00"/>
    <s v="Sunday"/>
    <x v="0"/>
    <n v="0"/>
    <n v="1"/>
    <x v="14"/>
    <b v="0"/>
    <n v="3"/>
    <x v="4"/>
    <n v="1"/>
    <x v="0"/>
    <n v="0.3"/>
    <s v="Winter"/>
    <s v="Weekend"/>
    <n v="0.28789999999999999"/>
    <n v="11.803899999999999"/>
    <n v="0.28000000000000003"/>
    <n v="0.19400000000000001"/>
    <x v="22"/>
    <x v="15"/>
    <n v="62"/>
  </r>
  <r>
    <n v="107"/>
    <d v="2011-05-01T00:00:00"/>
    <s v="Sunday"/>
    <x v="0"/>
    <n v="0"/>
    <n v="1"/>
    <x v="15"/>
    <b v="0"/>
    <n v="3"/>
    <x v="4"/>
    <n v="1"/>
    <x v="0"/>
    <n v="0.3"/>
    <s v="Winter"/>
    <s v="Weekend"/>
    <n v="0.28789999999999999"/>
    <n v="11.803899999999999"/>
    <n v="0.28000000000000003"/>
    <n v="0.19400000000000001"/>
    <x v="18"/>
    <x v="11"/>
    <n v="62"/>
  </r>
  <r>
    <n v="108"/>
    <d v="2011-05-01T00:00:00"/>
    <s v="Sunday"/>
    <x v="0"/>
    <n v="0"/>
    <n v="1"/>
    <x v="16"/>
    <b v="0"/>
    <n v="3"/>
    <x v="4"/>
    <n v="1"/>
    <x v="0"/>
    <n v="0.3"/>
    <s v="Winter"/>
    <s v="Weekend"/>
    <n v="0.31819999999999998"/>
    <n v="13.046199999999999"/>
    <n v="0.28000000000000003"/>
    <n v="8.9599999999999999E-2"/>
    <x v="17"/>
    <x v="66"/>
    <n v="89"/>
  </r>
  <r>
    <n v="109"/>
    <d v="2011-05-01T00:00:00"/>
    <s v="Sunday"/>
    <x v="0"/>
    <n v="0"/>
    <n v="1"/>
    <x v="17"/>
    <b v="0"/>
    <n v="3"/>
    <x v="4"/>
    <n v="1"/>
    <x v="0"/>
    <n v="0.24"/>
    <s v="Winter"/>
    <s v="Weekend"/>
    <n v="0.2273"/>
    <n v="9.3193000000000001"/>
    <n v="0.38"/>
    <n v="0.19400000000000001"/>
    <x v="17"/>
    <x v="67"/>
    <n v="190"/>
  </r>
  <r>
    <n v="110"/>
    <d v="2011-05-01T00:00:00"/>
    <s v="Sunday"/>
    <x v="0"/>
    <n v="0"/>
    <n v="1"/>
    <x v="18"/>
    <b v="0"/>
    <n v="3"/>
    <x v="4"/>
    <n v="1"/>
    <x v="0"/>
    <n v="0.24"/>
    <s v="Winter"/>
    <s v="Weekend"/>
    <n v="0.2424"/>
    <n v="9.9383999999999997"/>
    <n v="0.38"/>
    <n v="0.1343"/>
    <x v="0"/>
    <x v="68"/>
    <n v="169"/>
  </r>
  <r>
    <n v="111"/>
    <d v="2011-05-01T00:00:00"/>
    <s v="Sunday"/>
    <x v="0"/>
    <n v="0"/>
    <n v="1"/>
    <x v="19"/>
    <b v="0"/>
    <n v="3"/>
    <x v="4"/>
    <n v="1"/>
    <x v="0"/>
    <n v="0.24"/>
    <s v="Winter"/>
    <s v="Weekend"/>
    <n v="0.2576"/>
    <n v="10.5616"/>
    <n v="0.38"/>
    <n v="0.1045"/>
    <x v="2"/>
    <x v="69"/>
    <n v="132"/>
  </r>
  <r>
    <n v="112"/>
    <d v="2011-05-01T00:00:00"/>
    <s v="Sunday"/>
    <x v="0"/>
    <n v="0"/>
    <n v="1"/>
    <x v="20"/>
    <b v="0"/>
    <n v="3"/>
    <x v="4"/>
    <n v="1"/>
    <x v="0"/>
    <n v="0.22"/>
    <s v="Winter"/>
    <s v="Weekend"/>
    <n v="0.2273"/>
    <n v="9.3193000000000001"/>
    <n v="0.47"/>
    <n v="0.16420000000000001"/>
    <x v="18"/>
    <x v="70"/>
    <n v="89"/>
  </r>
  <r>
    <n v="113"/>
    <d v="2011-05-01T00:00:00"/>
    <s v="Sunday"/>
    <x v="0"/>
    <n v="0"/>
    <n v="1"/>
    <x v="21"/>
    <b v="0"/>
    <n v="3"/>
    <x v="4"/>
    <n v="1"/>
    <x v="0"/>
    <n v="0.2"/>
    <s v="Winter"/>
    <s v="Weekend"/>
    <n v="0.19700000000000001"/>
    <n v="8.077"/>
    <n v="0.51"/>
    <n v="0.19400000000000001"/>
    <x v="0"/>
    <x v="71"/>
    <n v="43"/>
  </r>
  <r>
    <n v="114"/>
    <d v="2011-05-01T00:00:00"/>
    <s v="Sunday"/>
    <x v="0"/>
    <n v="0"/>
    <n v="1"/>
    <x v="22"/>
    <b v="0"/>
    <n v="3"/>
    <x v="4"/>
    <n v="1"/>
    <x v="0"/>
    <n v="0.18"/>
    <s v="Winter"/>
    <s v="Weekend"/>
    <n v="0.19700000000000001"/>
    <n v="8.077"/>
    <n v="0.55000000000000004"/>
    <n v="0.1343"/>
    <x v="5"/>
    <x v="40"/>
    <n v="42"/>
  </r>
  <r>
    <n v="115"/>
    <d v="2011-05-01T00:00:00"/>
    <s v="Sunday"/>
    <x v="0"/>
    <n v="0"/>
    <n v="1"/>
    <x v="23"/>
    <b v="0"/>
    <n v="3"/>
    <x v="4"/>
    <n v="1"/>
    <x v="0"/>
    <n v="0.2"/>
    <s v="Winter"/>
    <s v="Weekend"/>
    <n v="0.2576"/>
    <n v="10.5616"/>
    <n v="0.47"/>
    <n v="0"/>
    <x v="5"/>
    <x v="72"/>
    <n v="19"/>
  </r>
  <r>
    <n v="116"/>
    <d v="2011-06-01T00:00:00"/>
    <s v="Wednesday"/>
    <x v="0"/>
    <n v="0"/>
    <n v="1"/>
    <x v="0"/>
    <b v="0"/>
    <n v="4"/>
    <x v="5"/>
    <n v="1"/>
    <x v="0"/>
    <n v="0.18"/>
    <s v="Winter"/>
    <s v="Weekday"/>
    <n v="0.2424"/>
    <n v="9.9383999999999997"/>
    <n v="0.55000000000000004"/>
    <n v="0"/>
    <x v="3"/>
    <x v="48"/>
    <n v="11"/>
  </r>
  <r>
    <n v="117"/>
    <d v="2011-06-01T00:00:00"/>
    <s v="Wednesday"/>
    <x v="0"/>
    <n v="0"/>
    <n v="1"/>
    <x v="1"/>
    <b v="0"/>
    <n v="4"/>
    <x v="5"/>
    <n v="1"/>
    <x v="0"/>
    <n v="0.16"/>
    <s v="Winter"/>
    <s v="Weekday"/>
    <n v="0.2273"/>
    <n v="9.3193000000000001"/>
    <n v="0.64"/>
    <n v="0"/>
    <x v="3"/>
    <x v="22"/>
    <n v="4"/>
  </r>
  <r>
    <n v="118"/>
    <d v="2011-06-01T00:00:00"/>
    <s v="Wednesday"/>
    <x v="0"/>
    <n v="0"/>
    <n v="1"/>
    <x v="2"/>
    <b v="0"/>
    <n v="4"/>
    <x v="5"/>
    <n v="1"/>
    <x v="0"/>
    <n v="0.16"/>
    <s v="Winter"/>
    <s v="Weekday"/>
    <n v="0.2273"/>
    <n v="9.3193000000000001"/>
    <n v="0.64"/>
    <n v="0"/>
    <x v="3"/>
    <x v="6"/>
    <n v="2"/>
  </r>
  <r>
    <n v="119"/>
    <d v="2011-06-01T00:00:00"/>
    <s v="Wednesday"/>
    <x v="0"/>
    <n v="0"/>
    <n v="1"/>
    <x v="4"/>
    <b v="0"/>
    <n v="4"/>
    <x v="5"/>
    <n v="2"/>
    <x v="1"/>
    <n v="0.16"/>
    <s v="Winter"/>
    <s v="Weekday"/>
    <n v="0.19700000000000001"/>
    <n v="8.077"/>
    <n v="0.64"/>
    <n v="8.9599999999999999E-2"/>
    <x v="3"/>
    <x v="4"/>
    <n v="1"/>
  </r>
  <r>
    <n v="120"/>
    <d v="2011-06-01T00:00:00"/>
    <s v="Wednesday"/>
    <x v="0"/>
    <n v="0"/>
    <n v="1"/>
    <x v="5"/>
    <b v="0"/>
    <n v="4"/>
    <x v="5"/>
    <n v="2"/>
    <x v="1"/>
    <n v="0.14000000000000001"/>
    <s v="Winter"/>
    <s v="Weekday"/>
    <n v="0.18179999999999999"/>
    <n v="7.4537999999999993"/>
    <n v="0.69"/>
    <n v="8.9599999999999999E-2"/>
    <x v="3"/>
    <x v="22"/>
    <n v="4"/>
  </r>
  <r>
    <n v="121"/>
    <d v="2011-06-01T00:00:00"/>
    <s v="Wednesday"/>
    <x v="0"/>
    <n v="0"/>
    <n v="1"/>
    <x v="6"/>
    <b v="0"/>
    <n v="4"/>
    <x v="5"/>
    <n v="2"/>
    <x v="1"/>
    <n v="0.14000000000000001"/>
    <s v="Winter"/>
    <s v="Weekday"/>
    <n v="0.16669999999999999"/>
    <n v="6.8346999999999998"/>
    <n v="0.63"/>
    <n v="0.1045"/>
    <x v="3"/>
    <x v="49"/>
    <n v="36"/>
  </r>
  <r>
    <n v="122"/>
    <d v="2011-06-01T00:00:00"/>
    <s v="Wednesday"/>
    <x v="0"/>
    <n v="0"/>
    <n v="1"/>
    <x v="7"/>
    <b v="0"/>
    <n v="4"/>
    <x v="5"/>
    <n v="2"/>
    <x v="1"/>
    <n v="0.16"/>
    <s v="Winter"/>
    <s v="Weekday"/>
    <n v="0.2273"/>
    <n v="9.3193000000000001"/>
    <n v="0.59"/>
    <n v="0"/>
    <x v="3"/>
    <x v="73"/>
    <n v="95"/>
  </r>
  <r>
    <n v="123"/>
    <d v="2011-06-01T00:00:00"/>
    <s v="Wednesday"/>
    <x v="0"/>
    <n v="0"/>
    <n v="1"/>
    <x v="8"/>
    <b v="0"/>
    <n v="4"/>
    <x v="5"/>
    <n v="1"/>
    <x v="0"/>
    <n v="0.16"/>
    <s v="Winter"/>
    <s v="Weekday"/>
    <n v="0.2273"/>
    <n v="9.3193000000000001"/>
    <n v="0.59"/>
    <n v="0"/>
    <x v="0"/>
    <x v="74"/>
    <n v="219"/>
  </r>
  <r>
    <n v="124"/>
    <d v="2011-06-01T00:00:00"/>
    <s v="Wednesday"/>
    <x v="0"/>
    <n v="0"/>
    <n v="1"/>
    <x v="9"/>
    <b v="0"/>
    <n v="4"/>
    <x v="5"/>
    <n v="2"/>
    <x v="1"/>
    <n v="0.18"/>
    <s v="Winter"/>
    <s v="Weekday"/>
    <n v="0.2424"/>
    <n v="9.9383999999999997"/>
    <n v="0.51"/>
    <n v="0"/>
    <x v="15"/>
    <x v="75"/>
    <n v="122"/>
  </r>
  <r>
    <n v="125"/>
    <d v="2011-06-01T00:00:00"/>
    <s v="Wednesday"/>
    <x v="0"/>
    <n v="0"/>
    <n v="1"/>
    <x v="10"/>
    <b v="0"/>
    <n v="4"/>
    <x v="5"/>
    <n v="1"/>
    <x v="0"/>
    <n v="0.2"/>
    <s v="Winter"/>
    <s v="Weekday"/>
    <n v="0.2576"/>
    <n v="10.5616"/>
    <n v="0.47"/>
    <n v="0"/>
    <x v="0"/>
    <x v="76"/>
    <n v="45"/>
  </r>
  <r>
    <n v="126"/>
    <d v="2011-06-01T00:00:00"/>
    <s v="Wednesday"/>
    <x v="0"/>
    <n v="0"/>
    <n v="1"/>
    <x v="11"/>
    <b v="0"/>
    <n v="4"/>
    <x v="5"/>
    <n v="1"/>
    <x v="0"/>
    <n v="0.22"/>
    <s v="Winter"/>
    <s v="Weekday"/>
    <n v="0.2576"/>
    <n v="10.5616"/>
    <n v="0.44"/>
    <n v="8.9599999999999999E-2"/>
    <x v="4"/>
    <x v="77"/>
    <n v="59"/>
  </r>
  <r>
    <n v="127"/>
    <d v="2011-06-01T00:00:00"/>
    <s v="Wednesday"/>
    <x v="0"/>
    <n v="0"/>
    <n v="1"/>
    <x v="12"/>
    <b v="0"/>
    <n v="4"/>
    <x v="5"/>
    <n v="1"/>
    <x v="0"/>
    <n v="0.26"/>
    <s v="Winter"/>
    <s v="Weekday"/>
    <n v="0.28789999999999999"/>
    <n v="11.803899999999999"/>
    <n v="0.35"/>
    <n v="0"/>
    <x v="15"/>
    <x v="78"/>
    <n v="84"/>
  </r>
  <r>
    <n v="128"/>
    <d v="2011-06-01T00:00:00"/>
    <s v="Wednesday"/>
    <x v="0"/>
    <n v="0"/>
    <n v="1"/>
    <x v="13"/>
    <b v="0"/>
    <n v="4"/>
    <x v="5"/>
    <n v="1"/>
    <x v="0"/>
    <n v="0.26"/>
    <s v="Winter"/>
    <s v="Weekday"/>
    <n v="0.2727"/>
    <n v="11.1807"/>
    <n v="0.35"/>
    <n v="0.1045"/>
    <x v="6"/>
    <x v="11"/>
    <n v="67"/>
  </r>
  <r>
    <n v="129"/>
    <d v="2011-06-01T00:00:00"/>
    <s v="Wednesday"/>
    <x v="0"/>
    <n v="0"/>
    <n v="1"/>
    <x v="14"/>
    <b v="0"/>
    <n v="4"/>
    <x v="5"/>
    <n v="1"/>
    <x v="0"/>
    <n v="0.28000000000000003"/>
    <s v="Winter"/>
    <s v="Weekday"/>
    <n v="0.2727"/>
    <n v="11.1807"/>
    <n v="0.36"/>
    <n v="0.16420000000000001"/>
    <x v="16"/>
    <x v="79"/>
    <n v="70"/>
  </r>
  <r>
    <n v="130"/>
    <d v="2011-06-01T00:00:00"/>
    <s v="Wednesday"/>
    <x v="0"/>
    <n v="0"/>
    <n v="1"/>
    <x v="15"/>
    <b v="0"/>
    <n v="4"/>
    <x v="5"/>
    <n v="1"/>
    <x v="0"/>
    <n v="0.28000000000000003"/>
    <s v="Winter"/>
    <s v="Weekday"/>
    <n v="0.2727"/>
    <n v="11.1807"/>
    <n v="0.36"/>
    <n v="0"/>
    <x v="1"/>
    <x v="25"/>
    <n v="62"/>
  </r>
  <r>
    <n v="131"/>
    <d v="2011-06-01T00:00:00"/>
    <s v="Wednesday"/>
    <x v="0"/>
    <n v="0"/>
    <n v="1"/>
    <x v="16"/>
    <b v="0"/>
    <n v="4"/>
    <x v="5"/>
    <n v="1"/>
    <x v="0"/>
    <n v="0.26"/>
    <s v="Winter"/>
    <s v="Weekday"/>
    <n v="0.2576"/>
    <n v="10.5616"/>
    <n v="0.38"/>
    <n v="0.16420000000000001"/>
    <x v="6"/>
    <x v="64"/>
    <n v="86"/>
  </r>
  <r>
    <n v="132"/>
    <d v="2011-06-01T00:00:00"/>
    <s v="Wednesday"/>
    <x v="0"/>
    <n v="0"/>
    <n v="1"/>
    <x v="17"/>
    <b v="0"/>
    <n v="4"/>
    <x v="5"/>
    <n v="1"/>
    <x v="0"/>
    <n v="0.22"/>
    <s v="Winter"/>
    <s v="Weekday"/>
    <n v="0.2273"/>
    <n v="9.3193000000000001"/>
    <n v="0.51"/>
    <n v="0.16420000000000001"/>
    <x v="14"/>
    <x v="80"/>
    <n v="172"/>
  </r>
  <r>
    <n v="133"/>
    <d v="2011-06-01T00:00:00"/>
    <s v="Wednesday"/>
    <x v="0"/>
    <n v="0"/>
    <n v="1"/>
    <x v="18"/>
    <b v="0"/>
    <n v="4"/>
    <x v="5"/>
    <n v="1"/>
    <x v="0"/>
    <n v="0.22"/>
    <s v="Winter"/>
    <s v="Weekday"/>
    <n v="0.2273"/>
    <n v="9.3193000000000001"/>
    <n v="0.51"/>
    <n v="0.1343"/>
    <x v="2"/>
    <x v="81"/>
    <n v="163"/>
  </r>
  <r>
    <n v="134"/>
    <d v="2011-06-01T00:00:00"/>
    <s v="Wednesday"/>
    <x v="0"/>
    <n v="0"/>
    <n v="1"/>
    <x v="19"/>
    <b v="0"/>
    <n v="4"/>
    <x v="5"/>
    <n v="1"/>
    <x v="0"/>
    <n v="0.22"/>
    <s v="Winter"/>
    <s v="Weekday"/>
    <n v="0.2576"/>
    <n v="10.5616"/>
    <n v="0.55000000000000004"/>
    <n v="8.9599999999999999E-2"/>
    <x v="0"/>
    <x v="63"/>
    <n v="112"/>
  </r>
  <r>
    <n v="135"/>
    <d v="2011-06-01T00:00:00"/>
    <s v="Wednesday"/>
    <x v="0"/>
    <n v="0"/>
    <n v="1"/>
    <x v="20"/>
    <b v="0"/>
    <n v="4"/>
    <x v="5"/>
    <n v="1"/>
    <x v="0"/>
    <n v="0.2"/>
    <s v="Winter"/>
    <s v="Weekday"/>
    <n v="0.21210000000000001"/>
    <n v="8.6961000000000013"/>
    <n v="0.51"/>
    <n v="0.16420000000000001"/>
    <x v="0"/>
    <x v="43"/>
    <n v="69"/>
  </r>
  <r>
    <n v="136"/>
    <d v="2011-06-01T00:00:00"/>
    <s v="Wednesday"/>
    <x v="0"/>
    <n v="0"/>
    <n v="1"/>
    <x v="21"/>
    <b v="0"/>
    <n v="4"/>
    <x v="5"/>
    <n v="2"/>
    <x v="1"/>
    <n v="0.22"/>
    <s v="Winter"/>
    <s v="Weekday"/>
    <n v="0.21210000000000001"/>
    <n v="8.6961000000000013"/>
    <n v="0.55000000000000004"/>
    <n v="0.22389999999999999"/>
    <x v="3"/>
    <x v="41"/>
    <n v="48"/>
  </r>
  <r>
    <n v="137"/>
    <d v="2011-06-01T00:00:00"/>
    <s v="Wednesday"/>
    <x v="0"/>
    <n v="0"/>
    <n v="1"/>
    <x v="22"/>
    <b v="0"/>
    <n v="4"/>
    <x v="5"/>
    <n v="2"/>
    <x v="1"/>
    <n v="0.22"/>
    <s v="Winter"/>
    <s v="Weekday"/>
    <n v="0.21210000000000001"/>
    <n v="8.6961000000000013"/>
    <n v="0.51"/>
    <n v="0.28360000000000002"/>
    <x v="5"/>
    <x v="82"/>
    <n v="52"/>
  </r>
  <r>
    <n v="138"/>
    <d v="2011-06-01T00:00:00"/>
    <s v="Wednesday"/>
    <x v="0"/>
    <n v="0"/>
    <n v="1"/>
    <x v="23"/>
    <b v="0"/>
    <n v="4"/>
    <x v="5"/>
    <n v="2"/>
    <x v="1"/>
    <n v="0.2"/>
    <s v="Winter"/>
    <s v="Weekday"/>
    <n v="0.19700000000000001"/>
    <n v="8.077"/>
    <n v="0.59"/>
    <n v="0.19400000000000001"/>
    <x v="17"/>
    <x v="23"/>
    <n v="23"/>
  </r>
  <r>
    <n v="139"/>
    <d v="2011-07-01T00:00:00"/>
    <s v="Friday"/>
    <x v="0"/>
    <n v="0"/>
    <n v="1"/>
    <x v="0"/>
    <b v="0"/>
    <n v="5"/>
    <x v="6"/>
    <n v="2"/>
    <x v="1"/>
    <n v="0.2"/>
    <s v="Winter"/>
    <s v="Weekday"/>
    <n v="0.19700000000000001"/>
    <n v="8.077"/>
    <n v="0.64"/>
    <n v="0.19400000000000001"/>
    <x v="17"/>
    <x v="0"/>
    <n v="17"/>
  </r>
  <r>
    <n v="140"/>
    <d v="2011-07-01T00:00:00"/>
    <s v="Friday"/>
    <x v="0"/>
    <n v="0"/>
    <n v="1"/>
    <x v="1"/>
    <b v="0"/>
    <n v="5"/>
    <x v="6"/>
    <n v="2"/>
    <x v="1"/>
    <n v="0.2"/>
    <s v="Winter"/>
    <s v="Weekday"/>
    <n v="0.19700000000000001"/>
    <n v="8.077"/>
    <n v="0.69"/>
    <n v="0.22389999999999999"/>
    <x v="4"/>
    <x v="34"/>
    <n v="7"/>
  </r>
  <r>
    <n v="141"/>
    <d v="2011-07-01T00:00:00"/>
    <s v="Friday"/>
    <x v="0"/>
    <n v="0"/>
    <n v="1"/>
    <x v="2"/>
    <b v="0"/>
    <n v="5"/>
    <x v="6"/>
    <n v="2"/>
    <x v="1"/>
    <n v="0.2"/>
    <s v="Winter"/>
    <s v="Weekday"/>
    <n v="0.19700000000000001"/>
    <n v="8.077"/>
    <n v="0.69"/>
    <n v="0.22389999999999999"/>
    <x v="3"/>
    <x v="4"/>
    <n v="1"/>
  </r>
  <r>
    <n v="142"/>
    <d v="2011-07-01T00:00:00"/>
    <s v="Friday"/>
    <x v="0"/>
    <n v="0"/>
    <n v="1"/>
    <x v="4"/>
    <b v="0"/>
    <n v="5"/>
    <x v="6"/>
    <n v="2"/>
    <x v="1"/>
    <n v="0.2"/>
    <s v="Winter"/>
    <s v="Weekday"/>
    <n v="0.21210000000000001"/>
    <n v="8.6961000000000013"/>
    <n v="0.69"/>
    <n v="0.1343"/>
    <x v="3"/>
    <x v="4"/>
    <n v="1"/>
  </r>
  <r>
    <n v="143"/>
    <d v="2011-07-01T00:00:00"/>
    <s v="Friday"/>
    <x v="0"/>
    <n v="0"/>
    <n v="1"/>
    <x v="5"/>
    <b v="0"/>
    <n v="5"/>
    <x v="6"/>
    <n v="3"/>
    <x v="2"/>
    <n v="0.22"/>
    <s v="Winter"/>
    <s v="Weekday"/>
    <n v="0.2727"/>
    <n v="11.1807"/>
    <n v="0.55000000000000004"/>
    <n v="0"/>
    <x v="3"/>
    <x v="34"/>
    <n v="5"/>
  </r>
  <r>
    <n v="144"/>
    <d v="2011-07-01T00:00:00"/>
    <s v="Friday"/>
    <x v="0"/>
    <n v="0"/>
    <n v="1"/>
    <x v="6"/>
    <b v="0"/>
    <n v="5"/>
    <x v="6"/>
    <n v="2"/>
    <x v="1"/>
    <n v="0.2"/>
    <s v="Winter"/>
    <s v="Weekday"/>
    <n v="0.2576"/>
    <n v="10.5616"/>
    <n v="0.69"/>
    <n v="0"/>
    <x v="1"/>
    <x v="16"/>
    <n v="34"/>
  </r>
  <r>
    <n v="145"/>
    <d v="2011-07-01T00:00:00"/>
    <s v="Friday"/>
    <x v="0"/>
    <n v="0"/>
    <n v="1"/>
    <x v="7"/>
    <b v="0"/>
    <n v="5"/>
    <x v="6"/>
    <n v="1"/>
    <x v="0"/>
    <n v="0.2"/>
    <s v="Winter"/>
    <s v="Weekday"/>
    <n v="0.21210000000000001"/>
    <n v="8.6961000000000013"/>
    <n v="0.69"/>
    <n v="0.1343"/>
    <x v="1"/>
    <x v="83"/>
    <n v="84"/>
  </r>
  <r>
    <n v="146"/>
    <d v="2011-07-01T00:00:00"/>
    <s v="Friday"/>
    <x v="0"/>
    <n v="0"/>
    <n v="1"/>
    <x v="8"/>
    <b v="0"/>
    <n v="5"/>
    <x v="6"/>
    <n v="1"/>
    <x v="0"/>
    <n v="0.2"/>
    <s v="Winter"/>
    <s v="Weekday"/>
    <n v="0.19700000000000001"/>
    <n v="8.077"/>
    <n v="0.51"/>
    <n v="0.25369999999999998"/>
    <x v="20"/>
    <x v="84"/>
    <n v="210"/>
  </r>
  <r>
    <n v="147"/>
    <d v="2011-07-01T00:00:00"/>
    <s v="Friday"/>
    <x v="0"/>
    <n v="0"/>
    <n v="1"/>
    <x v="9"/>
    <b v="0"/>
    <n v="5"/>
    <x v="6"/>
    <n v="1"/>
    <x v="0"/>
    <n v="0.2"/>
    <s v="Winter"/>
    <s v="Weekday"/>
    <n v="0.18179999999999999"/>
    <n v="7.4537999999999993"/>
    <n v="0.47"/>
    <n v="0.29849999999999999"/>
    <x v="14"/>
    <x v="85"/>
    <n v="134"/>
  </r>
  <r>
    <n v="148"/>
    <d v="2011-07-01T00:00:00"/>
    <s v="Friday"/>
    <x v="0"/>
    <n v="0"/>
    <n v="1"/>
    <x v="10"/>
    <b v="0"/>
    <n v="5"/>
    <x v="6"/>
    <n v="1"/>
    <x v="0"/>
    <n v="0.22"/>
    <s v="Winter"/>
    <s v="Weekday"/>
    <n v="0.19700000000000001"/>
    <n v="8.077"/>
    <n v="0.37"/>
    <n v="0.32840000000000003"/>
    <x v="19"/>
    <x v="12"/>
    <n v="63"/>
  </r>
  <r>
    <n v="149"/>
    <d v="2011-07-01T00:00:00"/>
    <s v="Friday"/>
    <x v="0"/>
    <n v="0"/>
    <n v="1"/>
    <x v="11"/>
    <b v="0"/>
    <n v="5"/>
    <x v="6"/>
    <n v="2"/>
    <x v="1"/>
    <n v="0.2"/>
    <s v="Winter"/>
    <s v="Weekday"/>
    <n v="0.19700000000000001"/>
    <n v="8.077"/>
    <n v="0.4"/>
    <n v="0.22389999999999999"/>
    <x v="21"/>
    <x v="41"/>
    <n v="67"/>
  </r>
  <r>
    <n v="150"/>
    <d v="2011-07-01T00:00:00"/>
    <s v="Friday"/>
    <x v="0"/>
    <n v="0"/>
    <n v="1"/>
    <x v="12"/>
    <b v="0"/>
    <n v="5"/>
    <x v="6"/>
    <n v="2"/>
    <x v="1"/>
    <n v="0.2"/>
    <s v="Winter"/>
    <s v="Weekday"/>
    <n v="0.19700000000000001"/>
    <n v="8.077"/>
    <n v="0.37"/>
    <n v="0.25369999999999998"/>
    <x v="14"/>
    <x v="54"/>
    <n v="59"/>
  </r>
  <r>
    <n v="151"/>
    <d v="2011-07-01T00:00:00"/>
    <s v="Friday"/>
    <x v="0"/>
    <n v="0"/>
    <n v="1"/>
    <x v="13"/>
    <b v="0"/>
    <n v="5"/>
    <x v="6"/>
    <n v="2"/>
    <x v="1"/>
    <n v="0.2"/>
    <s v="Winter"/>
    <s v="Weekday"/>
    <n v="0.18179999999999999"/>
    <n v="7.4537999999999993"/>
    <n v="0.37"/>
    <n v="0.28360000000000002"/>
    <x v="14"/>
    <x v="27"/>
    <n v="73"/>
  </r>
  <r>
    <n v="152"/>
    <d v="2011-07-01T00:00:00"/>
    <s v="Friday"/>
    <x v="0"/>
    <n v="0"/>
    <n v="1"/>
    <x v="14"/>
    <b v="0"/>
    <n v="5"/>
    <x v="6"/>
    <n v="2"/>
    <x v="1"/>
    <n v="0.2"/>
    <s v="Winter"/>
    <s v="Weekday"/>
    <n v="0.19700000000000001"/>
    <n v="8.077"/>
    <n v="0.4"/>
    <n v="0.25369999999999998"/>
    <x v="18"/>
    <x v="30"/>
    <n v="50"/>
  </r>
  <r>
    <n v="153"/>
    <d v="2011-07-01T00:00:00"/>
    <s v="Friday"/>
    <x v="0"/>
    <n v="0"/>
    <n v="1"/>
    <x v="15"/>
    <b v="0"/>
    <n v="5"/>
    <x v="6"/>
    <n v="2"/>
    <x v="1"/>
    <n v="0.2"/>
    <s v="Winter"/>
    <s v="Weekday"/>
    <n v="0.21210000000000001"/>
    <n v="8.6961000000000013"/>
    <n v="0.37"/>
    <n v="0.16420000000000001"/>
    <x v="14"/>
    <x v="36"/>
    <n v="72"/>
  </r>
  <r>
    <n v="154"/>
    <d v="2011-07-01T00:00:00"/>
    <s v="Friday"/>
    <x v="0"/>
    <n v="0"/>
    <n v="1"/>
    <x v="16"/>
    <b v="0"/>
    <n v="5"/>
    <x v="6"/>
    <n v="2"/>
    <x v="1"/>
    <n v="0.2"/>
    <s v="Winter"/>
    <s v="Weekday"/>
    <n v="0.21210000000000001"/>
    <n v="8.6961000000000013"/>
    <n v="0.37"/>
    <n v="0.16420000000000001"/>
    <x v="2"/>
    <x v="70"/>
    <n v="87"/>
  </r>
  <r>
    <n v="155"/>
    <d v="2011-07-01T00:00:00"/>
    <s v="Friday"/>
    <x v="0"/>
    <n v="0"/>
    <n v="1"/>
    <x v="17"/>
    <b v="0"/>
    <n v="5"/>
    <x v="6"/>
    <n v="2"/>
    <x v="1"/>
    <n v="0.2"/>
    <s v="Winter"/>
    <s v="Weekday"/>
    <n v="0.2576"/>
    <n v="10.5616"/>
    <n v="0.37"/>
    <n v="0"/>
    <x v="14"/>
    <x v="86"/>
    <n v="187"/>
  </r>
  <r>
    <n v="156"/>
    <d v="2011-07-01T00:00:00"/>
    <s v="Friday"/>
    <x v="0"/>
    <n v="0"/>
    <n v="1"/>
    <x v="18"/>
    <b v="0"/>
    <n v="5"/>
    <x v="6"/>
    <n v="1"/>
    <x v="0"/>
    <n v="0.2"/>
    <s v="Winter"/>
    <s v="Weekday"/>
    <n v="0.2273"/>
    <n v="9.3193000000000001"/>
    <n v="0.4"/>
    <n v="8.9599999999999999E-2"/>
    <x v="18"/>
    <x v="75"/>
    <n v="123"/>
  </r>
  <r>
    <n v="157"/>
    <d v="2011-07-01T00:00:00"/>
    <s v="Friday"/>
    <x v="0"/>
    <n v="0"/>
    <n v="1"/>
    <x v="19"/>
    <b v="0"/>
    <n v="5"/>
    <x v="6"/>
    <n v="1"/>
    <x v="0"/>
    <n v="0.16"/>
    <s v="Winter"/>
    <s v="Weekday"/>
    <n v="0.19700000000000001"/>
    <n v="8.077"/>
    <n v="0.55000000000000004"/>
    <n v="8.9599999999999999E-2"/>
    <x v="0"/>
    <x v="50"/>
    <n v="95"/>
  </r>
  <r>
    <n v="158"/>
    <d v="2011-07-01T00:00:00"/>
    <s v="Friday"/>
    <x v="0"/>
    <n v="0"/>
    <n v="1"/>
    <x v="20"/>
    <b v="0"/>
    <n v="5"/>
    <x v="6"/>
    <n v="1"/>
    <x v="0"/>
    <n v="0.18"/>
    <s v="Winter"/>
    <s v="Weekday"/>
    <n v="0.21210000000000001"/>
    <n v="8.6961000000000013"/>
    <n v="0.47"/>
    <n v="0.1045"/>
    <x v="5"/>
    <x v="54"/>
    <n v="51"/>
  </r>
  <r>
    <n v="159"/>
    <d v="2011-07-01T00:00:00"/>
    <s v="Friday"/>
    <x v="0"/>
    <n v="0"/>
    <n v="1"/>
    <x v="21"/>
    <b v="0"/>
    <n v="5"/>
    <x v="6"/>
    <n v="1"/>
    <x v="0"/>
    <n v="0.18"/>
    <s v="Winter"/>
    <s v="Weekday"/>
    <n v="0.19700000000000001"/>
    <n v="8.077"/>
    <n v="0.47"/>
    <n v="0.1343"/>
    <x v="3"/>
    <x v="87"/>
    <n v="39"/>
  </r>
  <r>
    <n v="160"/>
    <d v="2011-07-01T00:00:00"/>
    <s v="Friday"/>
    <x v="0"/>
    <n v="0"/>
    <n v="1"/>
    <x v="22"/>
    <b v="0"/>
    <n v="5"/>
    <x v="6"/>
    <n v="2"/>
    <x v="1"/>
    <n v="0.18"/>
    <s v="Winter"/>
    <s v="Weekday"/>
    <n v="0.19700000000000001"/>
    <n v="8.077"/>
    <n v="0.43"/>
    <n v="0.16420000000000001"/>
    <x v="4"/>
    <x v="60"/>
    <n v="36"/>
  </r>
  <r>
    <n v="161"/>
    <d v="2011-07-01T00:00:00"/>
    <s v="Friday"/>
    <x v="0"/>
    <n v="0"/>
    <n v="1"/>
    <x v="23"/>
    <b v="0"/>
    <n v="5"/>
    <x v="6"/>
    <n v="2"/>
    <x v="1"/>
    <n v="0.18"/>
    <s v="Winter"/>
    <s v="Weekday"/>
    <n v="0.19700000000000001"/>
    <n v="8.077"/>
    <n v="0.51"/>
    <n v="0.16420000000000001"/>
    <x v="5"/>
    <x v="88"/>
    <n v="15"/>
  </r>
  <r>
    <n v="162"/>
    <d v="2011-08-01T00:00:00"/>
    <s v="Monday"/>
    <x v="0"/>
    <n v="0"/>
    <n v="1"/>
    <x v="0"/>
    <b v="0"/>
    <n v="6"/>
    <x v="0"/>
    <n v="2"/>
    <x v="1"/>
    <n v="0.18"/>
    <s v="Winter"/>
    <s v="Weekday"/>
    <n v="0.19700000000000001"/>
    <n v="8.077"/>
    <n v="0.51"/>
    <n v="0.16420000000000001"/>
    <x v="5"/>
    <x v="9"/>
    <n v="25"/>
  </r>
  <r>
    <n v="163"/>
    <d v="2011-08-01T00:00:00"/>
    <s v="Monday"/>
    <x v="0"/>
    <n v="0"/>
    <n v="1"/>
    <x v="1"/>
    <b v="0"/>
    <n v="6"/>
    <x v="0"/>
    <n v="2"/>
    <x v="1"/>
    <n v="0.18"/>
    <s v="Winter"/>
    <s v="Weekday"/>
    <n v="0.21210000000000001"/>
    <n v="8.6961000000000013"/>
    <n v="0.55000000000000004"/>
    <n v="8.9599999999999999E-2"/>
    <x v="5"/>
    <x v="89"/>
    <n v="16"/>
  </r>
  <r>
    <n v="164"/>
    <d v="2011-08-01T00:00:00"/>
    <s v="Monday"/>
    <x v="0"/>
    <n v="0"/>
    <n v="1"/>
    <x v="2"/>
    <b v="0"/>
    <n v="6"/>
    <x v="0"/>
    <n v="2"/>
    <x v="1"/>
    <n v="0.18"/>
    <s v="Winter"/>
    <s v="Weekday"/>
    <n v="0.2424"/>
    <n v="9.9383999999999997"/>
    <n v="0.55000000000000004"/>
    <n v="0"/>
    <x v="0"/>
    <x v="0"/>
    <n v="16"/>
  </r>
  <r>
    <n v="165"/>
    <d v="2011-08-01T00:00:00"/>
    <s v="Monday"/>
    <x v="0"/>
    <n v="0"/>
    <n v="1"/>
    <x v="3"/>
    <b v="0"/>
    <n v="6"/>
    <x v="0"/>
    <n v="3"/>
    <x v="2"/>
    <n v="0.18"/>
    <s v="Winter"/>
    <s v="Weekday"/>
    <n v="0.19700000000000001"/>
    <n v="8.077"/>
    <n v="0.55000000000000004"/>
    <n v="0.16420000000000001"/>
    <x v="3"/>
    <x v="7"/>
    <n v="7"/>
  </r>
  <r>
    <n v="166"/>
    <d v="2011-08-01T00:00:00"/>
    <s v="Monday"/>
    <x v="0"/>
    <n v="0"/>
    <n v="1"/>
    <x v="4"/>
    <b v="0"/>
    <n v="6"/>
    <x v="0"/>
    <n v="3"/>
    <x v="2"/>
    <n v="0.18"/>
    <s v="Winter"/>
    <s v="Weekday"/>
    <n v="0.19700000000000001"/>
    <n v="8.077"/>
    <n v="0.55000000000000004"/>
    <n v="0.16420000000000001"/>
    <x v="3"/>
    <x v="4"/>
    <n v="1"/>
  </r>
  <r>
    <n v="167"/>
    <d v="2011-08-01T00:00:00"/>
    <s v="Monday"/>
    <x v="0"/>
    <n v="0"/>
    <n v="1"/>
    <x v="5"/>
    <b v="0"/>
    <n v="6"/>
    <x v="0"/>
    <n v="2"/>
    <x v="1"/>
    <n v="0.16"/>
    <s v="Winter"/>
    <s v="Weekday"/>
    <n v="0.16669999999999999"/>
    <n v="6.8346999999999998"/>
    <n v="0.74"/>
    <n v="0.16420000000000001"/>
    <x v="3"/>
    <x v="34"/>
    <n v="5"/>
  </r>
  <r>
    <n v="168"/>
    <d v="2011-08-01T00:00:00"/>
    <s v="Monday"/>
    <x v="0"/>
    <n v="0"/>
    <n v="1"/>
    <x v="6"/>
    <b v="0"/>
    <n v="6"/>
    <x v="0"/>
    <n v="2"/>
    <x v="1"/>
    <n v="0.16"/>
    <s v="Winter"/>
    <s v="Weekday"/>
    <n v="0.16669999999999999"/>
    <n v="6.8346999999999998"/>
    <n v="0.74"/>
    <n v="0.16420000000000001"/>
    <x v="3"/>
    <x v="6"/>
    <n v="2"/>
  </r>
  <r>
    <n v="169"/>
    <d v="2011-08-01T00:00:00"/>
    <s v="Monday"/>
    <x v="0"/>
    <n v="0"/>
    <n v="1"/>
    <x v="7"/>
    <b v="0"/>
    <n v="6"/>
    <x v="0"/>
    <n v="2"/>
    <x v="1"/>
    <n v="0.16"/>
    <s v="Winter"/>
    <s v="Weekday"/>
    <n v="0.18179999999999999"/>
    <n v="7.4537999999999993"/>
    <n v="0.74"/>
    <n v="0.1045"/>
    <x v="5"/>
    <x v="21"/>
    <n v="9"/>
  </r>
  <r>
    <n v="170"/>
    <d v="2011-08-01T00:00:00"/>
    <s v="Monday"/>
    <x v="0"/>
    <n v="0"/>
    <n v="1"/>
    <x v="8"/>
    <b v="0"/>
    <n v="6"/>
    <x v="0"/>
    <n v="3"/>
    <x v="2"/>
    <n v="0.16"/>
    <s v="Winter"/>
    <s v="Weekday"/>
    <n v="0.18179999999999999"/>
    <n v="7.4537999999999993"/>
    <n v="0.93"/>
    <n v="0.1045"/>
    <x v="3"/>
    <x v="89"/>
    <n v="15"/>
  </r>
  <r>
    <n v="171"/>
    <d v="2011-08-01T00:00:00"/>
    <s v="Monday"/>
    <x v="0"/>
    <n v="0"/>
    <n v="1"/>
    <x v="9"/>
    <b v="0"/>
    <n v="6"/>
    <x v="0"/>
    <n v="3"/>
    <x v="2"/>
    <n v="0.16"/>
    <s v="Winter"/>
    <s v="Weekday"/>
    <n v="0.18179999999999999"/>
    <n v="7.4537999999999993"/>
    <n v="0.93"/>
    <n v="0.1045"/>
    <x v="3"/>
    <x v="32"/>
    <n v="20"/>
  </r>
  <r>
    <n v="172"/>
    <d v="2011-08-01T00:00:00"/>
    <s v="Monday"/>
    <x v="0"/>
    <n v="0"/>
    <n v="1"/>
    <x v="10"/>
    <b v="0"/>
    <n v="6"/>
    <x v="0"/>
    <n v="2"/>
    <x v="1"/>
    <n v="0.18"/>
    <s v="Winter"/>
    <s v="Weekday"/>
    <n v="0.19700000000000001"/>
    <n v="8.077"/>
    <n v="0.8"/>
    <n v="0.16420000000000001"/>
    <x v="2"/>
    <x v="90"/>
    <n v="61"/>
  </r>
  <r>
    <n v="173"/>
    <d v="2011-08-01T00:00:00"/>
    <s v="Monday"/>
    <x v="0"/>
    <n v="0"/>
    <n v="1"/>
    <x v="11"/>
    <b v="0"/>
    <n v="6"/>
    <x v="0"/>
    <n v="2"/>
    <x v="1"/>
    <n v="0.2"/>
    <s v="Winter"/>
    <s v="Weekday"/>
    <n v="0.18179999999999999"/>
    <n v="7.4537999999999993"/>
    <n v="0.69"/>
    <n v="0.3881"/>
    <x v="4"/>
    <x v="91"/>
    <n v="62"/>
  </r>
  <r>
    <n v="174"/>
    <d v="2011-08-01T00:00:00"/>
    <s v="Monday"/>
    <x v="0"/>
    <n v="0"/>
    <n v="1"/>
    <x v="12"/>
    <b v="0"/>
    <n v="6"/>
    <x v="0"/>
    <n v="2"/>
    <x v="1"/>
    <n v="0.2"/>
    <s v="Winter"/>
    <s v="Weekday"/>
    <n v="0.18179999999999999"/>
    <n v="7.4537999999999993"/>
    <n v="0.59"/>
    <n v="0.35820000000000002"/>
    <x v="1"/>
    <x v="92"/>
    <n v="98"/>
  </r>
  <r>
    <n v="175"/>
    <d v="2011-08-01T00:00:00"/>
    <s v="Monday"/>
    <x v="0"/>
    <n v="0"/>
    <n v="1"/>
    <x v="13"/>
    <b v="0"/>
    <n v="6"/>
    <x v="0"/>
    <n v="1"/>
    <x v="0"/>
    <n v="0.2"/>
    <s v="Winter"/>
    <s v="Weekday"/>
    <n v="0.18179999999999999"/>
    <n v="7.4537999999999993"/>
    <n v="0.44"/>
    <n v="0.32840000000000003"/>
    <x v="18"/>
    <x v="73"/>
    <n v="102"/>
  </r>
  <r>
    <n v="176"/>
    <d v="2011-08-01T00:00:00"/>
    <s v="Monday"/>
    <x v="0"/>
    <n v="0"/>
    <n v="1"/>
    <x v="14"/>
    <b v="0"/>
    <n v="6"/>
    <x v="0"/>
    <n v="1"/>
    <x v="0"/>
    <n v="0.2"/>
    <s v="Winter"/>
    <s v="Weekday"/>
    <n v="0.16669999999999999"/>
    <n v="6.8346999999999998"/>
    <n v="0.32"/>
    <n v="0.49249999999999999"/>
    <x v="6"/>
    <x v="93"/>
    <n v="95"/>
  </r>
  <r>
    <n v="177"/>
    <d v="2011-08-01T00:00:00"/>
    <s v="Monday"/>
    <x v="0"/>
    <n v="0"/>
    <n v="1"/>
    <x v="15"/>
    <b v="0"/>
    <n v="6"/>
    <x v="0"/>
    <n v="1"/>
    <x v="0"/>
    <n v="0.2"/>
    <s v="Winter"/>
    <s v="Weekday"/>
    <n v="0.16669999999999999"/>
    <n v="6.8346999999999998"/>
    <n v="0.32"/>
    <n v="0.44779999999999998"/>
    <x v="2"/>
    <x v="94"/>
    <n v="74"/>
  </r>
  <r>
    <n v="178"/>
    <d v="2011-08-01T00:00:00"/>
    <s v="Monday"/>
    <x v="0"/>
    <n v="0"/>
    <n v="1"/>
    <x v="16"/>
    <b v="0"/>
    <n v="6"/>
    <x v="0"/>
    <n v="1"/>
    <x v="0"/>
    <n v="0.18"/>
    <s v="Winter"/>
    <s v="Weekday"/>
    <n v="0.13639999999999999"/>
    <n v="5.5923999999999996"/>
    <n v="0.28999999999999998"/>
    <n v="0.44779999999999998"/>
    <x v="1"/>
    <x v="56"/>
    <n v="76"/>
  </r>
  <r>
    <n v="179"/>
    <d v="2011-08-01T00:00:00"/>
    <s v="Monday"/>
    <x v="0"/>
    <n v="0"/>
    <n v="1"/>
    <x v="17"/>
    <b v="0"/>
    <n v="6"/>
    <x v="0"/>
    <n v="1"/>
    <x v="0"/>
    <n v="0.16"/>
    <s v="Winter"/>
    <s v="Weekday"/>
    <n v="0.1212"/>
    <n v="4.9691999999999998"/>
    <n v="0.37"/>
    <n v="0.55220000000000002"/>
    <x v="2"/>
    <x v="27"/>
    <n v="69"/>
  </r>
  <r>
    <n v="180"/>
    <d v="2011-08-01T00:00:00"/>
    <s v="Monday"/>
    <x v="0"/>
    <n v="0"/>
    <n v="1"/>
    <x v="18"/>
    <b v="0"/>
    <n v="6"/>
    <x v="0"/>
    <n v="1"/>
    <x v="0"/>
    <n v="0.14000000000000001"/>
    <s v="Winter"/>
    <s v="Weekday"/>
    <n v="0.1212"/>
    <n v="4.9691999999999998"/>
    <n v="0.39"/>
    <n v="0.29849999999999999"/>
    <x v="0"/>
    <x v="15"/>
    <n v="55"/>
  </r>
  <r>
    <n v="181"/>
    <d v="2011-08-01T00:00:00"/>
    <s v="Monday"/>
    <x v="0"/>
    <n v="0"/>
    <n v="1"/>
    <x v="19"/>
    <b v="0"/>
    <n v="6"/>
    <x v="0"/>
    <n v="1"/>
    <x v="0"/>
    <n v="0.14000000000000001"/>
    <s v="Winter"/>
    <s v="Weekday"/>
    <n v="0.1212"/>
    <n v="4.9691999999999998"/>
    <n v="0.36"/>
    <n v="0.25369999999999998"/>
    <x v="17"/>
    <x v="16"/>
    <n v="30"/>
  </r>
  <r>
    <n v="182"/>
    <d v="2011-08-01T00:00:00"/>
    <s v="Monday"/>
    <x v="0"/>
    <n v="0"/>
    <n v="1"/>
    <x v="20"/>
    <b v="0"/>
    <n v="6"/>
    <x v="0"/>
    <n v="1"/>
    <x v="0"/>
    <n v="0.12"/>
    <s v="Winter"/>
    <s v="Weekday"/>
    <n v="0.1212"/>
    <n v="4.9691999999999998"/>
    <n v="0.36"/>
    <n v="0.25369999999999998"/>
    <x v="3"/>
    <x v="95"/>
    <n v="28"/>
  </r>
  <r>
    <n v="183"/>
    <d v="2011-08-01T00:00:00"/>
    <s v="Monday"/>
    <x v="0"/>
    <n v="0"/>
    <n v="1"/>
    <x v="21"/>
    <b v="0"/>
    <n v="6"/>
    <x v="0"/>
    <n v="1"/>
    <x v="0"/>
    <n v="0.12"/>
    <s v="Winter"/>
    <s v="Weekday"/>
    <n v="0.1061"/>
    <n v="4.3501000000000003"/>
    <n v="0.39"/>
    <n v="0.35820000000000002"/>
    <x v="4"/>
    <x v="96"/>
    <n v="37"/>
  </r>
  <r>
    <n v="184"/>
    <d v="2011-08-01T00:00:00"/>
    <s v="Monday"/>
    <x v="0"/>
    <n v="0"/>
    <n v="1"/>
    <x v="22"/>
    <b v="0"/>
    <n v="6"/>
    <x v="0"/>
    <n v="1"/>
    <x v="0"/>
    <n v="0.12"/>
    <s v="Winter"/>
    <s v="Weekday"/>
    <n v="0.1061"/>
    <n v="4.3501000000000003"/>
    <n v="0.36"/>
    <n v="0.3881"/>
    <x v="5"/>
    <x v="39"/>
    <n v="34"/>
  </r>
  <r>
    <n v="185"/>
    <d v="2011-08-01T00:00:00"/>
    <s v="Monday"/>
    <x v="0"/>
    <n v="0"/>
    <n v="1"/>
    <x v="23"/>
    <b v="0"/>
    <n v="6"/>
    <x v="0"/>
    <n v="1"/>
    <x v="0"/>
    <n v="0.1"/>
    <s v="Winter"/>
    <s v="Weekday"/>
    <n v="6.0600000000000001E-2"/>
    <n v="2.4845999999999999"/>
    <n v="0.39"/>
    <n v="0.44779999999999998"/>
    <x v="3"/>
    <x v="97"/>
    <n v="22"/>
  </r>
  <r>
    <n v="186"/>
    <d v="2011-09-01T00:00:00"/>
    <s v="Thursday"/>
    <x v="0"/>
    <n v="0"/>
    <n v="1"/>
    <x v="0"/>
    <b v="0"/>
    <n v="0"/>
    <x v="1"/>
    <n v="1"/>
    <x v="0"/>
    <n v="0.1"/>
    <s v="Winter"/>
    <s v="Weekday"/>
    <n v="7.5800000000000006E-2"/>
    <n v="3.1078000000000001"/>
    <n v="0.42"/>
    <n v="0.3881"/>
    <x v="5"/>
    <x v="9"/>
    <n v="25"/>
  </r>
  <r>
    <n v="187"/>
    <d v="2011-09-01T00:00:00"/>
    <s v="Thursday"/>
    <x v="0"/>
    <n v="0"/>
    <n v="1"/>
    <x v="1"/>
    <b v="0"/>
    <n v="0"/>
    <x v="1"/>
    <n v="1"/>
    <x v="0"/>
    <n v="0.1"/>
    <s v="Winter"/>
    <s v="Weekday"/>
    <n v="6.0600000000000001E-2"/>
    <n v="2.4845999999999999"/>
    <n v="0.42"/>
    <n v="0.4627"/>
    <x v="3"/>
    <x v="98"/>
    <n v="12"/>
  </r>
  <r>
    <n v="188"/>
    <d v="2011-09-01T00:00:00"/>
    <s v="Thursday"/>
    <x v="0"/>
    <n v="0"/>
    <n v="1"/>
    <x v="2"/>
    <b v="0"/>
    <n v="0"/>
    <x v="1"/>
    <n v="1"/>
    <x v="0"/>
    <n v="0.1"/>
    <s v="Winter"/>
    <s v="Weekday"/>
    <n v="6.0600000000000001E-2"/>
    <n v="2.4845999999999999"/>
    <n v="0.46"/>
    <n v="0.4627"/>
    <x v="3"/>
    <x v="48"/>
    <n v="11"/>
  </r>
  <r>
    <n v="189"/>
    <d v="2011-09-01T00:00:00"/>
    <s v="Thursday"/>
    <x v="0"/>
    <n v="0"/>
    <n v="1"/>
    <x v="3"/>
    <b v="0"/>
    <n v="0"/>
    <x v="1"/>
    <n v="1"/>
    <x v="0"/>
    <n v="0.1"/>
    <s v="Winter"/>
    <s v="Weekday"/>
    <n v="7.5800000000000006E-2"/>
    <n v="3.1078000000000001"/>
    <n v="0.46"/>
    <n v="0.41789999999999999"/>
    <x v="3"/>
    <x v="22"/>
    <n v="4"/>
  </r>
  <r>
    <n v="190"/>
    <d v="2011-09-01T00:00:00"/>
    <s v="Thursday"/>
    <x v="0"/>
    <n v="0"/>
    <n v="1"/>
    <x v="4"/>
    <b v="0"/>
    <n v="0"/>
    <x v="1"/>
    <n v="1"/>
    <x v="0"/>
    <n v="0.08"/>
    <s v="Winter"/>
    <s v="Weekday"/>
    <n v="9.0899999999999995E-2"/>
    <n v="3.7268999999999997"/>
    <n v="0.53"/>
    <n v="0.19400000000000001"/>
    <x v="3"/>
    <x v="4"/>
    <n v="1"/>
  </r>
  <r>
    <n v="191"/>
    <d v="2011-09-01T00:00:00"/>
    <s v="Thursday"/>
    <x v="0"/>
    <n v="0"/>
    <n v="1"/>
    <x v="5"/>
    <b v="0"/>
    <n v="0"/>
    <x v="1"/>
    <n v="1"/>
    <x v="0"/>
    <n v="0.08"/>
    <s v="Winter"/>
    <s v="Weekday"/>
    <n v="9.0899999999999995E-2"/>
    <n v="3.7268999999999997"/>
    <n v="0.53"/>
    <n v="0.19400000000000001"/>
    <x v="3"/>
    <x v="4"/>
    <n v="1"/>
  </r>
  <r>
    <n v="192"/>
    <d v="2011-09-01T00:00:00"/>
    <s v="Thursday"/>
    <x v="0"/>
    <n v="0"/>
    <n v="1"/>
    <x v="6"/>
    <b v="0"/>
    <n v="0"/>
    <x v="1"/>
    <n v="1"/>
    <x v="0"/>
    <n v="0.1"/>
    <s v="Winter"/>
    <s v="Weekday"/>
    <n v="9.0899999999999995E-2"/>
    <n v="3.7268999999999997"/>
    <n v="0.49"/>
    <n v="0.28360000000000002"/>
    <x v="3"/>
    <x v="4"/>
    <n v="1"/>
  </r>
  <r>
    <n v="193"/>
    <d v="2011-09-01T00:00:00"/>
    <s v="Thursday"/>
    <x v="0"/>
    <n v="0"/>
    <n v="1"/>
    <x v="7"/>
    <b v="0"/>
    <n v="0"/>
    <x v="1"/>
    <n v="1"/>
    <x v="0"/>
    <n v="0.08"/>
    <s v="Winter"/>
    <s v="Weekday"/>
    <n v="9.0899999999999995E-2"/>
    <n v="3.7268999999999997"/>
    <n v="0.53"/>
    <n v="0.19400000000000001"/>
    <x v="5"/>
    <x v="34"/>
    <n v="6"/>
  </r>
  <r>
    <n v="194"/>
    <d v="2011-09-01T00:00:00"/>
    <s v="Thursday"/>
    <x v="0"/>
    <n v="0"/>
    <n v="1"/>
    <x v="8"/>
    <b v="0"/>
    <n v="0"/>
    <x v="1"/>
    <n v="1"/>
    <x v="0"/>
    <n v="0.1"/>
    <s v="Winter"/>
    <s v="Weekday"/>
    <n v="9.0899999999999995E-2"/>
    <n v="3.7268999999999997"/>
    <n v="0.49"/>
    <n v="0.28360000000000002"/>
    <x v="3"/>
    <x v="3"/>
    <n v="10"/>
  </r>
  <r>
    <n v="195"/>
    <d v="2011-09-01T00:00:00"/>
    <s v="Thursday"/>
    <x v="0"/>
    <n v="0"/>
    <n v="1"/>
    <x v="9"/>
    <b v="0"/>
    <n v="0"/>
    <x v="1"/>
    <n v="1"/>
    <x v="0"/>
    <n v="0.12"/>
    <s v="Winter"/>
    <s v="Weekday"/>
    <n v="7.5800000000000006E-2"/>
    <n v="3.1078000000000001"/>
    <n v="0.46"/>
    <n v="0.52239999999999998"/>
    <x v="3"/>
    <x v="23"/>
    <n v="19"/>
  </r>
  <r>
    <n v="196"/>
    <d v="2011-09-01T00:00:00"/>
    <s v="Thursday"/>
    <x v="0"/>
    <n v="0"/>
    <n v="1"/>
    <x v="10"/>
    <b v="0"/>
    <n v="0"/>
    <x v="1"/>
    <n v="1"/>
    <x v="0"/>
    <n v="0.14000000000000001"/>
    <s v="Winter"/>
    <s v="Weekday"/>
    <n v="0.1061"/>
    <n v="4.3501000000000003"/>
    <n v="0.43"/>
    <n v="0.3881"/>
    <x v="3"/>
    <x v="47"/>
    <n v="49"/>
  </r>
  <r>
    <n v="197"/>
    <d v="2011-09-01T00:00:00"/>
    <s v="Thursday"/>
    <x v="0"/>
    <n v="0"/>
    <n v="1"/>
    <x v="11"/>
    <b v="0"/>
    <n v="0"/>
    <x v="1"/>
    <n v="1"/>
    <x v="0"/>
    <n v="0.16"/>
    <s v="Winter"/>
    <s v="Weekday"/>
    <n v="0.1212"/>
    <n v="4.9691999999999998"/>
    <n v="0.4"/>
    <n v="0.52239999999999998"/>
    <x v="4"/>
    <x v="12"/>
    <n v="49"/>
  </r>
  <r>
    <n v="198"/>
    <d v="2011-09-01T00:00:00"/>
    <s v="Thursday"/>
    <x v="0"/>
    <n v="0"/>
    <n v="1"/>
    <x v="12"/>
    <b v="0"/>
    <n v="0"/>
    <x v="1"/>
    <n v="1"/>
    <x v="0"/>
    <n v="0.18"/>
    <s v="Winter"/>
    <s v="Weekday"/>
    <n v="0.13639999999999999"/>
    <n v="5.5923999999999996"/>
    <n v="0.37"/>
    <n v="0.44779999999999998"/>
    <x v="17"/>
    <x v="55"/>
    <n v="83"/>
  </r>
  <r>
    <n v="199"/>
    <d v="2011-09-01T00:00:00"/>
    <s v="Thursday"/>
    <x v="0"/>
    <n v="0"/>
    <n v="1"/>
    <x v="13"/>
    <b v="0"/>
    <n v="0"/>
    <x v="1"/>
    <n v="1"/>
    <x v="0"/>
    <n v="0.2"/>
    <s v="Winter"/>
    <s v="Weekday"/>
    <n v="0.16669999999999999"/>
    <n v="6.8346999999999998"/>
    <n v="0.34"/>
    <n v="0.44779999999999998"/>
    <x v="15"/>
    <x v="94"/>
    <n v="75"/>
  </r>
  <r>
    <n v="200"/>
    <d v="2011-09-01T00:00:00"/>
    <s v="Thursday"/>
    <x v="0"/>
    <n v="0"/>
    <n v="1"/>
    <x v="14"/>
    <b v="0"/>
    <n v="0"/>
    <x v="1"/>
    <n v="1"/>
    <x v="0"/>
    <n v="0.22"/>
    <s v="Winter"/>
    <s v="Weekday"/>
    <n v="0.18179999999999999"/>
    <n v="7.4537999999999993"/>
    <n v="0.32"/>
    <n v="0.4627"/>
    <x v="1"/>
    <x v="27"/>
    <n v="72"/>
  </r>
  <r>
    <n v="201"/>
    <d v="2011-09-01T00:00:00"/>
    <s v="Thursday"/>
    <x v="0"/>
    <n v="0"/>
    <n v="1"/>
    <x v="15"/>
    <b v="0"/>
    <n v="0"/>
    <x v="1"/>
    <n v="1"/>
    <x v="0"/>
    <n v="0.22"/>
    <s v="Winter"/>
    <s v="Weekday"/>
    <n v="0.19700000000000001"/>
    <n v="8.077"/>
    <n v="0.35"/>
    <n v="0.35820000000000002"/>
    <x v="2"/>
    <x v="99"/>
    <n v="82"/>
  </r>
  <r>
    <n v="202"/>
    <d v="2011-09-01T00:00:00"/>
    <s v="Thursday"/>
    <x v="0"/>
    <n v="0"/>
    <n v="1"/>
    <x v="16"/>
    <b v="0"/>
    <n v="0"/>
    <x v="1"/>
    <n v="1"/>
    <x v="0"/>
    <n v="0.2"/>
    <s v="Winter"/>
    <s v="Weekday"/>
    <n v="0.16669999999999999"/>
    <n v="6.8346999999999998"/>
    <n v="0.34"/>
    <n v="0.44779999999999998"/>
    <x v="23"/>
    <x v="55"/>
    <n v="92"/>
  </r>
  <r>
    <n v="203"/>
    <d v="2011-09-01T00:00:00"/>
    <s v="Thursday"/>
    <x v="0"/>
    <n v="0"/>
    <n v="1"/>
    <x v="17"/>
    <b v="0"/>
    <n v="0"/>
    <x v="1"/>
    <n v="1"/>
    <x v="0"/>
    <n v="0.18"/>
    <s v="Winter"/>
    <s v="Weekday"/>
    <n v="0.1515"/>
    <n v="6.2115"/>
    <n v="0.37"/>
    <n v="0.3881"/>
    <x v="0"/>
    <x v="79"/>
    <n v="62"/>
  </r>
  <r>
    <n v="204"/>
    <d v="2011-09-01T00:00:00"/>
    <s v="Thursday"/>
    <x v="0"/>
    <n v="0"/>
    <n v="1"/>
    <x v="18"/>
    <b v="0"/>
    <n v="0"/>
    <x v="1"/>
    <n v="1"/>
    <x v="0"/>
    <n v="0.16"/>
    <s v="Winter"/>
    <s v="Weekday"/>
    <n v="0.13639999999999999"/>
    <n v="5.5923999999999996"/>
    <n v="0.4"/>
    <n v="0.32840000000000003"/>
    <x v="17"/>
    <x v="100"/>
    <n v="48"/>
  </r>
  <r>
    <n v="205"/>
    <d v="2011-09-01T00:00:00"/>
    <s v="Thursday"/>
    <x v="0"/>
    <n v="0"/>
    <n v="1"/>
    <x v="19"/>
    <b v="0"/>
    <n v="0"/>
    <x v="1"/>
    <n v="1"/>
    <x v="0"/>
    <n v="0.16"/>
    <s v="Winter"/>
    <s v="Weekday"/>
    <n v="0.13639999999999999"/>
    <n v="5.5923999999999996"/>
    <n v="0.43"/>
    <n v="0.32840000000000003"/>
    <x v="5"/>
    <x v="71"/>
    <n v="41"/>
  </r>
  <r>
    <n v="206"/>
    <d v="2011-09-01T00:00:00"/>
    <s v="Thursday"/>
    <x v="0"/>
    <n v="0"/>
    <n v="1"/>
    <x v="20"/>
    <b v="0"/>
    <n v="0"/>
    <x v="1"/>
    <n v="1"/>
    <x v="0"/>
    <n v="0.14000000000000001"/>
    <s v="Winter"/>
    <s v="Weekday"/>
    <n v="0.1212"/>
    <n v="4.9691999999999998"/>
    <n v="0.46"/>
    <n v="0.25369999999999998"/>
    <x v="3"/>
    <x v="101"/>
    <n v="38"/>
  </r>
  <r>
    <n v="207"/>
    <d v="2011-09-01T00:00:00"/>
    <s v="Thursday"/>
    <x v="0"/>
    <n v="0"/>
    <n v="1"/>
    <x v="21"/>
    <b v="0"/>
    <n v="0"/>
    <x v="1"/>
    <n v="1"/>
    <x v="0"/>
    <n v="0.14000000000000001"/>
    <s v="Winter"/>
    <s v="Weekday"/>
    <n v="0.1061"/>
    <n v="4.3501000000000003"/>
    <n v="0.46"/>
    <n v="0.41789999999999999"/>
    <x v="5"/>
    <x v="23"/>
    <n v="20"/>
  </r>
  <r>
    <n v="208"/>
    <d v="2011-09-01T00:00:00"/>
    <s v="Thursday"/>
    <x v="0"/>
    <n v="0"/>
    <n v="1"/>
    <x v="22"/>
    <b v="0"/>
    <n v="0"/>
    <x v="1"/>
    <n v="1"/>
    <x v="0"/>
    <n v="0.14000000000000001"/>
    <s v="Winter"/>
    <s v="Weekday"/>
    <n v="0.1212"/>
    <n v="4.9691999999999998"/>
    <n v="0.46"/>
    <n v="0.29849999999999999"/>
    <x v="2"/>
    <x v="3"/>
    <n v="15"/>
  </r>
  <r>
    <n v="209"/>
    <d v="2011-09-01T00:00:00"/>
    <s v="Thursday"/>
    <x v="0"/>
    <n v="0"/>
    <n v="1"/>
    <x v="23"/>
    <b v="0"/>
    <n v="0"/>
    <x v="1"/>
    <n v="1"/>
    <x v="0"/>
    <n v="0.12"/>
    <s v="Winter"/>
    <s v="Weekday"/>
    <n v="0.13639999999999999"/>
    <n v="5.5923999999999996"/>
    <n v="0.5"/>
    <n v="0.19400000000000001"/>
    <x v="3"/>
    <x v="8"/>
    <n v="6"/>
  </r>
  <r>
    <n v="210"/>
    <d v="2011-10-01T00:00:00"/>
    <s v="Saturday"/>
    <x v="0"/>
    <n v="0"/>
    <n v="1"/>
    <x v="0"/>
    <b v="0"/>
    <n v="1"/>
    <x v="2"/>
    <n v="1"/>
    <x v="0"/>
    <n v="0.12"/>
    <s v="Winter"/>
    <s v="Weekend"/>
    <n v="0.1212"/>
    <n v="4.9691999999999998"/>
    <n v="0.5"/>
    <n v="0.28360000000000002"/>
    <x v="4"/>
    <x v="35"/>
    <n v="5"/>
  </r>
  <r>
    <n v="211"/>
    <d v="2011-10-01T00:00:00"/>
    <s v="Saturday"/>
    <x v="0"/>
    <n v="0"/>
    <n v="1"/>
    <x v="1"/>
    <b v="0"/>
    <n v="1"/>
    <x v="2"/>
    <n v="1"/>
    <x v="0"/>
    <n v="0.12"/>
    <s v="Winter"/>
    <s v="Weekend"/>
    <n v="0.1212"/>
    <n v="4.9691999999999998"/>
    <n v="0.5"/>
    <n v="0.28360000000000002"/>
    <x v="5"/>
    <x v="5"/>
    <n v="1"/>
  </r>
  <r>
    <n v="212"/>
    <d v="2011-10-01T00:00:00"/>
    <s v="Saturday"/>
    <x v="0"/>
    <n v="0"/>
    <n v="1"/>
    <x v="2"/>
    <b v="0"/>
    <n v="1"/>
    <x v="2"/>
    <n v="1"/>
    <x v="0"/>
    <n v="0.12"/>
    <s v="Winter"/>
    <s v="Weekend"/>
    <n v="0.1212"/>
    <n v="4.9691999999999998"/>
    <n v="0.5"/>
    <n v="0.22389999999999999"/>
    <x v="3"/>
    <x v="35"/>
    <n v="3"/>
  </r>
  <r>
    <n v="213"/>
    <d v="2011-10-01T00:00:00"/>
    <s v="Saturday"/>
    <x v="0"/>
    <n v="0"/>
    <n v="1"/>
    <x v="3"/>
    <b v="0"/>
    <n v="1"/>
    <x v="2"/>
    <n v="1"/>
    <x v="0"/>
    <n v="0.12"/>
    <s v="Winter"/>
    <s v="Weekend"/>
    <n v="0.1212"/>
    <n v="4.9691999999999998"/>
    <n v="0.5"/>
    <n v="0.22389999999999999"/>
    <x v="3"/>
    <x v="4"/>
    <n v="1"/>
  </r>
  <r>
    <n v="214"/>
    <d v="2011-10-01T00:00:00"/>
    <s v="Saturday"/>
    <x v="0"/>
    <n v="0"/>
    <n v="1"/>
    <x v="4"/>
    <b v="0"/>
    <n v="1"/>
    <x v="2"/>
    <n v="1"/>
    <x v="0"/>
    <n v="0.1"/>
    <s v="Winter"/>
    <s v="Weekend"/>
    <n v="0.1212"/>
    <n v="4.9691999999999998"/>
    <n v="0.54"/>
    <n v="0.1343"/>
    <x v="5"/>
    <x v="6"/>
    <n v="3"/>
  </r>
  <r>
    <n v="215"/>
    <d v="2011-10-01T00:00:00"/>
    <s v="Saturday"/>
    <x v="0"/>
    <n v="0"/>
    <n v="1"/>
    <x v="5"/>
    <b v="0"/>
    <n v="1"/>
    <x v="2"/>
    <n v="1"/>
    <x v="0"/>
    <n v="0.1"/>
    <s v="Winter"/>
    <s v="Weekend"/>
    <n v="0.1061"/>
    <n v="4.3501000000000003"/>
    <n v="0.54"/>
    <n v="0.25369999999999998"/>
    <x v="3"/>
    <x v="35"/>
    <n v="3"/>
  </r>
  <r>
    <n v="216"/>
    <d v="2011-10-01T00:00:00"/>
    <s v="Saturday"/>
    <x v="0"/>
    <n v="0"/>
    <n v="1"/>
    <x v="6"/>
    <b v="0"/>
    <n v="1"/>
    <x v="2"/>
    <n v="1"/>
    <x v="0"/>
    <n v="0.12"/>
    <s v="Winter"/>
    <s v="Weekend"/>
    <n v="0.1212"/>
    <n v="4.9691999999999998"/>
    <n v="0.5"/>
    <n v="0.28360000000000002"/>
    <x v="3"/>
    <x v="17"/>
    <n v="31"/>
  </r>
  <r>
    <n v="217"/>
    <d v="2011-10-01T00:00:00"/>
    <s v="Saturday"/>
    <x v="0"/>
    <n v="0"/>
    <n v="1"/>
    <x v="7"/>
    <b v="0"/>
    <n v="1"/>
    <x v="2"/>
    <n v="1"/>
    <x v="0"/>
    <n v="0.12"/>
    <s v="Winter"/>
    <s v="Weekend"/>
    <n v="0.1212"/>
    <n v="4.9691999999999998"/>
    <n v="0.5"/>
    <n v="0.22389999999999999"/>
    <x v="4"/>
    <x v="102"/>
    <n v="77"/>
  </r>
  <r>
    <n v="218"/>
    <d v="2011-10-01T00:00:00"/>
    <s v="Saturday"/>
    <x v="0"/>
    <n v="0"/>
    <n v="1"/>
    <x v="8"/>
    <b v="0"/>
    <n v="1"/>
    <x v="2"/>
    <n v="2"/>
    <x v="1"/>
    <n v="0.12"/>
    <s v="Winter"/>
    <s v="Weekend"/>
    <n v="0.1212"/>
    <n v="4.9691999999999998"/>
    <n v="0.5"/>
    <n v="0.28360000000000002"/>
    <x v="17"/>
    <x v="103"/>
    <n v="188"/>
  </r>
  <r>
    <n v="219"/>
    <d v="2011-10-01T00:00:00"/>
    <s v="Saturday"/>
    <x v="0"/>
    <n v="0"/>
    <n v="1"/>
    <x v="9"/>
    <b v="0"/>
    <n v="1"/>
    <x v="2"/>
    <n v="2"/>
    <x v="1"/>
    <n v="0.14000000000000001"/>
    <s v="Winter"/>
    <s v="Weekend"/>
    <n v="0.1212"/>
    <n v="4.9691999999999998"/>
    <n v="0.5"/>
    <n v="0.25369999999999998"/>
    <x v="4"/>
    <x v="50"/>
    <n v="94"/>
  </r>
  <r>
    <n v="220"/>
    <d v="2011-10-01T00:00:00"/>
    <s v="Saturday"/>
    <x v="0"/>
    <n v="0"/>
    <n v="1"/>
    <x v="10"/>
    <b v="0"/>
    <n v="1"/>
    <x v="2"/>
    <n v="2"/>
    <x v="1"/>
    <n v="0.14000000000000001"/>
    <s v="Winter"/>
    <s v="Weekend"/>
    <n v="0.1212"/>
    <n v="4.9691999999999998"/>
    <n v="0.5"/>
    <n v="0.29849999999999999"/>
    <x v="3"/>
    <x v="17"/>
    <n v="31"/>
  </r>
  <r>
    <n v="221"/>
    <d v="2011-10-01T00:00:00"/>
    <s v="Saturday"/>
    <x v="0"/>
    <n v="0"/>
    <n v="1"/>
    <x v="11"/>
    <b v="0"/>
    <n v="1"/>
    <x v="2"/>
    <n v="2"/>
    <x v="1"/>
    <n v="0.16"/>
    <s v="Winter"/>
    <s v="Weekend"/>
    <n v="0.13639999999999999"/>
    <n v="5.5923999999999996"/>
    <n v="0.47"/>
    <n v="0.28360000000000002"/>
    <x v="4"/>
    <x v="95"/>
    <n v="30"/>
  </r>
  <r>
    <n v="222"/>
    <d v="2011-10-01T00:00:00"/>
    <s v="Saturday"/>
    <x v="0"/>
    <n v="0"/>
    <n v="1"/>
    <x v="12"/>
    <b v="0"/>
    <n v="1"/>
    <x v="2"/>
    <n v="2"/>
    <x v="1"/>
    <n v="0.2"/>
    <s v="Winter"/>
    <s v="Weekend"/>
    <n v="0.18179999999999999"/>
    <n v="7.4537999999999993"/>
    <n v="0.4"/>
    <n v="0.28360000000000002"/>
    <x v="2"/>
    <x v="12"/>
    <n v="52"/>
  </r>
  <r>
    <n v="223"/>
    <d v="2011-10-01T00:00:00"/>
    <s v="Saturday"/>
    <x v="0"/>
    <n v="0"/>
    <n v="1"/>
    <x v="13"/>
    <b v="0"/>
    <n v="1"/>
    <x v="2"/>
    <n v="2"/>
    <x v="1"/>
    <n v="0.2"/>
    <s v="Winter"/>
    <s v="Weekend"/>
    <n v="0.18179999999999999"/>
    <n v="7.4537999999999993"/>
    <n v="0.4"/>
    <n v="0.28360000000000002"/>
    <x v="17"/>
    <x v="54"/>
    <n v="54"/>
  </r>
  <r>
    <n v="224"/>
    <d v="2011-10-01T00:00:00"/>
    <s v="Saturday"/>
    <x v="0"/>
    <n v="0"/>
    <n v="1"/>
    <x v="14"/>
    <b v="0"/>
    <n v="1"/>
    <x v="2"/>
    <n v="2"/>
    <x v="1"/>
    <n v="0.2"/>
    <s v="Winter"/>
    <s v="Weekend"/>
    <n v="0.19700000000000001"/>
    <n v="8.077"/>
    <n v="0.4"/>
    <n v="0.22389999999999999"/>
    <x v="3"/>
    <x v="12"/>
    <n v="47"/>
  </r>
  <r>
    <n v="225"/>
    <d v="2011-10-01T00:00:00"/>
    <s v="Saturday"/>
    <x v="0"/>
    <n v="0"/>
    <n v="1"/>
    <x v="15"/>
    <b v="0"/>
    <n v="1"/>
    <x v="2"/>
    <n v="2"/>
    <x v="1"/>
    <n v="0.2"/>
    <s v="Winter"/>
    <s v="Weekend"/>
    <n v="0.19700000000000001"/>
    <n v="8.077"/>
    <n v="0.4"/>
    <n v="0.22389999999999999"/>
    <x v="4"/>
    <x v="30"/>
    <n v="45"/>
  </r>
  <r>
    <n v="226"/>
    <d v="2011-10-01T00:00:00"/>
    <s v="Saturday"/>
    <x v="0"/>
    <n v="0"/>
    <n v="1"/>
    <x v="16"/>
    <b v="0"/>
    <n v="1"/>
    <x v="2"/>
    <n v="1"/>
    <x v="0"/>
    <n v="0.2"/>
    <s v="Winter"/>
    <s v="Weekend"/>
    <n v="0.21210000000000001"/>
    <n v="8.6961000000000013"/>
    <n v="0.4"/>
    <n v="0.1343"/>
    <x v="17"/>
    <x v="14"/>
    <n v="74"/>
  </r>
  <r>
    <n v="227"/>
    <d v="2011-10-01T00:00:00"/>
    <s v="Saturday"/>
    <x v="0"/>
    <n v="0"/>
    <n v="1"/>
    <x v="17"/>
    <b v="0"/>
    <n v="1"/>
    <x v="2"/>
    <n v="1"/>
    <x v="0"/>
    <n v="0.2"/>
    <s v="Winter"/>
    <s v="Weekend"/>
    <n v="0.2273"/>
    <n v="9.3193000000000001"/>
    <n v="0.4"/>
    <n v="0.1045"/>
    <x v="17"/>
    <x v="104"/>
    <n v="178"/>
  </r>
  <r>
    <n v="228"/>
    <d v="2011-10-01T00:00:00"/>
    <s v="Saturday"/>
    <x v="0"/>
    <n v="0"/>
    <n v="1"/>
    <x v="18"/>
    <b v="0"/>
    <n v="1"/>
    <x v="2"/>
    <n v="1"/>
    <x v="0"/>
    <n v="0.2"/>
    <s v="Winter"/>
    <s v="Weekend"/>
    <n v="0.19700000000000001"/>
    <n v="8.077"/>
    <n v="0.4"/>
    <n v="0.22389999999999999"/>
    <x v="5"/>
    <x v="105"/>
    <n v="155"/>
  </r>
  <r>
    <n v="229"/>
    <d v="2011-10-01T00:00:00"/>
    <s v="Saturday"/>
    <x v="0"/>
    <n v="0"/>
    <n v="1"/>
    <x v="19"/>
    <b v="0"/>
    <n v="1"/>
    <x v="2"/>
    <n v="1"/>
    <x v="0"/>
    <n v="0.16"/>
    <s v="Winter"/>
    <s v="Weekend"/>
    <n v="0.16669999999999999"/>
    <n v="6.8346999999999998"/>
    <n v="0.47"/>
    <n v="0.16420000000000001"/>
    <x v="0"/>
    <x v="50"/>
    <n v="95"/>
  </r>
  <r>
    <n v="230"/>
    <d v="2011-10-01T00:00:00"/>
    <s v="Saturday"/>
    <x v="0"/>
    <n v="0"/>
    <n v="1"/>
    <x v="20"/>
    <b v="0"/>
    <n v="1"/>
    <x v="2"/>
    <n v="1"/>
    <x v="0"/>
    <n v="0.16"/>
    <s v="Winter"/>
    <s v="Weekend"/>
    <n v="0.16669999999999999"/>
    <n v="6.8346999999999998"/>
    <n v="0.5"/>
    <n v="0.16420000000000001"/>
    <x v="5"/>
    <x v="26"/>
    <n v="74"/>
  </r>
  <r>
    <n v="231"/>
    <d v="2011-10-01T00:00:00"/>
    <s v="Saturday"/>
    <x v="0"/>
    <n v="0"/>
    <n v="1"/>
    <x v="21"/>
    <b v="0"/>
    <n v="1"/>
    <x v="2"/>
    <n v="1"/>
    <x v="0"/>
    <n v="0.14000000000000001"/>
    <s v="Winter"/>
    <s v="Weekend"/>
    <n v="0.13639999999999999"/>
    <n v="5.5923999999999996"/>
    <n v="0.59"/>
    <n v="0.19400000000000001"/>
    <x v="5"/>
    <x v="53"/>
    <n v="38"/>
  </r>
  <r>
    <n v="232"/>
    <d v="2011-10-01T00:00:00"/>
    <s v="Saturday"/>
    <x v="0"/>
    <n v="0"/>
    <n v="1"/>
    <x v="22"/>
    <b v="0"/>
    <n v="1"/>
    <x v="2"/>
    <n v="1"/>
    <x v="0"/>
    <n v="0.14000000000000001"/>
    <s v="Winter"/>
    <s v="Weekend"/>
    <n v="0.1515"/>
    <n v="6.2115"/>
    <n v="0.59"/>
    <n v="0.16420000000000001"/>
    <x v="4"/>
    <x v="97"/>
    <n v="24"/>
  </r>
  <r>
    <n v="233"/>
    <d v="2011-10-01T00:00:00"/>
    <s v="Saturday"/>
    <x v="0"/>
    <n v="0"/>
    <n v="1"/>
    <x v="23"/>
    <b v="0"/>
    <n v="1"/>
    <x v="2"/>
    <n v="1"/>
    <x v="0"/>
    <n v="0.14000000000000001"/>
    <s v="Winter"/>
    <s v="Weekend"/>
    <n v="0.1515"/>
    <n v="6.2115"/>
    <n v="0.59"/>
    <n v="0.16420000000000001"/>
    <x v="3"/>
    <x v="72"/>
    <n v="18"/>
  </r>
  <r>
    <n v="234"/>
    <d v="2011-11-01T00:00:00"/>
    <s v="Tuesday"/>
    <x v="0"/>
    <n v="0"/>
    <n v="1"/>
    <x v="0"/>
    <b v="0"/>
    <n v="2"/>
    <x v="3"/>
    <n v="1"/>
    <x v="0"/>
    <n v="0.14000000000000001"/>
    <s v="Winter"/>
    <s v="Weekday"/>
    <n v="0.16669999999999999"/>
    <n v="6.8346999999999998"/>
    <n v="0.59"/>
    <n v="0.1045"/>
    <x v="4"/>
    <x v="3"/>
    <n v="12"/>
  </r>
  <r>
    <n v="235"/>
    <d v="2011-11-01T00:00:00"/>
    <s v="Tuesday"/>
    <x v="0"/>
    <n v="0"/>
    <n v="1"/>
    <x v="1"/>
    <b v="0"/>
    <n v="2"/>
    <x v="3"/>
    <n v="1"/>
    <x v="0"/>
    <n v="0.14000000000000001"/>
    <s v="Winter"/>
    <s v="Weekday"/>
    <n v="0.1515"/>
    <n v="6.2115"/>
    <n v="0.59"/>
    <n v="0.16420000000000001"/>
    <x v="3"/>
    <x v="35"/>
    <n v="3"/>
  </r>
  <r>
    <n v="236"/>
    <d v="2011-11-01T00:00:00"/>
    <s v="Tuesday"/>
    <x v="0"/>
    <n v="0"/>
    <n v="1"/>
    <x v="2"/>
    <b v="0"/>
    <n v="2"/>
    <x v="3"/>
    <n v="2"/>
    <x v="1"/>
    <n v="0.16"/>
    <s v="Winter"/>
    <s v="Weekday"/>
    <n v="0.1515"/>
    <n v="6.2115"/>
    <n v="0.55000000000000004"/>
    <n v="0.19400000000000001"/>
    <x v="3"/>
    <x v="35"/>
    <n v="3"/>
  </r>
  <r>
    <n v="237"/>
    <d v="2011-11-01T00:00:00"/>
    <s v="Tuesday"/>
    <x v="0"/>
    <n v="0"/>
    <n v="1"/>
    <x v="5"/>
    <b v="0"/>
    <n v="2"/>
    <x v="3"/>
    <n v="2"/>
    <x v="1"/>
    <n v="0.16"/>
    <s v="Winter"/>
    <s v="Weekday"/>
    <n v="0.18179999999999999"/>
    <n v="7.4537999999999993"/>
    <n v="0.55000000000000004"/>
    <n v="0.1343"/>
    <x v="3"/>
    <x v="8"/>
    <n v="6"/>
  </r>
  <r>
    <n v="238"/>
    <d v="2011-11-01T00:00:00"/>
    <s v="Tuesday"/>
    <x v="0"/>
    <n v="0"/>
    <n v="1"/>
    <x v="6"/>
    <b v="0"/>
    <n v="2"/>
    <x v="3"/>
    <n v="2"/>
    <x v="1"/>
    <n v="0.16"/>
    <s v="Winter"/>
    <s v="Weekday"/>
    <n v="0.18179999999999999"/>
    <n v="7.4537999999999993"/>
    <n v="0.55000000000000004"/>
    <n v="0.1343"/>
    <x v="3"/>
    <x v="2"/>
    <n v="27"/>
  </r>
  <r>
    <n v="239"/>
    <d v="2011-11-01T00:00:00"/>
    <s v="Tuesday"/>
    <x v="0"/>
    <n v="0"/>
    <n v="1"/>
    <x v="7"/>
    <b v="0"/>
    <n v="2"/>
    <x v="3"/>
    <n v="2"/>
    <x v="1"/>
    <n v="0.16"/>
    <s v="Winter"/>
    <s v="Weekday"/>
    <n v="0.2273"/>
    <n v="9.3193000000000001"/>
    <n v="0.55000000000000004"/>
    <n v="0"/>
    <x v="4"/>
    <x v="106"/>
    <n v="99"/>
  </r>
  <r>
    <n v="240"/>
    <d v="2011-11-01T00:00:00"/>
    <s v="Tuesday"/>
    <x v="0"/>
    <n v="0"/>
    <n v="1"/>
    <x v="8"/>
    <b v="0"/>
    <n v="2"/>
    <x v="3"/>
    <n v="2"/>
    <x v="1"/>
    <n v="0.18"/>
    <s v="Winter"/>
    <s v="Weekday"/>
    <n v="0.21210000000000001"/>
    <n v="8.6961000000000013"/>
    <n v="0.51"/>
    <n v="8.9599999999999999E-2"/>
    <x v="0"/>
    <x v="107"/>
    <n v="217"/>
  </r>
  <r>
    <n v="241"/>
    <d v="2011-11-01T00:00:00"/>
    <s v="Tuesday"/>
    <x v="0"/>
    <n v="0"/>
    <n v="1"/>
    <x v="9"/>
    <b v="0"/>
    <n v="2"/>
    <x v="3"/>
    <n v="2"/>
    <x v="1"/>
    <n v="0.18"/>
    <s v="Winter"/>
    <s v="Weekday"/>
    <n v="0.19700000000000001"/>
    <n v="8.077"/>
    <n v="0.51"/>
    <n v="0.16420000000000001"/>
    <x v="0"/>
    <x v="69"/>
    <n v="130"/>
  </r>
  <r>
    <n v="242"/>
    <d v="2011-11-01T00:00:00"/>
    <s v="Tuesday"/>
    <x v="0"/>
    <n v="0"/>
    <n v="1"/>
    <x v="10"/>
    <b v="0"/>
    <n v="2"/>
    <x v="3"/>
    <n v="2"/>
    <x v="1"/>
    <n v="0.2"/>
    <s v="Winter"/>
    <s v="Weekday"/>
    <n v="0.21210000000000001"/>
    <n v="8.6961000000000013"/>
    <n v="0.51"/>
    <n v="0.16420000000000001"/>
    <x v="0"/>
    <x v="82"/>
    <n v="54"/>
  </r>
  <r>
    <n v="243"/>
    <d v="2011-11-01T00:00:00"/>
    <s v="Tuesday"/>
    <x v="0"/>
    <n v="0"/>
    <n v="1"/>
    <x v="11"/>
    <b v="0"/>
    <n v="2"/>
    <x v="3"/>
    <n v="2"/>
    <x v="1"/>
    <n v="0.2"/>
    <s v="Winter"/>
    <s v="Weekday"/>
    <n v="0.21210000000000001"/>
    <n v="8.6961000000000013"/>
    <n v="0.47"/>
    <n v="0.1343"/>
    <x v="17"/>
    <x v="17"/>
    <n v="35"/>
  </r>
  <r>
    <n v="244"/>
    <d v="2011-11-01T00:00:00"/>
    <s v="Tuesday"/>
    <x v="0"/>
    <n v="0"/>
    <n v="1"/>
    <x v="12"/>
    <b v="0"/>
    <n v="2"/>
    <x v="3"/>
    <n v="2"/>
    <x v="1"/>
    <n v="0.2"/>
    <s v="Winter"/>
    <s v="Weekday"/>
    <n v="0.2273"/>
    <n v="9.3193000000000001"/>
    <n v="0.51"/>
    <n v="0.1045"/>
    <x v="4"/>
    <x v="11"/>
    <n v="57"/>
  </r>
  <r>
    <n v="245"/>
    <d v="2011-11-01T00:00:00"/>
    <s v="Tuesday"/>
    <x v="0"/>
    <n v="0"/>
    <n v="1"/>
    <x v="13"/>
    <b v="0"/>
    <n v="2"/>
    <x v="3"/>
    <n v="2"/>
    <x v="1"/>
    <n v="0.2"/>
    <s v="Winter"/>
    <s v="Weekday"/>
    <n v="0.2273"/>
    <n v="9.3193000000000001"/>
    <n v="0.59"/>
    <n v="8.9599999999999999E-2"/>
    <x v="15"/>
    <x v="24"/>
    <n v="52"/>
  </r>
  <r>
    <n v="246"/>
    <d v="2011-11-01T00:00:00"/>
    <s v="Tuesday"/>
    <x v="0"/>
    <n v="0"/>
    <n v="1"/>
    <x v="14"/>
    <b v="0"/>
    <n v="2"/>
    <x v="3"/>
    <n v="2"/>
    <x v="1"/>
    <n v="0.2"/>
    <s v="Winter"/>
    <s v="Weekday"/>
    <n v="0.2273"/>
    <n v="9.3193000000000001"/>
    <n v="0.59"/>
    <n v="8.9599999999999999E-2"/>
    <x v="0"/>
    <x v="91"/>
    <n v="63"/>
  </r>
  <r>
    <n v="247"/>
    <d v="2011-11-01T00:00:00"/>
    <s v="Tuesday"/>
    <x v="0"/>
    <n v="0"/>
    <n v="1"/>
    <x v="15"/>
    <b v="0"/>
    <n v="2"/>
    <x v="3"/>
    <n v="2"/>
    <x v="1"/>
    <n v="0.16"/>
    <s v="Winter"/>
    <s v="Weekday"/>
    <n v="0.19700000000000001"/>
    <n v="8.077"/>
    <n v="0.8"/>
    <n v="8.9599999999999999E-2"/>
    <x v="4"/>
    <x v="108"/>
    <n v="47"/>
  </r>
  <r>
    <n v="248"/>
    <d v="2011-11-01T00:00:00"/>
    <s v="Tuesday"/>
    <x v="0"/>
    <n v="0"/>
    <n v="1"/>
    <x v="16"/>
    <b v="0"/>
    <n v="2"/>
    <x v="3"/>
    <n v="2"/>
    <x v="1"/>
    <n v="0.16"/>
    <s v="Winter"/>
    <s v="Weekday"/>
    <n v="0.1515"/>
    <n v="6.2115"/>
    <n v="0.86"/>
    <n v="0.22389999999999999"/>
    <x v="17"/>
    <x v="109"/>
    <n v="76"/>
  </r>
  <r>
    <n v="249"/>
    <d v="2011-11-01T00:00:00"/>
    <s v="Tuesday"/>
    <x v="0"/>
    <n v="0"/>
    <n v="1"/>
    <x v="17"/>
    <b v="0"/>
    <n v="2"/>
    <x v="3"/>
    <n v="2"/>
    <x v="1"/>
    <n v="0.16"/>
    <s v="Winter"/>
    <s v="Weekday"/>
    <n v="0.1515"/>
    <n v="6.2115"/>
    <n v="0.86"/>
    <n v="0.22389999999999999"/>
    <x v="15"/>
    <x v="110"/>
    <n v="136"/>
  </r>
  <r>
    <n v="250"/>
    <d v="2011-11-01T00:00:00"/>
    <s v="Tuesday"/>
    <x v="0"/>
    <n v="0"/>
    <n v="1"/>
    <x v="18"/>
    <b v="0"/>
    <n v="2"/>
    <x v="3"/>
    <n v="3"/>
    <x v="2"/>
    <n v="0.16"/>
    <s v="Winter"/>
    <s v="Weekday"/>
    <n v="0.18179999999999999"/>
    <n v="7.4537999999999993"/>
    <n v="0.93"/>
    <n v="0.1045"/>
    <x v="5"/>
    <x v="111"/>
    <n v="95"/>
  </r>
  <r>
    <n v="251"/>
    <d v="2011-11-01T00:00:00"/>
    <s v="Tuesday"/>
    <x v="0"/>
    <n v="0"/>
    <n v="1"/>
    <x v="19"/>
    <b v="0"/>
    <n v="2"/>
    <x v="3"/>
    <n v="3"/>
    <x v="2"/>
    <n v="0.16"/>
    <s v="Winter"/>
    <s v="Weekday"/>
    <n v="0.2273"/>
    <n v="9.3193000000000001"/>
    <n v="0.93"/>
    <n v="0"/>
    <x v="3"/>
    <x v="82"/>
    <n v="51"/>
  </r>
  <r>
    <n v="252"/>
    <d v="2011-11-01T00:00:00"/>
    <s v="Tuesday"/>
    <x v="0"/>
    <n v="0"/>
    <n v="1"/>
    <x v="20"/>
    <b v="0"/>
    <n v="2"/>
    <x v="3"/>
    <n v="3"/>
    <x v="2"/>
    <n v="0.16"/>
    <s v="Winter"/>
    <s v="Weekday"/>
    <n v="0.1515"/>
    <n v="6.2115"/>
    <n v="0.93"/>
    <n v="0.19400000000000001"/>
    <x v="3"/>
    <x v="1"/>
    <n v="32"/>
  </r>
  <r>
    <n v="253"/>
    <d v="2011-11-01T00:00:00"/>
    <s v="Tuesday"/>
    <x v="0"/>
    <n v="0"/>
    <n v="1"/>
    <x v="21"/>
    <b v="0"/>
    <n v="2"/>
    <x v="3"/>
    <n v="3"/>
    <x v="2"/>
    <n v="0.16"/>
    <s v="Winter"/>
    <s v="Weekday"/>
    <n v="0.19700000000000001"/>
    <n v="8.077"/>
    <n v="0.86"/>
    <n v="8.9599999999999999E-2"/>
    <x v="3"/>
    <x v="32"/>
    <n v="20"/>
  </r>
  <r>
    <n v="254"/>
    <d v="2011-11-01T00:00:00"/>
    <s v="Tuesday"/>
    <x v="0"/>
    <n v="0"/>
    <n v="1"/>
    <x v="22"/>
    <b v="0"/>
    <n v="2"/>
    <x v="3"/>
    <n v="3"/>
    <x v="2"/>
    <n v="0.16"/>
    <s v="Winter"/>
    <s v="Weekday"/>
    <n v="0.18179999999999999"/>
    <n v="7.4537999999999993"/>
    <n v="0.93"/>
    <n v="0.1045"/>
    <x v="5"/>
    <x v="95"/>
    <n v="29"/>
  </r>
  <r>
    <n v="255"/>
    <d v="2011-11-01T00:00:00"/>
    <s v="Tuesday"/>
    <x v="0"/>
    <n v="0"/>
    <n v="1"/>
    <x v="23"/>
    <b v="0"/>
    <n v="2"/>
    <x v="3"/>
    <n v="3"/>
    <x v="2"/>
    <n v="0.16"/>
    <s v="Winter"/>
    <s v="Weekday"/>
    <n v="0.19700000000000001"/>
    <n v="8.077"/>
    <n v="0.93"/>
    <n v="8.9599999999999999E-2"/>
    <x v="5"/>
    <x v="72"/>
    <n v="19"/>
  </r>
  <r>
    <n v="256"/>
    <d v="2011-12-01T00:00:00"/>
    <s v="Thursday"/>
    <x v="0"/>
    <n v="0"/>
    <n v="1"/>
    <x v="0"/>
    <b v="0"/>
    <n v="3"/>
    <x v="4"/>
    <n v="2"/>
    <x v="1"/>
    <n v="0.16"/>
    <s v="Winter"/>
    <s v="Weekday"/>
    <n v="0.19700000000000001"/>
    <n v="8.077"/>
    <n v="0.86"/>
    <n v="8.9599999999999999E-2"/>
    <x v="3"/>
    <x v="7"/>
    <n v="7"/>
  </r>
  <r>
    <n v="257"/>
    <d v="2011-12-01T00:00:00"/>
    <s v="Thursday"/>
    <x v="0"/>
    <n v="0"/>
    <n v="1"/>
    <x v="1"/>
    <b v="0"/>
    <n v="3"/>
    <x v="4"/>
    <n v="2"/>
    <x v="1"/>
    <n v="0.16"/>
    <s v="Winter"/>
    <s v="Weekday"/>
    <n v="0.18179999999999999"/>
    <n v="7.4537999999999993"/>
    <n v="0.86"/>
    <n v="0.1045"/>
    <x v="3"/>
    <x v="8"/>
    <n v="6"/>
  </r>
  <r>
    <n v="258"/>
    <d v="2011-12-01T00:00:00"/>
    <s v="Thursday"/>
    <x v="0"/>
    <n v="0"/>
    <n v="1"/>
    <x v="2"/>
    <b v="0"/>
    <n v="3"/>
    <x v="4"/>
    <n v="1"/>
    <x v="0"/>
    <n v="0.14000000000000001"/>
    <s v="Winter"/>
    <s v="Weekday"/>
    <n v="0.1515"/>
    <n v="6.2115"/>
    <n v="0.86"/>
    <n v="0.1343"/>
    <x v="3"/>
    <x v="4"/>
    <n v="1"/>
  </r>
  <r>
    <n v="259"/>
    <d v="2011-12-01T00:00:00"/>
    <s v="Thursday"/>
    <x v="0"/>
    <n v="0"/>
    <n v="1"/>
    <x v="5"/>
    <b v="0"/>
    <n v="3"/>
    <x v="4"/>
    <n v="1"/>
    <x v="0"/>
    <n v="0.14000000000000001"/>
    <s v="Winter"/>
    <s v="Weekday"/>
    <n v="0.1515"/>
    <n v="6.2115"/>
    <n v="0.86"/>
    <n v="0.16420000000000001"/>
    <x v="3"/>
    <x v="34"/>
    <n v="5"/>
  </r>
  <r>
    <n v="260"/>
    <d v="2011-12-01T00:00:00"/>
    <s v="Thursday"/>
    <x v="0"/>
    <n v="0"/>
    <n v="1"/>
    <x v="6"/>
    <b v="0"/>
    <n v="3"/>
    <x v="4"/>
    <n v="1"/>
    <x v="0"/>
    <n v="0.12"/>
    <s v="Winter"/>
    <s v="Weekday"/>
    <n v="0.1515"/>
    <n v="6.2115"/>
    <n v="0.93"/>
    <n v="0.1343"/>
    <x v="3"/>
    <x v="20"/>
    <n v="16"/>
  </r>
  <r>
    <n v="261"/>
    <d v="2011-12-01T00:00:00"/>
    <s v="Thursday"/>
    <x v="0"/>
    <n v="0"/>
    <n v="1"/>
    <x v="7"/>
    <b v="0"/>
    <n v="3"/>
    <x v="4"/>
    <n v="1"/>
    <x v="0"/>
    <n v="0.14000000000000001"/>
    <s v="Winter"/>
    <s v="Weekday"/>
    <n v="0.1515"/>
    <n v="6.2115"/>
    <n v="0.69"/>
    <n v="0.1343"/>
    <x v="3"/>
    <x v="25"/>
    <n v="54"/>
  </r>
  <r>
    <n v="262"/>
    <d v="2011-12-01T00:00:00"/>
    <s v="Thursday"/>
    <x v="0"/>
    <n v="0"/>
    <n v="1"/>
    <x v="8"/>
    <b v="0"/>
    <n v="3"/>
    <x v="4"/>
    <n v="1"/>
    <x v="0"/>
    <n v="0.16"/>
    <s v="Winter"/>
    <s v="Weekday"/>
    <n v="0.16669999999999999"/>
    <n v="6.8346999999999998"/>
    <n v="0.59"/>
    <n v="0.16420000000000001"/>
    <x v="0"/>
    <x v="85"/>
    <n v="128"/>
  </r>
  <r>
    <n v="263"/>
    <d v="2011-12-01T00:00:00"/>
    <s v="Thursday"/>
    <x v="0"/>
    <n v="0"/>
    <n v="1"/>
    <x v="9"/>
    <b v="0"/>
    <n v="3"/>
    <x v="4"/>
    <n v="1"/>
    <x v="0"/>
    <n v="0.16"/>
    <s v="Winter"/>
    <s v="Weekday"/>
    <n v="0.13639999999999999"/>
    <n v="5.5923999999999996"/>
    <n v="0.59"/>
    <n v="0.32840000000000003"/>
    <x v="0"/>
    <x v="78"/>
    <n v="81"/>
  </r>
  <r>
    <n v="264"/>
    <d v="2011-12-01T00:00:00"/>
    <s v="Thursday"/>
    <x v="0"/>
    <n v="0"/>
    <n v="1"/>
    <x v="10"/>
    <b v="0"/>
    <n v="3"/>
    <x v="4"/>
    <n v="1"/>
    <x v="0"/>
    <n v="0.18"/>
    <s v="Winter"/>
    <s v="Weekday"/>
    <n v="0.18179999999999999"/>
    <n v="7.4537999999999993"/>
    <n v="0.55000000000000004"/>
    <n v="0.22389999999999999"/>
    <x v="3"/>
    <x v="87"/>
    <n v="39"/>
  </r>
  <r>
    <n v="265"/>
    <d v="2011-12-01T00:00:00"/>
    <s v="Thursday"/>
    <x v="0"/>
    <n v="0"/>
    <n v="1"/>
    <x v="11"/>
    <b v="0"/>
    <n v="3"/>
    <x v="4"/>
    <n v="1"/>
    <x v="0"/>
    <n v="0.2"/>
    <s v="Winter"/>
    <s v="Weekday"/>
    <n v="0.18179999999999999"/>
    <n v="7.4537999999999993"/>
    <n v="0.51"/>
    <n v="0.3881"/>
    <x v="0"/>
    <x v="1"/>
    <n v="35"/>
  </r>
  <r>
    <n v="266"/>
    <d v="2011-12-01T00:00:00"/>
    <s v="Thursday"/>
    <x v="0"/>
    <n v="0"/>
    <n v="1"/>
    <x v="12"/>
    <b v="0"/>
    <n v="3"/>
    <x v="4"/>
    <n v="1"/>
    <x v="0"/>
    <n v="0.2"/>
    <s v="Winter"/>
    <s v="Weekday"/>
    <n v="0.1515"/>
    <n v="6.2115"/>
    <n v="0.47"/>
    <n v="0.58209999999999995"/>
    <x v="0"/>
    <x v="15"/>
    <n v="55"/>
  </r>
  <r>
    <n v="267"/>
    <d v="2011-12-01T00:00:00"/>
    <s v="Thursday"/>
    <x v="0"/>
    <n v="0"/>
    <n v="1"/>
    <x v="13"/>
    <b v="0"/>
    <n v="3"/>
    <x v="4"/>
    <n v="1"/>
    <x v="0"/>
    <n v="0.22"/>
    <s v="Winter"/>
    <s v="Weekday"/>
    <n v="0.19700000000000001"/>
    <n v="8.077"/>
    <n v="0.44"/>
    <n v="0.35820000000000002"/>
    <x v="3"/>
    <x v="47"/>
    <n v="49"/>
  </r>
  <r>
    <n v="268"/>
    <d v="2011-12-01T00:00:00"/>
    <s v="Thursday"/>
    <x v="0"/>
    <n v="0"/>
    <n v="1"/>
    <x v="14"/>
    <b v="0"/>
    <n v="3"/>
    <x v="4"/>
    <n v="1"/>
    <x v="0"/>
    <n v="0.2"/>
    <s v="Winter"/>
    <s v="Weekday"/>
    <n v="0.18179999999999999"/>
    <n v="7.4537999999999993"/>
    <n v="0.47"/>
    <n v="0.32840000000000003"/>
    <x v="3"/>
    <x v="100"/>
    <n v="44"/>
  </r>
  <r>
    <n v="269"/>
    <d v="2011-12-01T00:00:00"/>
    <s v="Thursday"/>
    <x v="0"/>
    <n v="0"/>
    <n v="1"/>
    <x v="15"/>
    <b v="0"/>
    <n v="3"/>
    <x v="4"/>
    <n v="1"/>
    <x v="0"/>
    <n v="0.2"/>
    <s v="Winter"/>
    <s v="Weekday"/>
    <n v="0.16669999999999999"/>
    <n v="6.8346999999999998"/>
    <n v="0.47"/>
    <n v="0.41789999999999999"/>
    <x v="5"/>
    <x v="41"/>
    <n v="49"/>
  </r>
  <r>
    <n v="270"/>
    <d v="2011-12-01T00:00:00"/>
    <s v="Thursday"/>
    <x v="0"/>
    <n v="0"/>
    <n v="1"/>
    <x v="16"/>
    <b v="0"/>
    <n v="3"/>
    <x v="4"/>
    <n v="1"/>
    <x v="0"/>
    <n v="0.22"/>
    <s v="Winter"/>
    <s v="Weekday"/>
    <n v="0.19700000000000001"/>
    <n v="8.077"/>
    <n v="0.44"/>
    <n v="0.32840000000000003"/>
    <x v="2"/>
    <x v="36"/>
    <n v="68"/>
  </r>
  <r>
    <n v="271"/>
    <d v="2011-12-01T00:00:00"/>
    <s v="Thursday"/>
    <x v="0"/>
    <n v="0"/>
    <n v="1"/>
    <x v="17"/>
    <b v="0"/>
    <n v="3"/>
    <x v="4"/>
    <n v="1"/>
    <x v="0"/>
    <n v="0.2"/>
    <s v="Winter"/>
    <s v="Weekday"/>
    <n v="0.18179999999999999"/>
    <n v="7.4537999999999993"/>
    <n v="0.47"/>
    <n v="0.35820000000000002"/>
    <x v="3"/>
    <x v="112"/>
    <n v="139"/>
  </r>
  <r>
    <n v="272"/>
    <d v="2011-12-01T00:00:00"/>
    <s v="Thursday"/>
    <x v="0"/>
    <n v="0"/>
    <n v="1"/>
    <x v="18"/>
    <b v="0"/>
    <n v="3"/>
    <x v="4"/>
    <n v="1"/>
    <x v="0"/>
    <n v="0.2"/>
    <s v="Winter"/>
    <s v="Weekday"/>
    <n v="0.1515"/>
    <n v="6.2115"/>
    <n v="0.47"/>
    <n v="0.52239999999999998"/>
    <x v="4"/>
    <x v="113"/>
    <n v="137"/>
  </r>
  <r>
    <n v="273"/>
    <d v="2011-12-01T00:00:00"/>
    <s v="Thursday"/>
    <x v="0"/>
    <n v="0"/>
    <n v="1"/>
    <x v="19"/>
    <b v="0"/>
    <n v="3"/>
    <x v="4"/>
    <n v="1"/>
    <x v="0"/>
    <n v="0.18"/>
    <s v="Winter"/>
    <s v="Weekday"/>
    <n v="0.1515"/>
    <n v="6.2115"/>
    <n v="0.47"/>
    <n v="0.41789999999999999"/>
    <x v="5"/>
    <x v="70"/>
    <n v="83"/>
  </r>
  <r>
    <n v="274"/>
    <d v="2011-12-01T00:00:00"/>
    <s v="Thursday"/>
    <x v="0"/>
    <n v="0"/>
    <n v="1"/>
    <x v="20"/>
    <b v="0"/>
    <n v="3"/>
    <x v="4"/>
    <n v="1"/>
    <x v="0"/>
    <n v="0.16"/>
    <s v="Winter"/>
    <s v="Weekday"/>
    <n v="0.13639999999999999"/>
    <n v="5.5923999999999996"/>
    <n v="0.5"/>
    <n v="0.32840000000000003"/>
    <x v="4"/>
    <x v="25"/>
    <n v="56"/>
  </r>
  <r>
    <n v="275"/>
    <d v="2011-12-01T00:00:00"/>
    <s v="Thursday"/>
    <x v="0"/>
    <n v="0"/>
    <n v="1"/>
    <x v="21"/>
    <b v="0"/>
    <n v="3"/>
    <x v="4"/>
    <n v="1"/>
    <x v="0"/>
    <n v="0.16"/>
    <s v="Winter"/>
    <s v="Weekday"/>
    <n v="0.13639999999999999"/>
    <n v="5.5923999999999996"/>
    <n v="0.55000000000000004"/>
    <n v="0.32840000000000003"/>
    <x v="3"/>
    <x v="77"/>
    <n v="57"/>
  </r>
  <r>
    <n v="276"/>
    <d v="2011-12-01T00:00:00"/>
    <s v="Thursday"/>
    <x v="0"/>
    <n v="0"/>
    <n v="1"/>
    <x v="22"/>
    <b v="0"/>
    <n v="3"/>
    <x v="4"/>
    <n v="1"/>
    <x v="0"/>
    <n v="0.16"/>
    <s v="Winter"/>
    <s v="Weekday"/>
    <n v="0.1212"/>
    <n v="4.9691999999999998"/>
    <n v="0.55000000000000004"/>
    <n v="0.44779999999999998"/>
    <x v="5"/>
    <x v="1"/>
    <n v="33"/>
  </r>
  <r>
    <n v="277"/>
    <d v="2011-12-01T00:00:00"/>
    <s v="Thursday"/>
    <x v="0"/>
    <n v="0"/>
    <n v="1"/>
    <x v="23"/>
    <b v="0"/>
    <n v="3"/>
    <x v="4"/>
    <n v="1"/>
    <x v="0"/>
    <n v="0.14000000000000001"/>
    <s v="Winter"/>
    <s v="Weekday"/>
    <n v="0.1061"/>
    <n v="4.3501000000000003"/>
    <n v="0.59"/>
    <n v="0.41789999999999999"/>
    <x v="5"/>
    <x v="23"/>
    <n v="20"/>
  </r>
  <r>
    <n v="278"/>
    <d v="2011-01-13T00:00:00"/>
    <s v="Thursday"/>
    <x v="0"/>
    <n v="0"/>
    <n v="1"/>
    <x v="0"/>
    <b v="0"/>
    <n v="4"/>
    <x v="5"/>
    <n v="1"/>
    <x v="0"/>
    <n v="0.14000000000000001"/>
    <s v="Winter"/>
    <s v="Weekday"/>
    <n v="0.1212"/>
    <n v="4.9691999999999998"/>
    <n v="0.59"/>
    <n v="0.28360000000000002"/>
    <x v="5"/>
    <x v="8"/>
    <n v="7"/>
  </r>
  <r>
    <n v="279"/>
    <d v="2011-01-13T00:00:00"/>
    <s v="Thursday"/>
    <x v="0"/>
    <n v="0"/>
    <n v="1"/>
    <x v="1"/>
    <b v="0"/>
    <n v="4"/>
    <x v="5"/>
    <n v="1"/>
    <x v="0"/>
    <n v="0.14000000000000001"/>
    <s v="Winter"/>
    <s v="Weekday"/>
    <n v="0.1212"/>
    <n v="4.9691999999999998"/>
    <n v="0.5"/>
    <n v="0.28360000000000002"/>
    <x v="3"/>
    <x v="6"/>
    <n v="2"/>
  </r>
  <r>
    <n v="280"/>
    <d v="2011-01-13T00:00:00"/>
    <s v="Thursday"/>
    <x v="0"/>
    <n v="0"/>
    <n v="1"/>
    <x v="2"/>
    <b v="0"/>
    <n v="4"/>
    <x v="5"/>
    <n v="1"/>
    <x v="0"/>
    <n v="0.14000000000000001"/>
    <s v="Winter"/>
    <s v="Weekday"/>
    <n v="0.1212"/>
    <n v="4.9691999999999998"/>
    <n v="0.5"/>
    <n v="0.35820000000000002"/>
    <x v="3"/>
    <x v="6"/>
    <n v="2"/>
  </r>
  <r>
    <n v="281"/>
    <d v="2011-01-13T00:00:00"/>
    <s v="Thursday"/>
    <x v="0"/>
    <n v="0"/>
    <n v="1"/>
    <x v="3"/>
    <b v="0"/>
    <n v="4"/>
    <x v="5"/>
    <n v="1"/>
    <x v="0"/>
    <n v="0.14000000000000001"/>
    <s v="Winter"/>
    <s v="Weekday"/>
    <n v="0.1212"/>
    <n v="4.9691999999999998"/>
    <n v="0.5"/>
    <n v="0.32840000000000003"/>
    <x v="3"/>
    <x v="35"/>
    <n v="3"/>
  </r>
  <r>
    <n v="282"/>
    <d v="2011-01-13T00:00:00"/>
    <s v="Thursday"/>
    <x v="0"/>
    <n v="0"/>
    <n v="1"/>
    <x v="4"/>
    <b v="0"/>
    <n v="4"/>
    <x v="5"/>
    <n v="1"/>
    <x v="0"/>
    <n v="0.14000000000000001"/>
    <s v="Winter"/>
    <s v="Weekday"/>
    <n v="0.1212"/>
    <n v="4.9691999999999998"/>
    <n v="0.5"/>
    <n v="0.25369999999999998"/>
    <x v="3"/>
    <x v="22"/>
    <n v="4"/>
  </r>
  <r>
    <n v="283"/>
    <d v="2011-01-13T00:00:00"/>
    <s v="Thursday"/>
    <x v="0"/>
    <n v="0"/>
    <n v="1"/>
    <x v="5"/>
    <b v="0"/>
    <n v="4"/>
    <x v="5"/>
    <n v="1"/>
    <x v="0"/>
    <n v="0.14000000000000001"/>
    <s v="Winter"/>
    <s v="Weekday"/>
    <n v="0.1212"/>
    <n v="4.9691999999999998"/>
    <n v="0.5"/>
    <n v="0.29849999999999999"/>
    <x v="3"/>
    <x v="35"/>
    <n v="3"/>
  </r>
  <r>
    <n v="284"/>
    <d v="2011-01-13T00:00:00"/>
    <s v="Thursday"/>
    <x v="0"/>
    <n v="0"/>
    <n v="1"/>
    <x v="6"/>
    <b v="0"/>
    <n v="4"/>
    <x v="5"/>
    <n v="1"/>
    <x v="0"/>
    <n v="0.12"/>
    <s v="Winter"/>
    <s v="Weekday"/>
    <n v="0.1515"/>
    <n v="6.2115"/>
    <n v="0.54"/>
    <n v="0.1343"/>
    <x v="3"/>
    <x v="95"/>
    <n v="28"/>
  </r>
  <r>
    <n v="285"/>
    <d v="2011-01-13T00:00:00"/>
    <s v="Thursday"/>
    <x v="0"/>
    <n v="0"/>
    <n v="1"/>
    <x v="7"/>
    <b v="0"/>
    <n v="4"/>
    <x v="5"/>
    <n v="1"/>
    <x v="0"/>
    <n v="0.12"/>
    <s v="Winter"/>
    <s v="Weekday"/>
    <n v="0.1515"/>
    <n v="6.2115"/>
    <n v="0.54"/>
    <n v="0.1343"/>
    <x v="3"/>
    <x v="109"/>
    <n v="72"/>
  </r>
  <r>
    <n v="286"/>
    <d v="2011-01-13T00:00:00"/>
    <s v="Thursday"/>
    <x v="0"/>
    <n v="0"/>
    <n v="1"/>
    <x v="8"/>
    <b v="0"/>
    <n v="4"/>
    <x v="5"/>
    <n v="1"/>
    <x v="0"/>
    <n v="0.14000000000000001"/>
    <s v="Winter"/>
    <s v="Weekday"/>
    <n v="0.13639999999999999"/>
    <n v="5.5923999999999996"/>
    <n v="0.5"/>
    <n v="0.19400000000000001"/>
    <x v="2"/>
    <x v="114"/>
    <n v="202"/>
  </r>
  <r>
    <n v="287"/>
    <d v="2011-01-13T00:00:00"/>
    <s v="Thursday"/>
    <x v="0"/>
    <n v="0"/>
    <n v="1"/>
    <x v="9"/>
    <b v="0"/>
    <n v="4"/>
    <x v="5"/>
    <n v="1"/>
    <x v="0"/>
    <n v="0.14000000000000001"/>
    <s v="Winter"/>
    <s v="Weekday"/>
    <n v="0.1212"/>
    <n v="4.9691999999999998"/>
    <n v="0.5"/>
    <n v="0.32840000000000003"/>
    <x v="4"/>
    <x v="115"/>
    <n v="139"/>
  </r>
  <r>
    <n v="288"/>
    <d v="2011-01-13T00:00:00"/>
    <s v="Thursday"/>
    <x v="0"/>
    <n v="0"/>
    <n v="1"/>
    <x v="10"/>
    <b v="0"/>
    <n v="4"/>
    <x v="5"/>
    <n v="2"/>
    <x v="1"/>
    <n v="0.16"/>
    <s v="Winter"/>
    <s v="Weekday"/>
    <n v="0.13639999999999999"/>
    <n v="5.5923999999999996"/>
    <n v="0.5"/>
    <n v="0.35820000000000002"/>
    <x v="4"/>
    <x v="49"/>
    <n v="38"/>
  </r>
  <r>
    <n v="289"/>
    <d v="2011-01-13T00:00:00"/>
    <s v="Thursday"/>
    <x v="0"/>
    <n v="0"/>
    <n v="1"/>
    <x v="11"/>
    <b v="0"/>
    <n v="4"/>
    <x v="5"/>
    <n v="2"/>
    <x v="1"/>
    <n v="0.2"/>
    <s v="Winter"/>
    <s v="Weekday"/>
    <n v="0.16669999999999999"/>
    <n v="6.8346999999999998"/>
    <n v="0.44"/>
    <n v="0.44779999999999998"/>
    <x v="17"/>
    <x v="39"/>
    <n v="37"/>
  </r>
  <r>
    <n v="290"/>
    <d v="2011-01-13T00:00:00"/>
    <s v="Thursday"/>
    <x v="0"/>
    <n v="0"/>
    <n v="1"/>
    <x v="12"/>
    <b v="0"/>
    <n v="4"/>
    <x v="5"/>
    <n v="1"/>
    <x v="0"/>
    <n v="0.2"/>
    <s v="Winter"/>
    <s v="Weekday"/>
    <n v="0.16669999999999999"/>
    <n v="6.8346999999999998"/>
    <n v="0.44"/>
    <n v="0.41789999999999999"/>
    <x v="0"/>
    <x v="47"/>
    <n v="52"/>
  </r>
  <r>
    <n v="291"/>
    <d v="2011-01-13T00:00:00"/>
    <s v="Thursday"/>
    <x v="0"/>
    <n v="0"/>
    <n v="1"/>
    <x v="13"/>
    <b v="0"/>
    <n v="4"/>
    <x v="5"/>
    <n v="1"/>
    <x v="0"/>
    <n v="0.22"/>
    <s v="Winter"/>
    <s v="Weekday"/>
    <n v="0.19700000000000001"/>
    <n v="8.077"/>
    <n v="0.41"/>
    <n v="0.44779999999999998"/>
    <x v="4"/>
    <x v="38"/>
    <n v="83"/>
  </r>
  <r>
    <n v="292"/>
    <d v="2011-01-13T00:00:00"/>
    <s v="Thursday"/>
    <x v="0"/>
    <n v="0"/>
    <n v="1"/>
    <x v="14"/>
    <b v="0"/>
    <n v="4"/>
    <x v="5"/>
    <n v="1"/>
    <x v="0"/>
    <n v="0.22"/>
    <s v="Winter"/>
    <s v="Weekday"/>
    <n v="0.19700000000000001"/>
    <n v="8.077"/>
    <n v="0.41"/>
    <n v="0.3881"/>
    <x v="0"/>
    <x v="87"/>
    <n v="42"/>
  </r>
  <r>
    <n v="293"/>
    <d v="2011-01-13T00:00:00"/>
    <s v="Thursday"/>
    <x v="0"/>
    <n v="0"/>
    <n v="1"/>
    <x v="15"/>
    <b v="0"/>
    <n v="4"/>
    <x v="5"/>
    <n v="1"/>
    <x v="0"/>
    <n v="0.24"/>
    <s v="Winter"/>
    <s v="Weekday"/>
    <n v="0.21210000000000001"/>
    <n v="8.6961000000000013"/>
    <n v="0.38"/>
    <n v="0.29849999999999999"/>
    <x v="2"/>
    <x v="11"/>
    <n v="60"/>
  </r>
  <r>
    <n v="294"/>
    <d v="2011-01-13T00:00:00"/>
    <s v="Thursday"/>
    <x v="0"/>
    <n v="0"/>
    <n v="1"/>
    <x v="16"/>
    <b v="0"/>
    <n v="4"/>
    <x v="5"/>
    <n v="1"/>
    <x v="0"/>
    <n v="0.24"/>
    <s v="Winter"/>
    <s v="Weekday"/>
    <n v="0.21210000000000001"/>
    <n v="8.6961000000000013"/>
    <n v="0.38"/>
    <n v="0.35820000000000002"/>
    <x v="4"/>
    <x v="83"/>
    <n v="78"/>
  </r>
  <r>
    <n v="295"/>
    <d v="2011-01-13T00:00:00"/>
    <s v="Thursday"/>
    <x v="0"/>
    <n v="0"/>
    <n v="1"/>
    <x v="17"/>
    <b v="0"/>
    <n v="4"/>
    <x v="5"/>
    <n v="1"/>
    <x v="0"/>
    <n v="0.2"/>
    <s v="Winter"/>
    <s v="Weekday"/>
    <n v="0.18179999999999999"/>
    <n v="7.4537999999999993"/>
    <n v="0.4"/>
    <n v="0.28360000000000002"/>
    <x v="17"/>
    <x v="81"/>
    <n v="162"/>
  </r>
  <r>
    <n v="296"/>
    <d v="2011-01-13T00:00:00"/>
    <s v="Thursday"/>
    <x v="0"/>
    <n v="0"/>
    <n v="1"/>
    <x v="18"/>
    <b v="0"/>
    <n v="4"/>
    <x v="5"/>
    <n v="1"/>
    <x v="0"/>
    <n v="0.2"/>
    <s v="Winter"/>
    <s v="Weekday"/>
    <n v="0.18179999999999999"/>
    <n v="7.4537999999999993"/>
    <n v="0.4"/>
    <n v="0.32840000000000003"/>
    <x v="0"/>
    <x v="116"/>
    <n v="144"/>
  </r>
  <r>
    <n v="297"/>
    <d v="2011-01-13T00:00:00"/>
    <s v="Thursday"/>
    <x v="0"/>
    <n v="0"/>
    <n v="1"/>
    <x v="19"/>
    <b v="0"/>
    <n v="4"/>
    <x v="5"/>
    <n v="1"/>
    <x v="0"/>
    <n v="0.16"/>
    <s v="Winter"/>
    <s v="Weekday"/>
    <n v="0.1515"/>
    <n v="6.2115"/>
    <n v="0.47"/>
    <n v="0.25369999999999998"/>
    <x v="5"/>
    <x v="52"/>
    <n v="99"/>
  </r>
  <r>
    <n v="298"/>
    <d v="2011-01-13T00:00:00"/>
    <s v="Thursday"/>
    <x v="0"/>
    <n v="0"/>
    <n v="1"/>
    <x v="20"/>
    <b v="0"/>
    <n v="4"/>
    <x v="5"/>
    <n v="1"/>
    <x v="0"/>
    <n v="0.16"/>
    <s v="Winter"/>
    <s v="Weekday"/>
    <n v="0.1515"/>
    <n v="6.2115"/>
    <n v="0.47"/>
    <n v="0.22389999999999999"/>
    <x v="3"/>
    <x v="27"/>
    <n v="64"/>
  </r>
  <r>
    <n v="299"/>
    <d v="2011-01-13T00:00:00"/>
    <s v="Thursday"/>
    <x v="0"/>
    <n v="0"/>
    <n v="1"/>
    <x v="21"/>
    <b v="0"/>
    <n v="4"/>
    <x v="5"/>
    <n v="1"/>
    <x v="0"/>
    <n v="0.14000000000000001"/>
    <s v="Winter"/>
    <s v="Weekday"/>
    <n v="0.1212"/>
    <n v="4.9691999999999998"/>
    <n v="0.46"/>
    <n v="0.29849999999999999"/>
    <x v="3"/>
    <x v="71"/>
    <n v="40"/>
  </r>
  <r>
    <n v="300"/>
    <d v="2011-01-13T00:00:00"/>
    <s v="Thursday"/>
    <x v="0"/>
    <n v="0"/>
    <n v="1"/>
    <x v="22"/>
    <b v="0"/>
    <n v="4"/>
    <x v="5"/>
    <n v="1"/>
    <x v="0"/>
    <n v="0.14000000000000001"/>
    <s v="Winter"/>
    <s v="Weekday"/>
    <n v="0.1212"/>
    <n v="4.9691999999999998"/>
    <n v="0.46"/>
    <n v="0.32840000000000003"/>
    <x v="3"/>
    <x v="10"/>
    <n v="30"/>
  </r>
  <r>
    <n v="301"/>
    <d v="2011-01-13T00:00:00"/>
    <s v="Thursday"/>
    <x v="0"/>
    <n v="0"/>
    <n v="1"/>
    <x v="23"/>
    <b v="0"/>
    <n v="4"/>
    <x v="5"/>
    <n v="1"/>
    <x v="0"/>
    <n v="0.12"/>
    <s v="Winter"/>
    <s v="Weekday"/>
    <n v="0.13639999999999999"/>
    <n v="5.5923999999999996"/>
    <n v="0.5"/>
    <n v="0.19400000000000001"/>
    <x v="5"/>
    <x v="88"/>
    <n v="15"/>
  </r>
  <r>
    <n v="302"/>
    <d v="2011-01-14T00:00:00"/>
    <s v="Friday"/>
    <x v="0"/>
    <n v="0"/>
    <n v="1"/>
    <x v="0"/>
    <b v="0"/>
    <n v="5"/>
    <x v="6"/>
    <n v="1"/>
    <x v="0"/>
    <n v="0.12"/>
    <s v="Winter"/>
    <s v="Weekday"/>
    <n v="0.13639999999999999"/>
    <n v="5.5923999999999996"/>
    <n v="0.5"/>
    <n v="0.19400000000000001"/>
    <x v="3"/>
    <x v="88"/>
    <n v="14"/>
  </r>
  <r>
    <n v="303"/>
    <d v="2011-01-14T00:00:00"/>
    <s v="Friday"/>
    <x v="0"/>
    <n v="0"/>
    <n v="1"/>
    <x v="1"/>
    <b v="0"/>
    <n v="5"/>
    <x v="6"/>
    <n v="1"/>
    <x v="0"/>
    <n v="0.1"/>
    <s v="Winter"/>
    <s v="Weekday"/>
    <n v="0.1212"/>
    <n v="4.9691999999999998"/>
    <n v="0.54"/>
    <n v="0.16420000000000001"/>
    <x v="3"/>
    <x v="34"/>
    <n v="5"/>
  </r>
  <r>
    <n v="304"/>
    <d v="2011-01-14T00:00:00"/>
    <s v="Friday"/>
    <x v="0"/>
    <n v="0"/>
    <n v="1"/>
    <x v="2"/>
    <b v="0"/>
    <n v="5"/>
    <x v="6"/>
    <n v="1"/>
    <x v="0"/>
    <n v="0.1"/>
    <s v="Winter"/>
    <s v="Weekday"/>
    <n v="0.1212"/>
    <n v="4.9691999999999998"/>
    <n v="0.54"/>
    <n v="0.1343"/>
    <x v="3"/>
    <x v="4"/>
    <n v="1"/>
  </r>
  <r>
    <n v="305"/>
    <d v="2011-01-14T00:00:00"/>
    <s v="Friday"/>
    <x v="0"/>
    <n v="0"/>
    <n v="1"/>
    <x v="3"/>
    <b v="0"/>
    <n v="5"/>
    <x v="6"/>
    <n v="1"/>
    <x v="0"/>
    <n v="0.1"/>
    <s v="Winter"/>
    <s v="Weekday"/>
    <n v="0.13639999999999999"/>
    <n v="5.5923999999999996"/>
    <n v="0.54"/>
    <n v="0.1045"/>
    <x v="3"/>
    <x v="4"/>
    <n v="1"/>
  </r>
  <r>
    <n v="306"/>
    <d v="2011-01-14T00:00:00"/>
    <s v="Friday"/>
    <x v="0"/>
    <n v="0"/>
    <n v="1"/>
    <x v="5"/>
    <b v="0"/>
    <n v="5"/>
    <x v="6"/>
    <n v="1"/>
    <x v="0"/>
    <n v="0.1"/>
    <s v="Winter"/>
    <s v="Weekday"/>
    <n v="0.13639999999999999"/>
    <n v="5.5923999999999996"/>
    <n v="0.54"/>
    <n v="8.9599999999999999E-2"/>
    <x v="3"/>
    <x v="21"/>
    <n v="8"/>
  </r>
  <r>
    <n v="307"/>
    <d v="2011-01-14T00:00:00"/>
    <s v="Friday"/>
    <x v="0"/>
    <n v="0"/>
    <n v="1"/>
    <x v="6"/>
    <b v="0"/>
    <n v="5"/>
    <x v="6"/>
    <n v="1"/>
    <x v="0"/>
    <n v="0.1"/>
    <s v="Winter"/>
    <s v="Weekday"/>
    <n v="0.18179999999999999"/>
    <n v="7.4537999999999993"/>
    <n v="0.54"/>
    <n v="0"/>
    <x v="3"/>
    <x v="19"/>
    <n v="17"/>
  </r>
  <r>
    <n v="308"/>
    <d v="2011-01-14T00:00:00"/>
    <s v="Friday"/>
    <x v="0"/>
    <n v="0"/>
    <n v="1"/>
    <x v="7"/>
    <b v="0"/>
    <n v="5"/>
    <x v="6"/>
    <n v="1"/>
    <x v="0"/>
    <n v="0.1"/>
    <s v="Winter"/>
    <s v="Weekday"/>
    <n v="0.1212"/>
    <n v="4.9691999999999998"/>
    <n v="0.74"/>
    <n v="0.16420000000000001"/>
    <x v="3"/>
    <x v="14"/>
    <n v="70"/>
  </r>
  <r>
    <n v="309"/>
    <d v="2011-01-14T00:00:00"/>
    <s v="Friday"/>
    <x v="0"/>
    <n v="0"/>
    <n v="1"/>
    <x v="8"/>
    <b v="0"/>
    <n v="5"/>
    <x v="6"/>
    <n v="1"/>
    <x v="0"/>
    <n v="0.12"/>
    <s v="Winter"/>
    <s v="Weekday"/>
    <n v="0.16669999999999999"/>
    <n v="6.8346999999999998"/>
    <n v="0.68"/>
    <n v="0"/>
    <x v="4"/>
    <x v="117"/>
    <n v="158"/>
  </r>
  <r>
    <n v="310"/>
    <d v="2011-01-14T00:00:00"/>
    <s v="Friday"/>
    <x v="0"/>
    <n v="0"/>
    <n v="1"/>
    <x v="9"/>
    <b v="0"/>
    <n v="5"/>
    <x v="6"/>
    <n v="1"/>
    <x v="0"/>
    <n v="0.14000000000000001"/>
    <s v="Winter"/>
    <s v="Weekday"/>
    <n v="0.1515"/>
    <n v="6.2115"/>
    <n v="0.69"/>
    <n v="0.1343"/>
    <x v="3"/>
    <x v="118"/>
    <n v="117"/>
  </r>
  <r>
    <n v="311"/>
    <d v="2011-01-14T00:00:00"/>
    <s v="Friday"/>
    <x v="0"/>
    <n v="0"/>
    <n v="1"/>
    <x v="10"/>
    <b v="0"/>
    <n v="5"/>
    <x v="6"/>
    <n v="1"/>
    <x v="0"/>
    <n v="0.18"/>
    <s v="Winter"/>
    <s v="Weekday"/>
    <n v="0.18179999999999999"/>
    <n v="7.4537999999999993"/>
    <n v="0.55000000000000004"/>
    <n v="0.19400000000000001"/>
    <x v="17"/>
    <x v="71"/>
    <n v="44"/>
  </r>
  <r>
    <n v="312"/>
    <d v="2011-01-14T00:00:00"/>
    <s v="Friday"/>
    <x v="0"/>
    <n v="0"/>
    <n v="1"/>
    <x v="11"/>
    <b v="0"/>
    <n v="5"/>
    <x v="6"/>
    <n v="1"/>
    <x v="0"/>
    <n v="0.18"/>
    <s v="Winter"/>
    <s v="Weekday"/>
    <n v="0.16669999999999999"/>
    <n v="6.8346999999999998"/>
    <n v="0.51"/>
    <n v="0.28360000000000002"/>
    <x v="15"/>
    <x v="12"/>
    <n v="53"/>
  </r>
  <r>
    <n v="313"/>
    <d v="2011-01-14T00:00:00"/>
    <s v="Friday"/>
    <x v="0"/>
    <n v="0"/>
    <n v="1"/>
    <x v="12"/>
    <b v="0"/>
    <n v="5"/>
    <x v="6"/>
    <n v="1"/>
    <x v="0"/>
    <n v="0.2"/>
    <s v="Winter"/>
    <s v="Weekday"/>
    <n v="0.19700000000000001"/>
    <n v="8.077"/>
    <n v="0.44"/>
    <n v="0.25369999999999998"/>
    <x v="4"/>
    <x v="79"/>
    <n v="61"/>
  </r>
  <r>
    <n v="314"/>
    <d v="2011-01-14T00:00:00"/>
    <s v="Friday"/>
    <x v="0"/>
    <n v="0"/>
    <n v="1"/>
    <x v="13"/>
    <b v="0"/>
    <n v="5"/>
    <x v="6"/>
    <n v="1"/>
    <x v="0"/>
    <n v="0.22"/>
    <s v="Winter"/>
    <s v="Weekday"/>
    <n v="0.19700000000000001"/>
    <n v="8.077"/>
    <n v="0.37"/>
    <n v="0.3881"/>
    <x v="17"/>
    <x v="26"/>
    <n v="77"/>
  </r>
  <r>
    <n v="315"/>
    <d v="2011-01-14T00:00:00"/>
    <s v="Friday"/>
    <x v="0"/>
    <n v="0"/>
    <n v="1"/>
    <x v="14"/>
    <b v="0"/>
    <n v="5"/>
    <x v="6"/>
    <n v="1"/>
    <x v="0"/>
    <n v="0.22"/>
    <s v="Winter"/>
    <s v="Weekday"/>
    <n v="0.21210000000000001"/>
    <n v="8.6961000000000013"/>
    <n v="0.41"/>
    <n v="0.28360000000000002"/>
    <x v="2"/>
    <x v="79"/>
    <n v="64"/>
  </r>
  <r>
    <n v="316"/>
    <d v="2011-01-14T00:00:00"/>
    <s v="Friday"/>
    <x v="0"/>
    <n v="0"/>
    <n v="1"/>
    <x v="15"/>
    <b v="0"/>
    <n v="5"/>
    <x v="6"/>
    <n v="1"/>
    <x v="0"/>
    <n v="0.24"/>
    <s v="Winter"/>
    <s v="Weekday"/>
    <n v="0.2424"/>
    <n v="9.9383999999999997"/>
    <n v="0.38"/>
    <n v="0.16420000000000001"/>
    <x v="14"/>
    <x v="79"/>
    <n v="68"/>
  </r>
  <r>
    <n v="317"/>
    <d v="2011-01-14T00:00:00"/>
    <s v="Friday"/>
    <x v="0"/>
    <n v="0"/>
    <n v="1"/>
    <x v="16"/>
    <b v="0"/>
    <n v="5"/>
    <x v="6"/>
    <n v="1"/>
    <x v="0"/>
    <n v="0.22"/>
    <s v="Winter"/>
    <s v="Weekday"/>
    <n v="0.2424"/>
    <n v="9.9383999999999997"/>
    <n v="0.41"/>
    <n v="0.1045"/>
    <x v="0"/>
    <x v="61"/>
    <n v="90"/>
  </r>
  <r>
    <n v="318"/>
    <d v="2011-01-14T00:00:00"/>
    <s v="Friday"/>
    <x v="0"/>
    <n v="0"/>
    <n v="1"/>
    <x v="17"/>
    <b v="0"/>
    <n v="5"/>
    <x v="6"/>
    <n v="1"/>
    <x v="0"/>
    <n v="0.22"/>
    <s v="Winter"/>
    <s v="Weekday"/>
    <n v="0.2273"/>
    <n v="9.3193000000000001"/>
    <n v="0.41"/>
    <n v="0.16420000000000001"/>
    <x v="17"/>
    <x v="119"/>
    <n v="159"/>
  </r>
  <r>
    <n v="319"/>
    <d v="2011-01-14T00:00:00"/>
    <s v="Friday"/>
    <x v="0"/>
    <n v="0"/>
    <n v="1"/>
    <x v="18"/>
    <b v="0"/>
    <n v="5"/>
    <x v="6"/>
    <n v="1"/>
    <x v="0"/>
    <n v="0.2"/>
    <s v="Winter"/>
    <s v="Weekday"/>
    <n v="0.2576"/>
    <n v="10.5616"/>
    <n v="0.47"/>
    <n v="0"/>
    <x v="2"/>
    <x v="120"/>
    <n v="139"/>
  </r>
  <r>
    <n v="320"/>
    <d v="2011-01-14T00:00:00"/>
    <s v="Friday"/>
    <x v="0"/>
    <n v="0"/>
    <n v="1"/>
    <x v="19"/>
    <b v="0"/>
    <n v="5"/>
    <x v="6"/>
    <n v="1"/>
    <x v="0"/>
    <n v="0.16"/>
    <s v="Winter"/>
    <s v="Weekday"/>
    <n v="0.19700000000000001"/>
    <n v="8.077"/>
    <n v="0.59"/>
    <n v="8.9599999999999999E-2"/>
    <x v="0"/>
    <x v="121"/>
    <n v="92"/>
  </r>
  <r>
    <n v="321"/>
    <d v="2011-01-14T00:00:00"/>
    <s v="Friday"/>
    <x v="0"/>
    <n v="0"/>
    <n v="1"/>
    <x v="20"/>
    <b v="0"/>
    <n v="5"/>
    <x v="6"/>
    <n v="1"/>
    <x v="0"/>
    <n v="0.18"/>
    <s v="Winter"/>
    <s v="Weekday"/>
    <n v="0.2424"/>
    <n v="9.9383999999999997"/>
    <n v="0.59"/>
    <n v="0"/>
    <x v="3"/>
    <x v="56"/>
    <n v="68"/>
  </r>
  <r>
    <n v="322"/>
    <d v="2011-01-14T00:00:00"/>
    <s v="Friday"/>
    <x v="0"/>
    <n v="0"/>
    <n v="1"/>
    <x v="21"/>
    <b v="0"/>
    <n v="5"/>
    <x v="6"/>
    <n v="1"/>
    <x v="0"/>
    <n v="0.16"/>
    <s v="Winter"/>
    <s v="Weekday"/>
    <n v="0.2273"/>
    <n v="9.3193000000000001"/>
    <n v="0.69"/>
    <n v="0"/>
    <x v="17"/>
    <x v="41"/>
    <n v="52"/>
  </r>
  <r>
    <n v="323"/>
    <d v="2011-01-14T00:00:00"/>
    <s v="Friday"/>
    <x v="0"/>
    <n v="0"/>
    <n v="1"/>
    <x v="22"/>
    <b v="0"/>
    <n v="5"/>
    <x v="6"/>
    <n v="2"/>
    <x v="1"/>
    <n v="0.16"/>
    <s v="Winter"/>
    <s v="Weekday"/>
    <n v="0.2273"/>
    <n v="9.3193000000000001"/>
    <n v="0.69"/>
    <n v="0"/>
    <x v="4"/>
    <x v="60"/>
    <n v="36"/>
  </r>
  <r>
    <n v="324"/>
    <d v="2011-01-14T00:00:00"/>
    <s v="Friday"/>
    <x v="0"/>
    <n v="0"/>
    <n v="1"/>
    <x v="23"/>
    <b v="0"/>
    <n v="5"/>
    <x v="6"/>
    <n v="2"/>
    <x v="1"/>
    <n v="0.18"/>
    <s v="Winter"/>
    <s v="Weekday"/>
    <n v="0.2424"/>
    <n v="9.9383999999999997"/>
    <n v="0.55000000000000004"/>
    <n v="0"/>
    <x v="5"/>
    <x v="16"/>
    <n v="27"/>
  </r>
  <r>
    <n v="325"/>
    <d v="2011-01-15T00:00:00"/>
    <s v="Saturday"/>
    <x v="0"/>
    <n v="0"/>
    <n v="1"/>
    <x v="0"/>
    <b v="0"/>
    <n v="6"/>
    <x v="0"/>
    <n v="1"/>
    <x v="0"/>
    <n v="0.18"/>
    <s v="Winter"/>
    <s v="Weekend"/>
    <n v="0.2424"/>
    <n v="9.9383999999999997"/>
    <n v="0.55000000000000004"/>
    <n v="0"/>
    <x v="0"/>
    <x v="18"/>
    <n v="28"/>
  </r>
  <r>
    <n v="326"/>
    <d v="2011-01-15T00:00:00"/>
    <s v="Saturday"/>
    <x v="0"/>
    <n v="0"/>
    <n v="1"/>
    <x v="1"/>
    <b v="0"/>
    <n v="6"/>
    <x v="0"/>
    <n v="2"/>
    <x v="1"/>
    <n v="0.16"/>
    <s v="Winter"/>
    <s v="Weekend"/>
    <n v="0.19700000000000001"/>
    <n v="8.077"/>
    <n v="0.59"/>
    <n v="8.9599999999999999E-2"/>
    <x v="4"/>
    <x v="72"/>
    <n v="20"/>
  </r>
  <r>
    <n v="327"/>
    <d v="2011-01-15T00:00:00"/>
    <s v="Saturday"/>
    <x v="0"/>
    <n v="0"/>
    <n v="1"/>
    <x v="2"/>
    <b v="0"/>
    <n v="6"/>
    <x v="0"/>
    <n v="2"/>
    <x v="1"/>
    <n v="0.16"/>
    <s v="Winter"/>
    <s v="Weekend"/>
    <n v="0.19700000000000001"/>
    <n v="8.077"/>
    <n v="0.59"/>
    <n v="8.9599999999999999E-2"/>
    <x v="3"/>
    <x v="98"/>
    <n v="12"/>
  </r>
  <r>
    <n v="328"/>
    <d v="2011-01-15T00:00:00"/>
    <s v="Saturday"/>
    <x v="0"/>
    <n v="0"/>
    <n v="1"/>
    <x v="3"/>
    <b v="0"/>
    <n v="6"/>
    <x v="0"/>
    <n v="2"/>
    <x v="1"/>
    <n v="0.16"/>
    <s v="Winter"/>
    <s v="Weekend"/>
    <n v="0.2273"/>
    <n v="9.3193000000000001"/>
    <n v="0.59"/>
    <n v="0"/>
    <x v="5"/>
    <x v="7"/>
    <n v="8"/>
  </r>
  <r>
    <n v="329"/>
    <d v="2011-01-15T00:00:00"/>
    <s v="Saturday"/>
    <x v="0"/>
    <n v="0"/>
    <n v="1"/>
    <x v="4"/>
    <b v="0"/>
    <n v="6"/>
    <x v="0"/>
    <n v="2"/>
    <x v="1"/>
    <n v="0.16"/>
    <s v="Winter"/>
    <s v="Weekend"/>
    <n v="0.2273"/>
    <n v="9.3193000000000001"/>
    <n v="0.59"/>
    <n v="0"/>
    <x v="3"/>
    <x v="34"/>
    <n v="5"/>
  </r>
  <r>
    <n v="330"/>
    <d v="2011-01-15T00:00:00"/>
    <s v="Saturday"/>
    <x v="0"/>
    <n v="0"/>
    <n v="1"/>
    <x v="5"/>
    <b v="0"/>
    <n v="6"/>
    <x v="0"/>
    <n v="1"/>
    <x v="0"/>
    <n v="0.16"/>
    <s v="Winter"/>
    <s v="Weekend"/>
    <n v="0.2273"/>
    <n v="9.3193000000000001"/>
    <n v="0.59"/>
    <n v="0"/>
    <x v="3"/>
    <x v="4"/>
    <n v="1"/>
  </r>
  <r>
    <n v="331"/>
    <d v="2011-01-15T00:00:00"/>
    <s v="Saturday"/>
    <x v="0"/>
    <n v="0"/>
    <n v="1"/>
    <x v="6"/>
    <b v="0"/>
    <n v="6"/>
    <x v="0"/>
    <n v="1"/>
    <x v="0"/>
    <n v="0.14000000000000001"/>
    <s v="Winter"/>
    <s v="Weekend"/>
    <n v="0.16669999999999999"/>
    <n v="6.8346999999999998"/>
    <n v="0.63"/>
    <n v="0.1045"/>
    <x v="5"/>
    <x v="6"/>
    <n v="3"/>
  </r>
  <r>
    <n v="332"/>
    <d v="2011-01-15T00:00:00"/>
    <s v="Saturday"/>
    <x v="0"/>
    <n v="0"/>
    <n v="1"/>
    <x v="7"/>
    <b v="0"/>
    <n v="6"/>
    <x v="0"/>
    <n v="1"/>
    <x v="0"/>
    <n v="0.14000000000000001"/>
    <s v="Winter"/>
    <s v="Weekend"/>
    <n v="0.21210000000000001"/>
    <n v="8.6961000000000013"/>
    <n v="0.63"/>
    <n v="0"/>
    <x v="5"/>
    <x v="33"/>
    <n v="10"/>
  </r>
  <r>
    <n v="333"/>
    <d v="2011-01-15T00:00:00"/>
    <s v="Saturday"/>
    <x v="0"/>
    <n v="0"/>
    <n v="1"/>
    <x v="8"/>
    <b v="0"/>
    <n v="6"/>
    <x v="0"/>
    <n v="1"/>
    <x v="0"/>
    <n v="0.14000000000000001"/>
    <s v="Winter"/>
    <s v="Weekend"/>
    <n v="0.1515"/>
    <n v="6.2115"/>
    <n v="0.63"/>
    <n v="0.1343"/>
    <x v="5"/>
    <x v="97"/>
    <n v="23"/>
  </r>
  <r>
    <n v="334"/>
    <d v="2011-01-15T00:00:00"/>
    <s v="Saturday"/>
    <x v="0"/>
    <n v="0"/>
    <n v="1"/>
    <x v="9"/>
    <b v="0"/>
    <n v="6"/>
    <x v="0"/>
    <n v="1"/>
    <x v="0"/>
    <n v="0.16"/>
    <s v="Winter"/>
    <s v="Weekend"/>
    <n v="0.18179999999999999"/>
    <n v="7.4537999999999993"/>
    <n v="0.64"/>
    <n v="0.1343"/>
    <x v="4"/>
    <x v="17"/>
    <n v="33"/>
  </r>
  <r>
    <n v="335"/>
    <d v="2011-01-15T00:00:00"/>
    <s v="Saturday"/>
    <x v="0"/>
    <n v="0"/>
    <n v="1"/>
    <x v="10"/>
    <b v="0"/>
    <n v="6"/>
    <x v="0"/>
    <n v="1"/>
    <x v="0"/>
    <n v="0.18"/>
    <s v="Winter"/>
    <s v="Weekend"/>
    <n v="0.19700000000000001"/>
    <n v="8.077"/>
    <n v="0.59"/>
    <n v="0.16420000000000001"/>
    <x v="4"/>
    <x v="77"/>
    <n v="59"/>
  </r>
  <r>
    <n v="336"/>
    <d v="2011-01-15T00:00:00"/>
    <s v="Saturday"/>
    <x v="0"/>
    <n v="0"/>
    <n v="1"/>
    <x v="11"/>
    <b v="0"/>
    <n v="6"/>
    <x v="0"/>
    <n v="1"/>
    <x v="0"/>
    <n v="0.2"/>
    <s v="Winter"/>
    <s v="Weekend"/>
    <n v="0.19700000000000001"/>
    <n v="8.077"/>
    <n v="0.55000000000000004"/>
    <n v="0.22389999999999999"/>
    <x v="25"/>
    <x v="25"/>
    <n v="72"/>
  </r>
  <r>
    <n v="337"/>
    <d v="2011-01-15T00:00:00"/>
    <s v="Saturday"/>
    <x v="0"/>
    <n v="0"/>
    <n v="1"/>
    <x v="12"/>
    <b v="0"/>
    <n v="6"/>
    <x v="0"/>
    <n v="1"/>
    <x v="0"/>
    <n v="0.24"/>
    <s v="Winter"/>
    <s v="Weekend"/>
    <n v="0.2273"/>
    <n v="9.3193000000000001"/>
    <n v="0.48"/>
    <n v="0.22389999999999999"/>
    <x v="13"/>
    <x v="64"/>
    <n v="89"/>
  </r>
  <r>
    <n v="338"/>
    <d v="2011-01-15T00:00:00"/>
    <s v="Saturday"/>
    <x v="0"/>
    <n v="0"/>
    <n v="1"/>
    <x v="13"/>
    <b v="0"/>
    <n v="6"/>
    <x v="0"/>
    <n v="1"/>
    <x v="0"/>
    <n v="0.28000000000000003"/>
    <s v="Winter"/>
    <s v="Weekend"/>
    <n v="0.2576"/>
    <n v="10.5616"/>
    <n v="0.38"/>
    <n v="0.29849999999999999"/>
    <x v="27"/>
    <x v="122"/>
    <n v="101"/>
  </r>
  <r>
    <n v="339"/>
    <d v="2011-01-15T00:00:00"/>
    <s v="Saturday"/>
    <x v="0"/>
    <n v="0"/>
    <n v="1"/>
    <x v="14"/>
    <b v="0"/>
    <n v="6"/>
    <x v="0"/>
    <n v="1"/>
    <x v="0"/>
    <n v="0.3"/>
    <s v="Winter"/>
    <s v="Weekend"/>
    <n v="0.28789999999999999"/>
    <n v="11.803899999999999"/>
    <n v="0.39"/>
    <n v="0.28360000000000002"/>
    <x v="7"/>
    <x v="50"/>
    <n v="118"/>
  </r>
  <r>
    <n v="340"/>
    <d v="2011-01-15T00:00:00"/>
    <s v="Saturday"/>
    <x v="0"/>
    <n v="0"/>
    <n v="1"/>
    <x v="15"/>
    <b v="0"/>
    <n v="6"/>
    <x v="0"/>
    <n v="2"/>
    <x v="1"/>
    <n v="0.32"/>
    <s v="Winter"/>
    <s v="Weekend"/>
    <n v="0.31819999999999998"/>
    <n v="13.046199999999999"/>
    <n v="0.36"/>
    <n v="0.19400000000000001"/>
    <x v="27"/>
    <x v="123"/>
    <n v="129"/>
  </r>
  <r>
    <n v="341"/>
    <d v="2011-01-15T00:00:00"/>
    <s v="Saturday"/>
    <x v="0"/>
    <n v="0"/>
    <n v="1"/>
    <x v="16"/>
    <b v="0"/>
    <n v="6"/>
    <x v="0"/>
    <n v="2"/>
    <x v="1"/>
    <n v="0.34"/>
    <s v="Winter"/>
    <s v="Weekend"/>
    <n v="0.33329999999999999"/>
    <n v="13.6653"/>
    <n v="0.34"/>
    <n v="0.19400000000000001"/>
    <x v="28"/>
    <x v="73"/>
    <n v="128"/>
  </r>
  <r>
    <n v="342"/>
    <d v="2011-01-15T00:00:00"/>
    <s v="Saturday"/>
    <x v="0"/>
    <n v="0"/>
    <n v="1"/>
    <x v="17"/>
    <b v="0"/>
    <n v="6"/>
    <x v="0"/>
    <n v="2"/>
    <x v="1"/>
    <n v="0.32"/>
    <s v="Winter"/>
    <s v="Weekend"/>
    <n v="0.30299999999999999"/>
    <n v="12.423"/>
    <n v="0.36"/>
    <n v="0.28360000000000002"/>
    <x v="8"/>
    <x v="25"/>
    <n v="83"/>
  </r>
  <r>
    <n v="343"/>
    <d v="2011-01-15T00:00:00"/>
    <s v="Saturday"/>
    <x v="0"/>
    <n v="0"/>
    <n v="1"/>
    <x v="18"/>
    <b v="0"/>
    <n v="6"/>
    <x v="0"/>
    <n v="2"/>
    <x v="1"/>
    <n v="0.3"/>
    <s v="Winter"/>
    <s v="Weekend"/>
    <n v="0.28789999999999999"/>
    <n v="11.803899999999999"/>
    <n v="0.45"/>
    <n v="0.25369999999999998"/>
    <x v="13"/>
    <x v="94"/>
    <n v="84"/>
  </r>
  <r>
    <n v="344"/>
    <d v="2011-01-15T00:00:00"/>
    <s v="Saturday"/>
    <x v="0"/>
    <n v="0"/>
    <n v="1"/>
    <x v="19"/>
    <b v="0"/>
    <n v="6"/>
    <x v="0"/>
    <n v="2"/>
    <x v="1"/>
    <n v="0.32"/>
    <s v="Winter"/>
    <s v="Weekend"/>
    <n v="0.30299999999999999"/>
    <n v="12.423"/>
    <n v="0.39"/>
    <n v="0.25369999999999998"/>
    <x v="24"/>
    <x v="91"/>
    <n v="74"/>
  </r>
  <r>
    <n v="345"/>
    <d v="2011-01-15T00:00:00"/>
    <s v="Saturday"/>
    <x v="0"/>
    <n v="0"/>
    <n v="1"/>
    <x v="20"/>
    <b v="0"/>
    <n v="6"/>
    <x v="0"/>
    <n v="2"/>
    <x v="1"/>
    <n v="0.32"/>
    <s v="Winter"/>
    <s v="Weekend"/>
    <n v="0.30299999999999999"/>
    <n v="12.423"/>
    <n v="0.39"/>
    <n v="0.25369999999999998"/>
    <x v="15"/>
    <x v="96"/>
    <n v="41"/>
  </r>
  <r>
    <n v="346"/>
    <d v="2011-01-15T00:00:00"/>
    <s v="Saturday"/>
    <x v="0"/>
    <n v="0"/>
    <n v="1"/>
    <x v="21"/>
    <b v="0"/>
    <n v="6"/>
    <x v="0"/>
    <n v="2"/>
    <x v="1"/>
    <n v="0.32"/>
    <s v="Winter"/>
    <s v="Weekend"/>
    <n v="0.30299999999999999"/>
    <n v="12.423"/>
    <n v="0.39"/>
    <n v="0.22389999999999999"/>
    <x v="15"/>
    <x v="82"/>
    <n v="57"/>
  </r>
  <r>
    <n v="347"/>
    <d v="2011-01-15T00:00:00"/>
    <s v="Saturday"/>
    <x v="0"/>
    <n v="0"/>
    <n v="1"/>
    <x v="22"/>
    <b v="0"/>
    <n v="6"/>
    <x v="0"/>
    <n v="2"/>
    <x v="1"/>
    <n v="0.3"/>
    <s v="Winter"/>
    <s v="Weekend"/>
    <n v="0.31819999999999998"/>
    <n v="13.046199999999999"/>
    <n v="0.42"/>
    <n v="0.1045"/>
    <x v="3"/>
    <x v="16"/>
    <n v="26"/>
  </r>
  <r>
    <n v="348"/>
    <d v="2011-01-15T00:00:00"/>
    <s v="Saturday"/>
    <x v="0"/>
    <n v="0"/>
    <n v="1"/>
    <x v="23"/>
    <b v="0"/>
    <n v="6"/>
    <x v="0"/>
    <n v="1"/>
    <x v="0"/>
    <n v="0.3"/>
    <s v="Winter"/>
    <s v="Weekend"/>
    <n v="0.28789999999999999"/>
    <n v="11.803899999999999"/>
    <n v="0.45"/>
    <n v="0.28360000000000002"/>
    <x v="2"/>
    <x v="87"/>
    <n v="44"/>
  </r>
  <r>
    <n v="349"/>
    <d v="2011-01-16T00:00:00"/>
    <s v="Sunday"/>
    <x v="0"/>
    <n v="0"/>
    <n v="1"/>
    <x v="0"/>
    <b v="0"/>
    <n v="0"/>
    <x v="1"/>
    <n v="1"/>
    <x v="0"/>
    <n v="0.26"/>
    <s v="Winter"/>
    <s v="Weekend"/>
    <n v="0.30299999999999999"/>
    <n v="12.423"/>
    <n v="0.56000000000000005"/>
    <n v="0"/>
    <x v="15"/>
    <x v="39"/>
    <n v="39"/>
  </r>
  <r>
    <n v="350"/>
    <d v="2011-01-16T00:00:00"/>
    <s v="Sunday"/>
    <x v="0"/>
    <n v="0"/>
    <n v="1"/>
    <x v="1"/>
    <b v="0"/>
    <n v="0"/>
    <x v="1"/>
    <n v="1"/>
    <x v="0"/>
    <n v="0.26"/>
    <s v="Winter"/>
    <s v="Weekend"/>
    <n v="0.2727"/>
    <n v="11.1807"/>
    <n v="0.56000000000000005"/>
    <n v="0.1343"/>
    <x v="17"/>
    <x v="23"/>
    <n v="23"/>
  </r>
  <r>
    <n v="351"/>
    <d v="2011-01-16T00:00:00"/>
    <s v="Sunday"/>
    <x v="0"/>
    <n v="0"/>
    <n v="1"/>
    <x v="2"/>
    <b v="0"/>
    <n v="0"/>
    <x v="1"/>
    <n v="1"/>
    <x v="0"/>
    <n v="0.26"/>
    <s v="Winter"/>
    <s v="Weekend"/>
    <n v="0.28789999999999999"/>
    <n v="11.803899999999999"/>
    <n v="0.56000000000000005"/>
    <n v="8.9599999999999999E-2"/>
    <x v="0"/>
    <x v="0"/>
    <n v="16"/>
  </r>
  <r>
    <n v="352"/>
    <d v="2011-01-16T00:00:00"/>
    <s v="Sunday"/>
    <x v="0"/>
    <n v="0"/>
    <n v="1"/>
    <x v="3"/>
    <b v="0"/>
    <n v="0"/>
    <x v="1"/>
    <n v="1"/>
    <x v="0"/>
    <n v="0.22"/>
    <s v="Winter"/>
    <s v="Weekend"/>
    <n v="0.2727"/>
    <n v="11.1807"/>
    <n v="0.69"/>
    <n v="0"/>
    <x v="14"/>
    <x v="8"/>
    <n v="15"/>
  </r>
  <r>
    <n v="353"/>
    <d v="2011-01-16T00:00:00"/>
    <s v="Sunday"/>
    <x v="0"/>
    <n v="0"/>
    <n v="1"/>
    <x v="4"/>
    <b v="0"/>
    <n v="0"/>
    <x v="1"/>
    <n v="1"/>
    <x v="0"/>
    <n v="0.26"/>
    <s v="Winter"/>
    <s v="Weekend"/>
    <n v="0.2576"/>
    <n v="10.5616"/>
    <n v="0.56000000000000005"/>
    <n v="0.16420000000000001"/>
    <x v="3"/>
    <x v="4"/>
    <n v="1"/>
  </r>
  <r>
    <n v="354"/>
    <d v="2011-01-16T00:00:00"/>
    <s v="Sunday"/>
    <x v="0"/>
    <n v="0"/>
    <n v="1"/>
    <x v="5"/>
    <b v="0"/>
    <n v="0"/>
    <x v="1"/>
    <n v="2"/>
    <x v="1"/>
    <n v="0.26"/>
    <s v="Winter"/>
    <s v="Weekend"/>
    <n v="0.2576"/>
    <n v="10.5616"/>
    <n v="0.56000000000000005"/>
    <n v="0.16420000000000001"/>
    <x v="5"/>
    <x v="4"/>
    <n v="2"/>
  </r>
  <r>
    <n v="355"/>
    <d v="2011-01-16T00:00:00"/>
    <s v="Sunday"/>
    <x v="0"/>
    <n v="0"/>
    <n v="1"/>
    <x v="6"/>
    <b v="0"/>
    <n v="0"/>
    <x v="1"/>
    <n v="2"/>
    <x v="1"/>
    <n v="0.26"/>
    <s v="Winter"/>
    <s v="Weekend"/>
    <n v="0.2576"/>
    <n v="10.5616"/>
    <n v="0.56000000000000005"/>
    <n v="0.16420000000000001"/>
    <x v="3"/>
    <x v="4"/>
    <n v="1"/>
  </r>
  <r>
    <n v="356"/>
    <d v="2011-01-16T00:00:00"/>
    <s v="Sunday"/>
    <x v="0"/>
    <n v="0"/>
    <n v="1"/>
    <x v="7"/>
    <b v="0"/>
    <n v="0"/>
    <x v="1"/>
    <n v="2"/>
    <x v="1"/>
    <n v="0.24"/>
    <s v="Winter"/>
    <s v="Weekend"/>
    <n v="0.21210000000000001"/>
    <n v="8.6961000000000013"/>
    <n v="0.56000000000000005"/>
    <n v="0.29849999999999999"/>
    <x v="3"/>
    <x v="35"/>
    <n v="3"/>
  </r>
  <r>
    <n v="357"/>
    <d v="2011-01-16T00:00:00"/>
    <s v="Sunday"/>
    <x v="0"/>
    <n v="0"/>
    <n v="1"/>
    <x v="8"/>
    <b v="0"/>
    <n v="0"/>
    <x v="1"/>
    <n v="1"/>
    <x v="0"/>
    <n v="0.22"/>
    <s v="Winter"/>
    <s v="Weekend"/>
    <n v="0.21210000000000001"/>
    <n v="8.6961000000000013"/>
    <n v="0.55000000000000004"/>
    <n v="0.28360000000000002"/>
    <x v="3"/>
    <x v="72"/>
    <n v="18"/>
  </r>
  <r>
    <n v="358"/>
    <d v="2011-01-16T00:00:00"/>
    <s v="Sunday"/>
    <x v="0"/>
    <n v="0"/>
    <n v="1"/>
    <x v="9"/>
    <b v="0"/>
    <n v="0"/>
    <x v="1"/>
    <n v="1"/>
    <x v="0"/>
    <n v="0.22"/>
    <s v="Winter"/>
    <s v="Weekend"/>
    <n v="0.21210000000000001"/>
    <n v="8.6961000000000013"/>
    <n v="0.51"/>
    <n v="0.25369999999999998"/>
    <x v="0"/>
    <x v="31"/>
    <n v="32"/>
  </r>
  <r>
    <n v="359"/>
    <d v="2011-01-16T00:00:00"/>
    <s v="Sunday"/>
    <x v="0"/>
    <n v="0"/>
    <n v="1"/>
    <x v="10"/>
    <b v="0"/>
    <n v="0"/>
    <x v="1"/>
    <n v="1"/>
    <x v="0"/>
    <n v="0.22"/>
    <s v="Winter"/>
    <s v="Weekend"/>
    <n v="0.21210000000000001"/>
    <n v="8.6961000000000013"/>
    <n v="0.51"/>
    <n v="0.28360000000000002"/>
    <x v="1"/>
    <x v="13"/>
    <n v="79"/>
  </r>
  <r>
    <n v="360"/>
    <d v="2011-01-16T00:00:00"/>
    <s v="Sunday"/>
    <x v="0"/>
    <n v="0"/>
    <n v="1"/>
    <x v="11"/>
    <b v="0"/>
    <n v="0"/>
    <x v="1"/>
    <n v="1"/>
    <x v="0"/>
    <n v="0.24"/>
    <s v="Winter"/>
    <s v="Weekend"/>
    <n v="0.2273"/>
    <n v="9.3193000000000001"/>
    <n v="0.44"/>
    <n v="0.25369999999999998"/>
    <x v="29"/>
    <x v="14"/>
    <n v="93"/>
  </r>
  <r>
    <n v="361"/>
    <d v="2011-01-16T00:00:00"/>
    <s v="Sunday"/>
    <x v="0"/>
    <n v="0"/>
    <n v="1"/>
    <x v="12"/>
    <b v="0"/>
    <n v="0"/>
    <x v="1"/>
    <n v="1"/>
    <x v="0"/>
    <n v="0.24"/>
    <s v="Winter"/>
    <s v="Weekend"/>
    <n v="0.21210000000000001"/>
    <n v="8.6961000000000013"/>
    <n v="0.41"/>
    <n v="0.28360000000000002"/>
    <x v="8"/>
    <x v="102"/>
    <n v="104"/>
  </r>
  <r>
    <n v="362"/>
    <d v="2011-01-16T00:00:00"/>
    <s v="Sunday"/>
    <x v="0"/>
    <n v="0"/>
    <n v="1"/>
    <x v="13"/>
    <b v="0"/>
    <n v="0"/>
    <x v="1"/>
    <n v="1"/>
    <x v="0"/>
    <n v="0.26"/>
    <s v="Winter"/>
    <s v="Weekend"/>
    <n v="0.2273"/>
    <n v="9.3193000000000001"/>
    <n v="0.35"/>
    <n v="0.29849999999999999"/>
    <x v="29"/>
    <x v="73"/>
    <n v="118"/>
  </r>
  <r>
    <n v="363"/>
    <d v="2011-01-16T00:00:00"/>
    <s v="Sunday"/>
    <x v="0"/>
    <n v="0"/>
    <n v="1"/>
    <x v="14"/>
    <b v="0"/>
    <n v="0"/>
    <x v="1"/>
    <n v="1"/>
    <x v="0"/>
    <n v="0.28000000000000003"/>
    <s v="Winter"/>
    <s v="Weekend"/>
    <n v="0.2727"/>
    <n v="11.1807"/>
    <n v="0.36"/>
    <n v="0.25369999999999998"/>
    <x v="30"/>
    <x v="94"/>
    <n v="91"/>
  </r>
  <r>
    <n v="364"/>
    <d v="2011-01-16T00:00:00"/>
    <s v="Sunday"/>
    <x v="0"/>
    <n v="0"/>
    <n v="1"/>
    <x v="15"/>
    <b v="0"/>
    <n v="0"/>
    <x v="1"/>
    <n v="1"/>
    <x v="0"/>
    <n v="0.26"/>
    <s v="Winter"/>
    <s v="Weekend"/>
    <n v="0.2424"/>
    <n v="9.9383999999999997"/>
    <n v="0.38"/>
    <n v="0.25369999999999998"/>
    <x v="10"/>
    <x v="78"/>
    <n v="113"/>
  </r>
  <r>
    <n v="365"/>
    <d v="2011-01-16T00:00:00"/>
    <s v="Sunday"/>
    <x v="0"/>
    <n v="0"/>
    <n v="1"/>
    <x v="16"/>
    <b v="0"/>
    <n v="0"/>
    <x v="1"/>
    <n v="1"/>
    <x v="0"/>
    <n v="0.24"/>
    <s v="Winter"/>
    <s v="Weekend"/>
    <n v="0.2273"/>
    <n v="9.3193000000000001"/>
    <n v="0.38"/>
    <n v="0.22389999999999999"/>
    <x v="30"/>
    <x v="99"/>
    <n v="99"/>
  </r>
  <r>
    <n v="366"/>
    <d v="2011-01-16T00:00:00"/>
    <s v="Sunday"/>
    <x v="0"/>
    <n v="0"/>
    <n v="1"/>
    <x v="17"/>
    <b v="0"/>
    <n v="0"/>
    <x v="1"/>
    <n v="1"/>
    <x v="0"/>
    <n v="0.22"/>
    <s v="Winter"/>
    <s v="Weekend"/>
    <n v="0.21210000000000001"/>
    <n v="8.6961000000000013"/>
    <n v="0.37"/>
    <n v="0.25369999999999998"/>
    <x v="29"/>
    <x v="70"/>
    <n v="105"/>
  </r>
  <r>
    <n v="367"/>
    <d v="2011-01-16T00:00:00"/>
    <s v="Sunday"/>
    <x v="0"/>
    <n v="0"/>
    <n v="1"/>
    <x v="18"/>
    <b v="0"/>
    <n v="0"/>
    <x v="1"/>
    <n v="1"/>
    <x v="0"/>
    <n v="0.2"/>
    <s v="Winter"/>
    <s v="Weekend"/>
    <n v="0.21210000000000001"/>
    <n v="8.6961000000000013"/>
    <n v="0.4"/>
    <n v="0.16420000000000001"/>
    <x v="16"/>
    <x v="90"/>
    <n v="67"/>
  </r>
  <r>
    <n v="368"/>
    <d v="2011-01-16T00:00:00"/>
    <s v="Sunday"/>
    <x v="0"/>
    <n v="0"/>
    <n v="1"/>
    <x v="19"/>
    <b v="0"/>
    <n v="0"/>
    <x v="1"/>
    <n v="1"/>
    <x v="0"/>
    <n v="0.18"/>
    <s v="Winter"/>
    <s v="Weekend"/>
    <n v="0.19700000000000001"/>
    <n v="8.077"/>
    <n v="0.47"/>
    <n v="0.1343"/>
    <x v="24"/>
    <x v="12"/>
    <n v="61"/>
  </r>
  <r>
    <n v="369"/>
    <d v="2011-01-16T00:00:00"/>
    <s v="Sunday"/>
    <x v="0"/>
    <n v="0"/>
    <n v="1"/>
    <x v="20"/>
    <b v="0"/>
    <n v="0"/>
    <x v="1"/>
    <n v="1"/>
    <x v="0"/>
    <n v="0.18"/>
    <s v="Winter"/>
    <s v="Weekend"/>
    <n v="0.19700000000000001"/>
    <n v="8.077"/>
    <n v="0.47"/>
    <n v="0.16420000000000001"/>
    <x v="18"/>
    <x v="54"/>
    <n v="57"/>
  </r>
  <r>
    <n v="370"/>
    <d v="2011-01-16T00:00:00"/>
    <s v="Sunday"/>
    <x v="0"/>
    <n v="0"/>
    <n v="1"/>
    <x v="21"/>
    <b v="0"/>
    <n v="0"/>
    <x v="1"/>
    <n v="1"/>
    <x v="0"/>
    <n v="0.18"/>
    <s v="Winter"/>
    <s v="Weekend"/>
    <n v="0.19700000000000001"/>
    <n v="8.077"/>
    <n v="0.51"/>
    <n v="0.16420000000000001"/>
    <x v="15"/>
    <x v="97"/>
    <n v="28"/>
  </r>
  <r>
    <n v="371"/>
    <d v="2011-01-16T00:00:00"/>
    <s v="Sunday"/>
    <x v="0"/>
    <n v="0"/>
    <n v="1"/>
    <x v="22"/>
    <b v="0"/>
    <n v="0"/>
    <x v="1"/>
    <n v="2"/>
    <x v="1"/>
    <n v="0.2"/>
    <s v="Winter"/>
    <s v="Weekend"/>
    <n v="0.21210000000000001"/>
    <n v="8.6961000000000013"/>
    <n v="0.49"/>
    <n v="0.1343"/>
    <x v="4"/>
    <x v="23"/>
    <n v="21"/>
  </r>
  <r>
    <n v="372"/>
    <d v="2011-01-16T00:00:00"/>
    <s v="Sunday"/>
    <x v="0"/>
    <n v="0"/>
    <n v="1"/>
    <x v="23"/>
    <b v="0"/>
    <n v="0"/>
    <x v="1"/>
    <n v="2"/>
    <x v="1"/>
    <n v="0.2"/>
    <s v="Winter"/>
    <s v="Weekend"/>
    <n v="0.2273"/>
    <n v="9.3193000000000001"/>
    <n v="0.4"/>
    <n v="0.1045"/>
    <x v="3"/>
    <x v="72"/>
    <n v="18"/>
  </r>
  <r>
    <n v="373"/>
    <d v="2011-01-17T00:00:00"/>
    <s v="Monday"/>
    <x v="0"/>
    <n v="0"/>
    <n v="1"/>
    <x v="0"/>
    <b v="1"/>
    <n v="1"/>
    <x v="2"/>
    <n v="2"/>
    <x v="1"/>
    <n v="0.2"/>
    <s v="Winter"/>
    <s v="Weekday"/>
    <n v="0.19700000000000001"/>
    <n v="8.077"/>
    <n v="0.47"/>
    <n v="0.22389999999999999"/>
    <x v="5"/>
    <x v="20"/>
    <n v="17"/>
  </r>
  <r>
    <n v="374"/>
    <d v="2011-01-17T00:00:00"/>
    <s v="Monday"/>
    <x v="0"/>
    <n v="0"/>
    <n v="1"/>
    <x v="1"/>
    <b v="1"/>
    <n v="1"/>
    <x v="2"/>
    <n v="2"/>
    <x v="1"/>
    <n v="0.2"/>
    <s v="Winter"/>
    <s v="Weekday"/>
    <n v="0.19700000000000001"/>
    <n v="8.077"/>
    <n v="0.44"/>
    <n v="0.19400000000000001"/>
    <x v="5"/>
    <x v="89"/>
    <n v="16"/>
  </r>
  <r>
    <n v="375"/>
    <d v="2011-01-17T00:00:00"/>
    <s v="Monday"/>
    <x v="0"/>
    <n v="0"/>
    <n v="1"/>
    <x v="2"/>
    <b v="1"/>
    <n v="1"/>
    <x v="2"/>
    <n v="2"/>
    <x v="1"/>
    <n v="0.18"/>
    <s v="Winter"/>
    <s v="Weekday"/>
    <n v="0.16669999999999999"/>
    <n v="6.8346999999999998"/>
    <n v="0.43"/>
    <n v="0.25369999999999998"/>
    <x v="3"/>
    <x v="21"/>
    <n v="8"/>
  </r>
  <r>
    <n v="376"/>
    <d v="2011-01-17T00:00:00"/>
    <s v="Monday"/>
    <x v="0"/>
    <n v="0"/>
    <n v="1"/>
    <x v="3"/>
    <b v="1"/>
    <n v="1"/>
    <x v="2"/>
    <n v="2"/>
    <x v="1"/>
    <n v="0.18"/>
    <s v="Winter"/>
    <s v="Weekday"/>
    <n v="0.18179999999999999"/>
    <n v="7.4537999999999993"/>
    <n v="0.43"/>
    <n v="0.19400000000000001"/>
    <x v="3"/>
    <x v="6"/>
    <n v="2"/>
  </r>
  <r>
    <n v="377"/>
    <d v="2011-01-17T00:00:00"/>
    <s v="Monday"/>
    <x v="0"/>
    <n v="0"/>
    <n v="1"/>
    <x v="4"/>
    <b v="1"/>
    <n v="1"/>
    <x v="2"/>
    <n v="2"/>
    <x v="1"/>
    <n v="0.18"/>
    <s v="Winter"/>
    <s v="Weekday"/>
    <n v="0.19700000000000001"/>
    <n v="8.077"/>
    <n v="0.43"/>
    <n v="0.1343"/>
    <x v="5"/>
    <x v="6"/>
    <n v="3"/>
  </r>
  <r>
    <n v="378"/>
    <d v="2011-01-17T00:00:00"/>
    <s v="Monday"/>
    <x v="0"/>
    <n v="0"/>
    <n v="1"/>
    <x v="5"/>
    <b v="1"/>
    <n v="1"/>
    <x v="2"/>
    <n v="2"/>
    <x v="1"/>
    <n v="0.18"/>
    <s v="Winter"/>
    <s v="Weekday"/>
    <n v="0.19700000000000001"/>
    <n v="8.077"/>
    <n v="0.43"/>
    <n v="0.16420000000000001"/>
    <x v="3"/>
    <x v="4"/>
    <n v="1"/>
  </r>
  <r>
    <n v="379"/>
    <d v="2011-01-17T00:00:00"/>
    <s v="Monday"/>
    <x v="0"/>
    <n v="0"/>
    <n v="1"/>
    <x v="6"/>
    <b v="1"/>
    <n v="1"/>
    <x v="2"/>
    <n v="2"/>
    <x v="1"/>
    <n v="0.18"/>
    <s v="Winter"/>
    <s v="Weekday"/>
    <n v="0.18179999999999999"/>
    <n v="7.4537999999999993"/>
    <n v="0.43"/>
    <n v="0.19400000000000001"/>
    <x v="3"/>
    <x v="34"/>
    <n v="5"/>
  </r>
  <r>
    <n v="380"/>
    <d v="2011-01-17T00:00:00"/>
    <s v="Monday"/>
    <x v="0"/>
    <n v="0"/>
    <n v="1"/>
    <x v="7"/>
    <b v="1"/>
    <n v="1"/>
    <x v="2"/>
    <n v="2"/>
    <x v="1"/>
    <n v="0.16"/>
    <s v="Winter"/>
    <s v="Weekday"/>
    <n v="0.18179999999999999"/>
    <n v="7.4537999999999993"/>
    <n v="0.5"/>
    <n v="0.1343"/>
    <x v="17"/>
    <x v="33"/>
    <n v="13"/>
  </r>
  <r>
    <n v="381"/>
    <d v="2011-01-17T00:00:00"/>
    <s v="Monday"/>
    <x v="0"/>
    <n v="0"/>
    <n v="1"/>
    <x v="8"/>
    <b v="1"/>
    <n v="1"/>
    <x v="2"/>
    <n v="2"/>
    <x v="1"/>
    <n v="0.16"/>
    <s v="Winter"/>
    <s v="Weekday"/>
    <n v="0.1515"/>
    <n v="6.2115"/>
    <n v="0.47"/>
    <n v="0.22389999999999999"/>
    <x v="0"/>
    <x v="10"/>
    <n v="33"/>
  </r>
  <r>
    <n v="382"/>
    <d v="2011-01-17T00:00:00"/>
    <s v="Monday"/>
    <x v="0"/>
    <n v="0"/>
    <n v="1"/>
    <x v="9"/>
    <b v="1"/>
    <n v="1"/>
    <x v="2"/>
    <n v="2"/>
    <x v="1"/>
    <n v="0.16"/>
    <s v="Winter"/>
    <s v="Weekday"/>
    <n v="0.1515"/>
    <n v="6.2115"/>
    <n v="0.47"/>
    <n v="0.22389999999999999"/>
    <x v="1"/>
    <x v="87"/>
    <n v="47"/>
  </r>
  <r>
    <n v="383"/>
    <d v="2011-01-17T00:00:00"/>
    <s v="Monday"/>
    <x v="0"/>
    <n v="0"/>
    <n v="1"/>
    <x v="10"/>
    <b v="1"/>
    <n v="1"/>
    <x v="2"/>
    <n v="2"/>
    <x v="1"/>
    <n v="0.16"/>
    <s v="Winter"/>
    <s v="Weekday"/>
    <n v="0.1515"/>
    <n v="6.2115"/>
    <n v="0.5"/>
    <n v="0.25369999999999998"/>
    <x v="18"/>
    <x v="54"/>
    <n v="57"/>
  </r>
  <r>
    <n v="384"/>
    <d v="2011-01-17T00:00:00"/>
    <s v="Monday"/>
    <x v="0"/>
    <n v="0"/>
    <n v="1"/>
    <x v="11"/>
    <b v="1"/>
    <n v="1"/>
    <x v="2"/>
    <n v="2"/>
    <x v="1"/>
    <n v="0.16"/>
    <s v="Winter"/>
    <s v="Weekday"/>
    <n v="0.1515"/>
    <n v="6.2115"/>
    <n v="0.55000000000000004"/>
    <n v="0.19400000000000001"/>
    <x v="14"/>
    <x v="11"/>
    <n v="64"/>
  </r>
  <r>
    <n v="385"/>
    <d v="2011-01-17T00:00:00"/>
    <s v="Monday"/>
    <x v="0"/>
    <n v="0"/>
    <n v="1"/>
    <x v="12"/>
    <b v="1"/>
    <n v="1"/>
    <x v="2"/>
    <n v="2"/>
    <x v="1"/>
    <n v="0.18"/>
    <s v="Winter"/>
    <s v="Weekday"/>
    <n v="0.19700000000000001"/>
    <n v="8.077"/>
    <n v="0.47"/>
    <n v="0.1343"/>
    <x v="22"/>
    <x v="14"/>
    <n v="80"/>
  </r>
  <r>
    <n v="386"/>
    <d v="2011-01-17T00:00:00"/>
    <s v="Monday"/>
    <x v="0"/>
    <n v="0"/>
    <n v="1"/>
    <x v="13"/>
    <b v="1"/>
    <n v="1"/>
    <x v="2"/>
    <n v="2"/>
    <x v="1"/>
    <n v="0.18"/>
    <s v="Winter"/>
    <s v="Weekday"/>
    <n v="0.19700000000000001"/>
    <n v="8.077"/>
    <n v="0.47"/>
    <n v="0.1343"/>
    <x v="23"/>
    <x v="122"/>
    <n v="93"/>
  </r>
  <r>
    <n v="387"/>
    <d v="2011-01-17T00:00:00"/>
    <s v="Monday"/>
    <x v="0"/>
    <n v="0"/>
    <n v="1"/>
    <x v="14"/>
    <b v="1"/>
    <n v="1"/>
    <x v="2"/>
    <n v="2"/>
    <x v="1"/>
    <n v="0.18"/>
    <s v="Winter"/>
    <s v="Weekday"/>
    <n v="0.21210000000000001"/>
    <n v="8.6961000000000013"/>
    <n v="0.43"/>
    <n v="0.1045"/>
    <x v="6"/>
    <x v="64"/>
    <n v="86"/>
  </r>
  <r>
    <n v="388"/>
    <d v="2011-01-17T00:00:00"/>
    <s v="Monday"/>
    <x v="0"/>
    <n v="0"/>
    <n v="1"/>
    <x v="15"/>
    <b v="1"/>
    <n v="1"/>
    <x v="2"/>
    <n v="2"/>
    <x v="1"/>
    <n v="0.2"/>
    <s v="Winter"/>
    <s v="Weekday"/>
    <n v="0.21210000000000001"/>
    <n v="8.6961000000000013"/>
    <n v="0.47"/>
    <n v="0.16420000000000001"/>
    <x v="27"/>
    <x v="109"/>
    <n v="93"/>
  </r>
  <r>
    <n v="389"/>
    <d v="2011-01-17T00:00:00"/>
    <s v="Monday"/>
    <x v="0"/>
    <n v="0"/>
    <n v="1"/>
    <x v="16"/>
    <b v="1"/>
    <n v="1"/>
    <x v="2"/>
    <n v="2"/>
    <x v="1"/>
    <n v="0.2"/>
    <s v="Winter"/>
    <s v="Weekday"/>
    <n v="0.21210000000000001"/>
    <n v="8.6961000000000013"/>
    <n v="0.47"/>
    <n v="0.16420000000000001"/>
    <x v="15"/>
    <x v="83"/>
    <n v="82"/>
  </r>
  <r>
    <n v="390"/>
    <d v="2011-01-17T00:00:00"/>
    <s v="Monday"/>
    <x v="0"/>
    <n v="0"/>
    <n v="1"/>
    <x v="17"/>
    <b v="1"/>
    <n v="1"/>
    <x v="2"/>
    <n v="1"/>
    <x v="0"/>
    <n v="0.2"/>
    <s v="Winter"/>
    <s v="Weekday"/>
    <n v="0.19700000000000001"/>
    <n v="8.077"/>
    <n v="0.51"/>
    <n v="0.19400000000000001"/>
    <x v="17"/>
    <x v="28"/>
    <n v="71"/>
  </r>
  <r>
    <n v="391"/>
    <d v="2011-01-17T00:00:00"/>
    <s v="Monday"/>
    <x v="0"/>
    <n v="0"/>
    <n v="1"/>
    <x v="18"/>
    <b v="1"/>
    <n v="1"/>
    <x v="2"/>
    <n v="2"/>
    <x v="1"/>
    <n v="0.18"/>
    <s v="Winter"/>
    <s v="Weekday"/>
    <n v="0.16669999999999999"/>
    <n v="6.8346999999999998"/>
    <n v="0.55000000000000004"/>
    <n v="0.25369999999999998"/>
    <x v="18"/>
    <x v="66"/>
    <n v="92"/>
  </r>
  <r>
    <n v="392"/>
    <d v="2011-01-17T00:00:00"/>
    <s v="Monday"/>
    <x v="0"/>
    <n v="0"/>
    <n v="1"/>
    <x v="19"/>
    <b v="1"/>
    <n v="1"/>
    <x v="2"/>
    <n v="3"/>
    <x v="2"/>
    <n v="0.18"/>
    <s v="Winter"/>
    <s v="Weekday"/>
    <n v="0.18179999999999999"/>
    <n v="7.4537999999999993"/>
    <n v="0.59"/>
    <n v="0.19400000000000001"/>
    <x v="4"/>
    <x v="29"/>
    <n v="60"/>
  </r>
  <r>
    <n v="393"/>
    <d v="2011-01-17T00:00:00"/>
    <s v="Monday"/>
    <x v="0"/>
    <n v="0"/>
    <n v="1"/>
    <x v="20"/>
    <b v="1"/>
    <n v="1"/>
    <x v="2"/>
    <n v="3"/>
    <x v="2"/>
    <n v="0.16"/>
    <s v="Winter"/>
    <s v="Weekday"/>
    <n v="0.1515"/>
    <n v="6.2115"/>
    <n v="0.8"/>
    <n v="0.19400000000000001"/>
    <x v="17"/>
    <x v="31"/>
    <n v="33"/>
  </r>
  <r>
    <n v="394"/>
    <d v="2011-01-17T00:00:00"/>
    <s v="Monday"/>
    <x v="0"/>
    <n v="0"/>
    <n v="1"/>
    <x v="21"/>
    <b v="1"/>
    <n v="1"/>
    <x v="2"/>
    <n v="3"/>
    <x v="2"/>
    <n v="0.16"/>
    <s v="Winter"/>
    <s v="Weekday"/>
    <n v="0.1515"/>
    <n v="6.2115"/>
    <n v="0.8"/>
    <n v="0.19400000000000001"/>
    <x v="0"/>
    <x v="9"/>
    <n v="27"/>
  </r>
  <r>
    <n v="395"/>
    <d v="2011-01-17T00:00:00"/>
    <s v="Monday"/>
    <x v="0"/>
    <n v="0"/>
    <n v="1"/>
    <x v="22"/>
    <b v="1"/>
    <n v="1"/>
    <x v="2"/>
    <n v="3"/>
    <x v="2"/>
    <n v="0.14000000000000001"/>
    <s v="Winter"/>
    <s v="Weekday"/>
    <n v="0.1212"/>
    <n v="4.9691999999999998"/>
    <n v="0.93"/>
    <n v="0.25369999999999998"/>
    <x v="3"/>
    <x v="0"/>
    <n v="13"/>
  </r>
  <r>
    <n v="396"/>
    <d v="2011-01-17T00:00:00"/>
    <s v="Monday"/>
    <x v="0"/>
    <n v="0"/>
    <n v="1"/>
    <x v="23"/>
    <b v="1"/>
    <n v="1"/>
    <x v="2"/>
    <n v="3"/>
    <x v="2"/>
    <n v="0.16"/>
    <s v="Winter"/>
    <s v="Weekday"/>
    <n v="0.13639999999999999"/>
    <n v="5.5923999999999996"/>
    <n v="0.86"/>
    <n v="0.28360000000000002"/>
    <x v="5"/>
    <x v="35"/>
    <n v="4"/>
  </r>
  <r>
    <n v="397"/>
    <d v="2011-01-18T00:00:00"/>
    <s v="Tuesday"/>
    <x v="0"/>
    <n v="0"/>
    <n v="1"/>
    <x v="12"/>
    <b v="0"/>
    <n v="2"/>
    <x v="3"/>
    <n v="2"/>
    <x v="1"/>
    <n v="0.2"/>
    <s v="Winter"/>
    <s v="Weekday"/>
    <n v="0.18179999999999999"/>
    <n v="7.4537999999999993"/>
    <n v="0.86"/>
    <n v="0.32840000000000003"/>
    <x v="3"/>
    <x v="35"/>
    <n v="3"/>
  </r>
  <r>
    <n v="398"/>
    <d v="2011-01-18T00:00:00"/>
    <s v="Tuesday"/>
    <x v="0"/>
    <n v="0"/>
    <n v="1"/>
    <x v="13"/>
    <b v="0"/>
    <n v="2"/>
    <x v="3"/>
    <n v="2"/>
    <x v="1"/>
    <n v="0.2"/>
    <s v="Winter"/>
    <s v="Weekday"/>
    <n v="0.19700000000000001"/>
    <n v="8.077"/>
    <n v="0.86"/>
    <n v="0.22389999999999999"/>
    <x v="3"/>
    <x v="97"/>
    <n v="22"/>
  </r>
  <r>
    <n v="399"/>
    <d v="2011-01-18T00:00:00"/>
    <s v="Tuesday"/>
    <x v="0"/>
    <n v="0"/>
    <n v="1"/>
    <x v="14"/>
    <b v="0"/>
    <n v="2"/>
    <x v="3"/>
    <n v="2"/>
    <x v="1"/>
    <n v="0.22"/>
    <s v="Winter"/>
    <s v="Weekday"/>
    <n v="0.2273"/>
    <n v="9.3193000000000001"/>
    <n v="0.8"/>
    <n v="0.16420000000000001"/>
    <x v="4"/>
    <x v="16"/>
    <n v="28"/>
  </r>
  <r>
    <n v="400"/>
    <d v="2011-01-18T00:00:00"/>
    <s v="Tuesday"/>
    <x v="0"/>
    <n v="0"/>
    <n v="1"/>
    <x v="15"/>
    <b v="0"/>
    <n v="2"/>
    <x v="3"/>
    <n v="2"/>
    <x v="1"/>
    <n v="0.22"/>
    <s v="Winter"/>
    <s v="Weekday"/>
    <n v="0.2273"/>
    <n v="9.3193000000000001"/>
    <n v="0.87"/>
    <n v="0.16420000000000001"/>
    <x v="0"/>
    <x v="1"/>
    <n v="35"/>
  </r>
  <r>
    <n v="401"/>
    <d v="2011-01-18T00:00:00"/>
    <s v="Tuesday"/>
    <x v="0"/>
    <n v="0"/>
    <n v="1"/>
    <x v="16"/>
    <b v="0"/>
    <n v="2"/>
    <x v="3"/>
    <n v="2"/>
    <x v="1"/>
    <n v="0.22"/>
    <s v="Winter"/>
    <s v="Weekday"/>
    <n v="0.2273"/>
    <n v="9.3193000000000001"/>
    <n v="0.87"/>
    <n v="0.19400000000000001"/>
    <x v="3"/>
    <x v="124"/>
    <n v="61"/>
  </r>
  <r>
    <n v="402"/>
    <d v="2011-01-18T00:00:00"/>
    <s v="Tuesday"/>
    <x v="0"/>
    <n v="0"/>
    <n v="1"/>
    <x v="17"/>
    <b v="0"/>
    <n v="2"/>
    <x v="3"/>
    <n v="2"/>
    <x v="1"/>
    <n v="0.22"/>
    <s v="Winter"/>
    <s v="Weekday"/>
    <n v="0.2273"/>
    <n v="9.3193000000000001"/>
    <n v="0.82"/>
    <n v="0.19400000000000001"/>
    <x v="5"/>
    <x v="125"/>
    <n v="125"/>
  </r>
  <r>
    <n v="403"/>
    <d v="2011-01-18T00:00:00"/>
    <s v="Tuesday"/>
    <x v="0"/>
    <n v="0"/>
    <n v="1"/>
    <x v="18"/>
    <b v="0"/>
    <n v="2"/>
    <x v="3"/>
    <n v="2"/>
    <x v="1"/>
    <n v="0.22"/>
    <s v="Winter"/>
    <s v="Weekday"/>
    <n v="0.2273"/>
    <n v="9.3193000000000001"/>
    <n v="0.8"/>
    <n v="0.16420000000000001"/>
    <x v="5"/>
    <x v="126"/>
    <n v="133"/>
  </r>
  <r>
    <n v="404"/>
    <d v="2011-01-18T00:00:00"/>
    <s v="Tuesday"/>
    <x v="0"/>
    <n v="0"/>
    <n v="1"/>
    <x v="19"/>
    <b v="0"/>
    <n v="2"/>
    <x v="3"/>
    <n v="2"/>
    <x v="1"/>
    <n v="0.22"/>
    <s v="Winter"/>
    <s v="Weekday"/>
    <n v="0.2273"/>
    <n v="9.3193000000000001"/>
    <n v="0.8"/>
    <n v="0.1343"/>
    <x v="5"/>
    <x v="52"/>
    <n v="99"/>
  </r>
  <r>
    <n v="405"/>
    <d v="2011-01-18T00:00:00"/>
    <s v="Tuesday"/>
    <x v="0"/>
    <n v="0"/>
    <n v="1"/>
    <x v="20"/>
    <b v="0"/>
    <n v="2"/>
    <x v="3"/>
    <n v="2"/>
    <x v="1"/>
    <n v="0.22"/>
    <s v="Winter"/>
    <s v="Weekday"/>
    <n v="0.2727"/>
    <n v="11.1807"/>
    <n v="0.87"/>
    <n v="0"/>
    <x v="3"/>
    <x v="93"/>
    <n v="83"/>
  </r>
  <r>
    <n v="406"/>
    <d v="2011-01-18T00:00:00"/>
    <s v="Tuesday"/>
    <x v="0"/>
    <n v="0"/>
    <n v="1"/>
    <x v="21"/>
    <b v="0"/>
    <n v="2"/>
    <x v="3"/>
    <n v="2"/>
    <x v="1"/>
    <n v="0.22"/>
    <s v="Winter"/>
    <s v="Weekday"/>
    <n v="0.2424"/>
    <n v="9.9383999999999997"/>
    <n v="0.93"/>
    <n v="0.1045"/>
    <x v="3"/>
    <x v="40"/>
    <n v="41"/>
  </r>
  <r>
    <n v="407"/>
    <d v="2011-01-18T00:00:00"/>
    <s v="Tuesday"/>
    <x v="0"/>
    <n v="0"/>
    <n v="1"/>
    <x v="22"/>
    <b v="0"/>
    <n v="2"/>
    <x v="3"/>
    <n v="2"/>
    <x v="1"/>
    <n v="0.22"/>
    <s v="Winter"/>
    <s v="Weekday"/>
    <n v="0.2576"/>
    <n v="10.5616"/>
    <n v="0.93"/>
    <n v="8.9599999999999999E-2"/>
    <x v="3"/>
    <x v="39"/>
    <n v="33"/>
  </r>
  <r>
    <n v="408"/>
    <d v="2011-01-18T00:00:00"/>
    <s v="Tuesday"/>
    <x v="0"/>
    <n v="0"/>
    <n v="1"/>
    <x v="23"/>
    <b v="0"/>
    <n v="2"/>
    <x v="3"/>
    <n v="2"/>
    <x v="1"/>
    <n v="0.22"/>
    <s v="Winter"/>
    <s v="Weekday"/>
    <n v="0.2727"/>
    <n v="11.1807"/>
    <n v="0.93"/>
    <n v="0"/>
    <x v="5"/>
    <x v="23"/>
    <n v="20"/>
  </r>
  <r>
    <n v="409"/>
    <d v="2011-01-19T00:00:00"/>
    <s v="Wednesday"/>
    <x v="0"/>
    <n v="0"/>
    <n v="1"/>
    <x v="0"/>
    <b v="0"/>
    <n v="3"/>
    <x v="4"/>
    <n v="2"/>
    <x v="1"/>
    <n v="0.22"/>
    <s v="Winter"/>
    <s v="Weekday"/>
    <n v="0.2727"/>
    <n v="11.1807"/>
    <n v="0.93"/>
    <n v="0"/>
    <x v="3"/>
    <x v="35"/>
    <n v="3"/>
  </r>
  <r>
    <n v="410"/>
    <d v="2011-01-19T00:00:00"/>
    <s v="Wednesday"/>
    <x v="0"/>
    <n v="0"/>
    <n v="1"/>
    <x v="1"/>
    <b v="0"/>
    <n v="3"/>
    <x v="4"/>
    <n v="3"/>
    <x v="2"/>
    <n v="0.22"/>
    <s v="Winter"/>
    <s v="Weekday"/>
    <n v="0.2273"/>
    <n v="9.3193000000000001"/>
    <n v="0.93"/>
    <n v="0.1343"/>
    <x v="5"/>
    <x v="8"/>
    <n v="7"/>
  </r>
  <r>
    <n v="411"/>
    <d v="2011-01-19T00:00:00"/>
    <s v="Wednesday"/>
    <x v="0"/>
    <n v="0"/>
    <n v="1"/>
    <x v="2"/>
    <b v="0"/>
    <n v="3"/>
    <x v="4"/>
    <n v="3"/>
    <x v="2"/>
    <n v="0.22"/>
    <s v="Winter"/>
    <s v="Weekday"/>
    <n v="0.2273"/>
    <n v="9.3193000000000001"/>
    <n v="0.93"/>
    <n v="0.1343"/>
    <x v="3"/>
    <x v="35"/>
    <n v="3"/>
  </r>
  <r>
    <n v="412"/>
    <d v="2011-01-19T00:00:00"/>
    <s v="Wednesday"/>
    <x v="0"/>
    <n v="0"/>
    <n v="1"/>
    <x v="4"/>
    <b v="0"/>
    <n v="3"/>
    <x v="4"/>
    <n v="3"/>
    <x v="2"/>
    <n v="0.22"/>
    <s v="Winter"/>
    <s v="Weekday"/>
    <n v="0.2273"/>
    <n v="9.3193000000000001"/>
    <n v="0.93"/>
    <n v="0.1343"/>
    <x v="5"/>
    <x v="4"/>
    <n v="2"/>
  </r>
  <r>
    <n v="413"/>
    <d v="2011-01-19T00:00:00"/>
    <s v="Wednesday"/>
    <x v="0"/>
    <n v="0"/>
    <n v="1"/>
    <x v="5"/>
    <b v="0"/>
    <n v="3"/>
    <x v="4"/>
    <n v="2"/>
    <x v="1"/>
    <n v="0.22"/>
    <s v="Winter"/>
    <s v="Weekday"/>
    <n v="0.2576"/>
    <n v="10.5616"/>
    <n v="0.93"/>
    <n v="8.9599999999999999E-2"/>
    <x v="3"/>
    <x v="7"/>
    <n v="7"/>
  </r>
  <r>
    <n v="414"/>
    <d v="2011-01-19T00:00:00"/>
    <s v="Wednesday"/>
    <x v="0"/>
    <n v="0"/>
    <n v="1"/>
    <x v="6"/>
    <b v="0"/>
    <n v="3"/>
    <x v="4"/>
    <n v="2"/>
    <x v="1"/>
    <n v="0.22"/>
    <s v="Winter"/>
    <s v="Weekday"/>
    <n v="0.2576"/>
    <n v="10.5616"/>
    <n v="0.93"/>
    <n v="8.9599999999999999E-2"/>
    <x v="3"/>
    <x v="1"/>
    <n v="32"/>
  </r>
  <r>
    <n v="415"/>
    <d v="2011-01-19T00:00:00"/>
    <s v="Wednesday"/>
    <x v="0"/>
    <n v="0"/>
    <n v="1"/>
    <x v="7"/>
    <b v="0"/>
    <n v="3"/>
    <x v="4"/>
    <n v="2"/>
    <x v="1"/>
    <n v="0.24"/>
    <s v="Winter"/>
    <s v="Weekday"/>
    <n v="0.2576"/>
    <n v="10.5616"/>
    <n v="0.92"/>
    <n v="0.1045"/>
    <x v="5"/>
    <x v="121"/>
    <n v="90"/>
  </r>
  <r>
    <n v="416"/>
    <d v="2011-01-19T00:00:00"/>
    <s v="Wednesday"/>
    <x v="0"/>
    <n v="0"/>
    <n v="1"/>
    <x v="8"/>
    <b v="0"/>
    <n v="3"/>
    <x v="4"/>
    <n v="2"/>
    <x v="1"/>
    <n v="0.24"/>
    <s v="Winter"/>
    <s v="Weekday"/>
    <n v="0.2576"/>
    <n v="10.5616"/>
    <n v="0.93"/>
    <n v="0.1045"/>
    <x v="5"/>
    <x v="127"/>
    <n v="197"/>
  </r>
  <r>
    <n v="417"/>
    <d v="2011-01-19T00:00:00"/>
    <s v="Wednesday"/>
    <x v="0"/>
    <n v="0"/>
    <n v="1"/>
    <x v="9"/>
    <b v="0"/>
    <n v="3"/>
    <x v="4"/>
    <n v="2"/>
    <x v="1"/>
    <n v="0.24"/>
    <s v="Winter"/>
    <s v="Weekday"/>
    <n v="0.2576"/>
    <n v="10.5616"/>
    <n v="0.93"/>
    <n v="0.1045"/>
    <x v="4"/>
    <x v="128"/>
    <n v="109"/>
  </r>
  <r>
    <n v="418"/>
    <d v="2011-01-19T00:00:00"/>
    <s v="Wednesday"/>
    <x v="0"/>
    <n v="0"/>
    <n v="1"/>
    <x v="10"/>
    <b v="0"/>
    <n v="3"/>
    <x v="4"/>
    <n v="2"/>
    <x v="1"/>
    <n v="0.26"/>
    <s v="Winter"/>
    <s v="Weekday"/>
    <n v="0.2727"/>
    <n v="11.1807"/>
    <n v="0.93"/>
    <n v="0.1343"/>
    <x v="5"/>
    <x v="24"/>
    <n v="47"/>
  </r>
  <r>
    <n v="419"/>
    <d v="2011-01-19T00:00:00"/>
    <s v="Wednesday"/>
    <x v="0"/>
    <n v="0"/>
    <n v="1"/>
    <x v="11"/>
    <b v="0"/>
    <n v="3"/>
    <x v="4"/>
    <n v="2"/>
    <x v="1"/>
    <n v="0.28000000000000003"/>
    <s v="Winter"/>
    <s v="Weekday"/>
    <n v="0.30299999999999999"/>
    <n v="12.423"/>
    <n v="0.87"/>
    <n v="8.9599999999999999E-2"/>
    <x v="2"/>
    <x v="12"/>
    <n v="52"/>
  </r>
  <r>
    <n v="420"/>
    <d v="2011-01-19T00:00:00"/>
    <s v="Wednesday"/>
    <x v="0"/>
    <n v="0"/>
    <n v="1"/>
    <x v="12"/>
    <b v="0"/>
    <n v="3"/>
    <x v="4"/>
    <n v="2"/>
    <x v="1"/>
    <n v="0.3"/>
    <s v="Winter"/>
    <s v="Weekday"/>
    <n v="0.31819999999999998"/>
    <n v="13.046199999999999"/>
    <n v="0.81"/>
    <n v="8.9599999999999999E-2"/>
    <x v="2"/>
    <x v="65"/>
    <n v="70"/>
  </r>
  <r>
    <n v="421"/>
    <d v="2011-01-19T00:00:00"/>
    <s v="Wednesday"/>
    <x v="0"/>
    <n v="0"/>
    <n v="1"/>
    <x v="13"/>
    <b v="0"/>
    <n v="3"/>
    <x v="4"/>
    <n v="1"/>
    <x v="0"/>
    <n v="0.4"/>
    <s v="Winter"/>
    <s v="Weekday"/>
    <n v="0.40910000000000002"/>
    <n v="16.773099999999999"/>
    <n v="0.62"/>
    <n v="0.28360000000000002"/>
    <x v="16"/>
    <x v="28"/>
    <n v="78"/>
  </r>
  <r>
    <n v="422"/>
    <d v="2011-01-19T00:00:00"/>
    <s v="Wednesday"/>
    <x v="0"/>
    <n v="0"/>
    <n v="1"/>
    <x v="14"/>
    <b v="0"/>
    <n v="3"/>
    <x v="4"/>
    <n v="1"/>
    <x v="0"/>
    <n v="0.4"/>
    <s v="Winter"/>
    <s v="Weekday"/>
    <n v="0.40910000000000002"/>
    <n v="16.773099999999999"/>
    <n v="0.57999999999999996"/>
    <n v="0.25369999999999998"/>
    <x v="18"/>
    <x v="56"/>
    <n v="75"/>
  </r>
  <r>
    <n v="423"/>
    <d v="2011-01-19T00:00:00"/>
    <s v="Wednesday"/>
    <x v="0"/>
    <n v="0"/>
    <n v="1"/>
    <x v="15"/>
    <b v="0"/>
    <n v="3"/>
    <x v="4"/>
    <n v="1"/>
    <x v="0"/>
    <n v="0.4"/>
    <s v="Winter"/>
    <s v="Weekday"/>
    <n v="0.40910000000000002"/>
    <n v="16.773099999999999"/>
    <n v="0.54"/>
    <n v="0.28360000000000002"/>
    <x v="17"/>
    <x v="78"/>
    <n v="82"/>
  </r>
  <r>
    <n v="424"/>
    <d v="2011-01-19T00:00:00"/>
    <s v="Wednesday"/>
    <x v="0"/>
    <n v="0"/>
    <n v="1"/>
    <x v="16"/>
    <b v="0"/>
    <n v="3"/>
    <x v="4"/>
    <n v="1"/>
    <x v="0"/>
    <n v="0.38"/>
    <s v="Winter"/>
    <s v="Weekday"/>
    <n v="0.39389999999999997"/>
    <n v="16.149899999999999"/>
    <n v="0.57999999999999996"/>
    <n v="0.3881"/>
    <x v="22"/>
    <x v="111"/>
    <n v="104"/>
  </r>
  <r>
    <n v="425"/>
    <d v="2011-01-19T00:00:00"/>
    <s v="Wednesday"/>
    <x v="0"/>
    <n v="0"/>
    <n v="1"/>
    <x v="17"/>
    <b v="0"/>
    <n v="3"/>
    <x v="4"/>
    <n v="1"/>
    <x v="0"/>
    <n v="0.36"/>
    <s v="Winter"/>
    <s v="Weekday"/>
    <n v="0.33329999999999999"/>
    <n v="13.6653"/>
    <n v="0.56999999999999995"/>
    <n v="0.32840000000000003"/>
    <x v="18"/>
    <x v="84"/>
    <n v="197"/>
  </r>
  <r>
    <n v="426"/>
    <d v="2011-01-19T00:00:00"/>
    <s v="Wednesday"/>
    <x v="0"/>
    <n v="0"/>
    <n v="1"/>
    <x v="18"/>
    <b v="0"/>
    <n v="3"/>
    <x v="4"/>
    <n v="1"/>
    <x v="0"/>
    <n v="0.34"/>
    <s v="Winter"/>
    <s v="Weekday"/>
    <n v="0.31819999999999998"/>
    <n v="13.046199999999999"/>
    <n v="0.61"/>
    <n v="0.28360000000000002"/>
    <x v="2"/>
    <x v="117"/>
    <n v="161"/>
  </r>
  <r>
    <n v="427"/>
    <d v="2011-01-19T00:00:00"/>
    <s v="Wednesday"/>
    <x v="0"/>
    <n v="0"/>
    <n v="1"/>
    <x v="19"/>
    <b v="0"/>
    <n v="3"/>
    <x v="4"/>
    <n v="1"/>
    <x v="0"/>
    <n v="0.32"/>
    <s v="Winter"/>
    <s v="Weekday"/>
    <n v="0.28789999999999999"/>
    <n v="11.803899999999999"/>
    <n v="0.56999999999999995"/>
    <n v="0.41789999999999999"/>
    <x v="17"/>
    <x v="123"/>
    <n v="112"/>
  </r>
  <r>
    <n v="428"/>
    <d v="2011-01-19T00:00:00"/>
    <s v="Wednesday"/>
    <x v="0"/>
    <n v="0"/>
    <n v="1"/>
    <x v="20"/>
    <b v="0"/>
    <n v="3"/>
    <x v="4"/>
    <n v="1"/>
    <x v="0"/>
    <n v="0.32"/>
    <s v="Winter"/>
    <s v="Weekday"/>
    <n v="0.30299999999999999"/>
    <n v="12.423"/>
    <n v="0.49"/>
    <n v="0.29849999999999999"/>
    <x v="4"/>
    <x v="64"/>
    <n v="76"/>
  </r>
  <r>
    <n v="429"/>
    <d v="2011-01-19T00:00:00"/>
    <s v="Wednesday"/>
    <x v="0"/>
    <n v="0"/>
    <n v="1"/>
    <x v="21"/>
    <b v="0"/>
    <n v="3"/>
    <x v="4"/>
    <n v="1"/>
    <x v="0"/>
    <n v="0.32"/>
    <s v="Winter"/>
    <s v="Weekday"/>
    <n v="0.28789999999999999"/>
    <n v="11.803899999999999"/>
    <n v="0.49"/>
    <n v="0.41789999999999999"/>
    <x v="17"/>
    <x v="11"/>
    <n v="59"/>
  </r>
  <r>
    <n v="430"/>
    <d v="2011-01-19T00:00:00"/>
    <s v="Wednesday"/>
    <x v="0"/>
    <n v="0"/>
    <n v="1"/>
    <x v="22"/>
    <b v="0"/>
    <n v="3"/>
    <x v="4"/>
    <n v="1"/>
    <x v="0"/>
    <n v="0.3"/>
    <s v="Winter"/>
    <s v="Weekday"/>
    <n v="0.30299999999999999"/>
    <n v="12.423"/>
    <n v="0.52"/>
    <n v="0.16420000000000001"/>
    <x v="15"/>
    <x v="42"/>
    <n v="59"/>
  </r>
  <r>
    <n v="431"/>
    <d v="2011-01-19T00:00:00"/>
    <s v="Wednesday"/>
    <x v="0"/>
    <n v="0"/>
    <n v="1"/>
    <x v="23"/>
    <b v="0"/>
    <n v="3"/>
    <x v="4"/>
    <n v="1"/>
    <x v="0"/>
    <n v="0.3"/>
    <s v="Winter"/>
    <s v="Weekday"/>
    <n v="0.2727"/>
    <n v="11.1807"/>
    <n v="0.52"/>
    <n v="0.4627"/>
    <x v="5"/>
    <x v="2"/>
    <n v="28"/>
  </r>
  <r>
    <n v="432"/>
    <d v="2011-01-20T00:00:00"/>
    <s v="Thursday"/>
    <x v="0"/>
    <n v="0"/>
    <n v="1"/>
    <x v="0"/>
    <b v="0"/>
    <n v="4"/>
    <x v="5"/>
    <n v="1"/>
    <x v="0"/>
    <n v="0.26"/>
    <s v="Winter"/>
    <s v="Weekday"/>
    <n v="0.2273"/>
    <n v="9.3193000000000001"/>
    <n v="0.56000000000000005"/>
    <n v="0.3881"/>
    <x v="2"/>
    <x v="21"/>
    <n v="13"/>
  </r>
  <r>
    <n v="433"/>
    <d v="2011-01-20T00:00:00"/>
    <s v="Thursday"/>
    <x v="0"/>
    <n v="0"/>
    <n v="1"/>
    <x v="1"/>
    <b v="0"/>
    <n v="4"/>
    <x v="5"/>
    <n v="1"/>
    <x v="0"/>
    <n v="0.26"/>
    <s v="Winter"/>
    <s v="Weekday"/>
    <n v="0.2727"/>
    <n v="11.1807"/>
    <n v="0.56000000000000005"/>
    <n v="0"/>
    <x v="4"/>
    <x v="35"/>
    <n v="5"/>
  </r>
  <r>
    <n v="434"/>
    <d v="2011-01-20T00:00:00"/>
    <s v="Thursday"/>
    <x v="0"/>
    <n v="0"/>
    <n v="1"/>
    <x v="2"/>
    <b v="0"/>
    <n v="4"/>
    <x v="5"/>
    <n v="1"/>
    <x v="0"/>
    <n v="0.26"/>
    <s v="Winter"/>
    <s v="Weekday"/>
    <n v="0.2727"/>
    <n v="11.1807"/>
    <n v="0.56000000000000005"/>
    <n v="0"/>
    <x v="3"/>
    <x v="6"/>
    <n v="2"/>
  </r>
  <r>
    <n v="435"/>
    <d v="2011-01-20T00:00:00"/>
    <s v="Thursday"/>
    <x v="0"/>
    <n v="0"/>
    <n v="1"/>
    <x v="3"/>
    <b v="0"/>
    <n v="4"/>
    <x v="5"/>
    <n v="1"/>
    <x v="0"/>
    <n v="0.26"/>
    <s v="Winter"/>
    <s v="Weekday"/>
    <n v="0.2576"/>
    <n v="10.5616"/>
    <n v="0.56000000000000005"/>
    <n v="0.16420000000000001"/>
    <x v="3"/>
    <x v="4"/>
    <n v="1"/>
  </r>
  <r>
    <n v="436"/>
    <d v="2011-01-20T00:00:00"/>
    <s v="Thursday"/>
    <x v="0"/>
    <n v="0"/>
    <n v="1"/>
    <x v="4"/>
    <b v="0"/>
    <n v="4"/>
    <x v="5"/>
    <n v="1"/>
    <x v="0"/>
    <n v="0.26"/>
    <s v="Winter"/>
    <s v="Weekday"/>
    <n v="0.2576"/>
    <n v="10.5616"/>
    <n v="0.56000000000000005"/>
    <n v="0.16420000000000001"/>
    <x v="3"/>
    <x v="4"/>
    <n v="1"/>
  </r>
  <r>
    <n v="437"/>
    <d v="2011-01-20T00:00:00"/>
    <s v="Thursday"/>
    <x v="0"/>
    <n v="0"/>
    <n v="1"/>
    <x v="5"/>
    <b v="0"/>
    <n v="4"/>
    <x v="5"/>
    <n v="1"/>
    <x v="0"/>
    <n v="0.24"/>
    <s v="Winter"/>
    <s v="Weekday"/>
    <n v="0.2273"/>
    <n v="9.3193000000000001"/>
    <n v="0.6"/>
    <n v="0.22389999999999999"/>
    <x v="3"/>
    <x v="8"/>
    <n v="6"/>
  </r>
  <r>
    <n v="438"/>
    <d v="2011-01-20T00:00:00"/>
    <s v="Thursday"/>
    <x v="0"/>
    <n v="0"/>
    <n v="1"/>
    <x v="6"/>
    <b v="0"/>
    <n v="4"/>
    <x v="5"/>
    <n v="1"/>
    <x v="0"/>
    <n v="0.22"/>
    <s v="Winter"/>
    <s v="Weekday"/>
    <n v="0.21210000000000001"/>
    <n v="8.6961000000000013"/>
    <n v="0.6"/>
    <n v="0.22389999999999999"/>
    <x v="3"/>
    <x v="96"/>
    <n v="35"/>
  </r>
  <r>
    <n v="439"/>
    <d v="2011-01-20T00:00:00"/>
    <s v="Thursday"/>
    <x v="0"/>
    <n v="0"/>
    <n v="1"/>
    <x v="7"/>
    <b v="0"/>
    <n v="4"/>
    <x v="5"/>
    <n v="1"/>
    <x v="0"/>
    <n v="0.22"/>
    <s v="Winter"/>
    <s v="Weekday"/>
    <n v="0.21210000000000001"/>
    <n v="8.6961000000000013"/>
    <n v="0.55000000000000004"/>
    <n v="0.22389999999999999"/>
    <x v="5"/>
    <x v="129"/>
    <n v="101"/>
  </r>
  <r>
    <n v="440"/>
    <d v="2011-01-20T00:00:00"/>
    <s v="Thursday"/>
    <x v="0"/>
    <n v="0"/>
    <n v="1"/>
    <x v="8"/>
    <b v="0"/>
    <n v="4"/>
    <x v="5"/>
    <n v="1"/>
    <x v="0"/>
    <n v="0.22"/>
    <s v="Winter"/>
    <s v="Weekday"/>
    <n v="0.21210000000000001"/>
    <n v="8.6961000000000013"/>
    <n v="0.55000000000000004"/>
    <n v="0.28360000000000002"/>
    <x v="4"/>
    <x v="130"/>
    <n v="249"/>
  </r>
  <r>
    <n v="441"/>
    <d v="2011-01-20T00:00:00"/>
    <s v="Thursday"/>
    <x v="0"/>
    <n v="0"/>
    <n v="1"/>
    <x v="9"/>
    <b v="0"/>
    <n v="4"/>
    <x v="5"/>
    <n v="2"/>
    <x v="1"/>
    <n v="0.24"/>
    <s v="Winter"/>
    <s v="Weekday"/>
    <n v="0.2273"/>
    <n v="9.3193000000000001"/>
    <n v="0.52"/>
    <n v="0.22389999999999999"/>
    <x v="0"/>
    <x v="131"/>
    <n v="143"/>
  </r>
  <r>
    <n v="442"/>
    <d v="2011-01-20T00:00:00"/>
    <s v="Thursday"/>
    <x v="0"/>
    <n v="0"/>
    <n v="1"/>
    <x v="10"/>
    <b v="0"/>
    <n v="4"/>
    <x v="5"/>
    <n v="1"/>
    <x v="0"/>
    <n v="0.26"/>
    <s v="Winter"/>
    <s v="Weekday"/>
    <n v="0.2273"/>
    <n v="9.3193000000000001"/>
    <n v="0.48"/>
    <n v="0.29849999999999999"/>
    <x v="5"/>
    <x v="90"/>
    <n v="57"/>
  </r>
  <r>
    <n v="443"/>
    <d v="2011-01-20T00:00:00"/>
    <s v="Thursday"/>
    <x v="0"/>
    <n v="0"/>
    <n v="1"/>
    <x v="11"/>
    <b v="0"/>
    <n v="4"/>
    <x v="5"/>
    <n v="2"/>
    <x v="1"/>
    <n v="0.28000000000000003"/>
    <s v="Winter"/>
    <s v="Weekday"/>
    <n v="0.2727"/>
    <n v="11.1807"/>
    <n v="0.45"/>
    <n v="0.16420000000000001"/>
    <x v="2"/>
    <x v="36"/>
    <n v="68"/>
  </r>
  <r>
    <n v="444"/>
    <d v="2011-01-20T00:00:00"/>
    <s v="Thursday"/>
    <x v="0"/>
    <n v="0"/>
    <n v="1"/>
    <x v="12"/>
    <b v="0"/>
    <n v="4"/>
    <x v="5"/>
    <n v="2"/>
    <x v="1"/>
    <n v="0.3"/>
    <s v="Winter"/>
    <s v="Weekday"/>
    <n v="0.33329999999999999"/>
    <n v="13.6653"/>
    <n v="0.42"/>
    <n v="0"/>
    <x v="18"/>
    <x v="99"/>
    <n v="84"/>
  </r>
  <r>
    <n v="445"/>
    <d v="2011-01-20T00:00:00"/>
    <s v="Thursday"/>
    <x v="0"/>
    <n v="0"/>
    <n v="1"/>
    <x v="13"/>
    <b v="0"/>
    <n v="4"/>
    <x v="5"/>
    <n v="2"/>
    <x v="1"/>
    <n v="0.28000000000000003"/>
    <s v="Winter"/>
    <s v="Weekday"/>
    <n v="0.28789999999999999"/>
    <n v="11.803899999999999"/>
    <n v="0.45"/>
    <n v="0.1045"/>
    <x v="6"/>
    <x v="132"/>
    <n v="98"/>
  </r>
  <r>
    <n v="446"/>
    <d v="2011-01-20T00:00:00"/>
    <s v="Thursday"/>
    <x v="0"/>
    <n v="0"/>
    <n v="1"/>
    <x v="14"/>
    <b v="0"/>
    <n v="4"/>
    <x v="5"/>
    <n v="2"/>
    <x v="1"/>
    <n v="0.3"/>
    <s v="Winter"/>
    <s v="Weekday"/>
    <n v="0.30299999999999999"/>
    <n v="12.423"/>
    <n v="0.45"/>
    <n v="0.1343"/>
    <x v="15"/>
    <x v="102"/>
    <n v="81"/>
  </r>
  <r>
    <n v="447"/>
    <d v="2011-01-20T00:00:00"/>
    <s v="Thursday"/>
    <x v="0"/>
    <n v="0"/>
    <n v="1"/>
    <x v="15"/>
    <b v="0"/>
    <n v="4"/>
    <x v="5"/>
    <n v="2"/>
    <x v="1"/>
    <n v="0.32"/>
    <s v="Winter"/>
    <s v="Weekday"/>
    <n v="0.31819999999999998"/>
    <n v="13.046199999999999"/>
    <n v="0.45"/>
    <n v="0.19400000000000001"/>
    <x v="1"/>
    <x v="133"/>
    <n v="70"/>
  </r>
  <r>
    <n v="448"/>
    <d v="2011-01-20T00:00:00"/>
    <s v="Thursday"/>
    <x v="0"/>
    <n v="0"/>
    <n v="1"/>
    <x v="16"/>
    <b v="0"/>
    <n v="4"/>
    <x v="5"/>
    <n v="2"/>
    <x v="1"/>
    <n v="0.3"/>
    <s v="Winter"/>
    <s v="Weekday"/>
    <n v="0.30299999999999999"/>
    <n v="12.423"/>
    <n v="0.49"/>
    <n v="0.1343"/>
    <x v="1"/>
    <x v="93"/>
    <n v="91"/>
  </r>
  <r>
    <n v="449"/>
    <d v="2011-01-20T00:00:00"/>
    <s v="Thursday"/>
    <x v="0"/>
    <n v="0"/>
    <n v="1"/>
    <x v="17"/>
    <b v="0"/>
    <n v="4"/>
    <x v="5"/>
    <n v="2"/>
    <x v="1"/>
    <n v="0.3"/>
    <s v="Winter"/>
    <s v="Weekday"/>
    <n v="0.31819999999999998"/>
    <n v="13.046199999999999"/>
    <n v="0.49"/>
    <n v="0.1045"/>
    <x v="1"/>
    <x v="134"/>
    <n v="215"/>
  </r>
  <r>
    <n v="450"/>
    <d v="2011-01-20T00:00:00"/>
    <s v="Thursday"/>
    <x v="0"/>
    <n v="0"/>
    <n v="1"/>
    <x v="18"/>
    <b v="0"/>
    <n v="4"/>
    <x v="5"/>
    <n v="2"/>
    <x v="1"/>
    <n v="0.26"/>
    <s v="Winter"/>
    <s v="Weekday"/>
    <n v="0.2576"/>
    <n v="10.5616"/>
    <n v="0.56000000000000005"/>
    <n v="0.19400000000000001"/>
    <x v="5"/>
    <x v="103"/>
    <n v="185"/>
  </r>
  <r>
    <n v="451"/>
    <d v="2011-01-20T00:00:00"/>
    <s v="Thursday"/>
    <x v="0"/>
    <n v="0"/>
    <n v="1"/>
    <x v="19"/>
    <b v="0"/>
    <n v="4"/>
    <x v="5"/>
    <n v="1"/>
    <x v="0"/>
    <n v="0.26"/>
    <s v="Winter"/>
    <s v="Weekday"/>
    <n v="0.2273"/>
    <n v="9.3193000000000001"/>
    <n v="0.56000000000000005"/>
    <n v="0.32840000000000003"/>
    <x v="15"/>
    <x v="44"/>
    <n v="152"/>
  </r>
  <r>
    <n v="452"/>
    <d v="2011-01-20T00:00:00"/>
    <s v="Thursday"/>
    <x v="0"/>
    <n v="0"/>
    <n v="1"/>
    <x v="20"/>
    <b v="0"/>
    <n v="4"/>
    <x v="5"/>
    <n v="2"/>
    <x v="1"/>
    <n v="0.26"/>
    <s v="Winter"/>
    <s v="Weekday"/>
    <n v="0.2424"/>
    <n v="9.9383999999999997"/>
    <n v="0.6"/>
    <n v="0.28360000000000002"/>
    <x v="4"/>
    <x v="125"/>
    <n v="126"/>
  </r>
  <r>
    <n v="453"/>
    <d v="2011-01-20T00:00:00"/>
    <s v="Thursday"/>
    <x v="0"/>
    <n v="0"/>
    <n v="1"/>
    <x v="21"/>
    <b v="0"/>
    <n v="4"/>
    <x v="5"/>
    <n v="2"/>
    <x v="1"/>
    <n v="0.24"/>
    <s v="Winter"/>
    <s v="Weekday"/>
    <n v="0.2273"/>
    <n v="9.3193000000000001"/>
    <n v="0.6"/>
    <n v="0.25369999999999998"/>
    <x v="0"/>
    <x v="25"/>
    <n v="57"/>
  </r>
  <r>
    <n v="454"/>
    <d v="2011-01-20T00:00:00"/>
    <s v="Thursday"/>
    <x v="0"/>
    <n v="0"/>
    <n v="1"/>
    <x v="22"/>
    <b v="0"/>
    <n v="4"/>
    <x v="5"/>
    <n v="2"/>
    <x v="1"/>
    <n v="0.24"/>
    <s v="Winter"/>
    <s v="Weekday"/>
    <n v="0.21210000000000001"/>
    <n v="8.6961000000000013"/>
    <n v="0.65"/>
    <n v="0.28360000000000002"/>
    <x v="3"/>
    <x v="90"/>
    <n v="56"/>
  </r>
  <r>
    <n v="455"/>
    <d v="2011-01-20T00:00:00"/>
    <s v="Thursday"/>
    <x v="0"/>
    <n v="0"/>
    <n v="1"/>
    <x v="23"/>
    <b v="0"/>
    <n v="4"/>
    <x v="5"/>
    <n v="2"/>
    <x v="1"/>
    <n v="0.24"/>
    <s v="Winter"/>
    <s v="Weekday"/>
    <n v="0.21210000000000001"/>
    <n v="8.6961000000000013"/>
    <n v="0.65"/>
    <n v="0.32840000000000003"/>
    <x v="0"/>
    <x v="95"/>
    <n v="31"/>
  </r>
  <r>
    <n v="456"/>
    <d v="2011-01-21T00:00:00"/>
    <s v="Friday"/>
    <x v="0"/>
    <n v="0"/>
    <n v="1"/>
    <x v="0"/>
    <b v="0"/>
    <n v="5"/>
    <x v="6"/>
    <n v="2"/>
    <x v="1"/>
    <n v="0.24"/>
    <s v="Winter"/>
    <s v="Weekday"/>
    <n v="0.2273"/>
    <n v="9.3193000000000001"/>
    <n v="0.7"/>
    <n v="0.25369999999999998"/>
    <x v="5"/>
    <x v="32"/>
    <n v="21"/>
  </r>
  <r>
    <n v="457"/>
    <d v="2011-01-21T00:00:00"/>
    <s v="Friday"/>
    <x v="0"/>
    <n v="0"/>
    <n v="1"/>
    <x v="1"/>
    <b v="0"/>
    <n v="5"/>
    <x v="6"/>
    <n v="2"/>
    <x v="1"/>
    <n v="0.24"/>
    <s v="Winter"/>
    <s v="Weekday"/>
    <n v="0.2273"/>
    <n v="9.3193000000000001"/>
    <n v="0.7"/>
    <n v="0.25369999999999998"/>
    <x v="3"/>
    <x v="8"/>
    <n v="6"/>
  </r>
  <r>
    <n v="458"/>
    <d v="2011-01-21T00:00:00"/>
    <s v="Friday"/>
    <x v="0"/>
    <n v="0"/>
    <n v="1"/>
    <x v="2"/>
    <b v="0"/>
    <n v="5"/>
    <x v="6"/>
    <n v="3"/>
    <x v="2"/>
    <n v="0.24"/>
    <s v="Winter"/>
    <s v="Weekday"/>
    <n v="0.2424"/>
    <n v="9.9383999999999997"/>
    <n v="0.75"/>
    <n v="0.16420000000000001"/>
    <x v="3"/>
    <x v="6"/>
    <n v="2"/>
  </r>
  <r>
    <n v="459"/>
    <d v="2011-01-21T00:00:00"/>
    <s v="Friday"/>
    <x v="0"/>
    <n v="0"/>
    <n v="1"/>
    <x v="3"/>
    <b v="0"/>
    <n v="5"/>
    <x v="6"/>
    <n v="3"/>
    <x v="2"/>
    <n v="0.22"/>
    <s v="Winter"/>
    <s v="Weekday"/>
    <n v="0.21210000000000001"/>
    <n v="8.6961000000000013"/>
    <n v="0.8"/>
    <n v="0.29849999999999999"/>
    <x v="3"/>
    <x v="4"/>
    <n v="1"/>
  </r>
  <r>
    <n v="460"/>
    <d v="2011-01-21T00:00:00"/>
    <s v="Friday"/>
    <x v="0"/>
    <n v="0"/>
    <n v="1"/>
    <x v="4"/>
    <b v="0"/>
    <n v="5"/>
    <x v="6"/>
    <n v="2"/>
    <x v="1"/>
    <n v="0.22"/>
    <s v="Winter"/>
    <s v="Weekday"/>
    <n v="0.2576"/>
    <n v="10.5616"/>
    <n v="0.87"/>
    <n v="8.9599999999999999E-2"/>
    <x v="3"/>
    <x v="4"/>
    <n v="1"/>
  </r>
  <r>
    <n v="461"/>
    <d v="2011-01-21T00:00:00"/>
    <s v="Friday"/>
    <x v="0"/>
    <n v="0"/>
    <n v="1"/>
    <x v="5"/>
    <b v="0"/>
    <n v="5"/>
    <x v="6"/>
    <n v="1"/>
    <x v="0"/>
    <n v="0.24"/>
    <s v="Winter"/>
    <s v="Weekday"/>
    <n v="0.19700000000000001"/>
    <n v="8.077"/>
    <n v="0.6"/>
    <n v="0.41789999999999999"/>
    <x v="5"/>
    <x v="22"/>
    <n v="5"/>
  </r>
  <r>
    <n v="462"/>
    <d v="2011-01-21T00:00:00"/>
    <s v="Friday"/>
    <x v="0"/>
    <n v="0"/>
    <n v="1"/>
    <x v="6"/>
    <b v="0"/>
    <n v="5"/>
    <x v="6"/>
    <n v="1"/>
    <x v="0"/>
    <n v="0.22"/>
    <s v="Winter"/>
    <s v="Weekday"/>
    <n v="0.21210000000000001"/>
    <n v="8.6961000000000013"/>
    <n v="0.55000000000000004"/>
    <n v="0.25369999999999998"/>
    <x v="3"/>
    <x v="2"/>
    <n v="27"/>
  </r>
  <r>
    <n v="463"/>
    <d v="2011-01-21T00:00:00"/>
    <s v="Friday"/>
    <x v="0"/>
    <n v="0"/>
    <n v="1"/>
    <x v="7"/>
    <b v="0"/>
    <n v="5"/>
    <x v="6"/>
    <n v="1"/>
    <x v="0"/>
    <n v="0.2"/>
    <s v="Winter"/>
    <s v="Weekday"/>
    <n v="0.18179999999999999"/>
    <n v="7.4537999999999993"/>
    <n v="0.51"/>
    <n v="0.28360000000000002"/>
    <x v="4"/>
    <x v="43"/>
    <n v="68"/>
  </r>
  <r>
    <n v="464"/>
    <d v="2011-01-21T00:00:00"/>
    <s v="Friday"/>
    <x v="0"/>
    <n v="0"/>
    <n v="1"/>
    <x v="8"/>
    <b v="0"/>
    <n v="5"/>
    <x v="6"/>
    <n v="1"/>
    <x v="0"/>
    <n v="0.2"/>
    <s v="Winter"/>
    <s v="Weekday"/>
    <n v="0.18179999999999999"/>
    <n v="7.4537999999999993"/>
    <n v="0.47"/>
    <n v="0.32840000000000003"/>
    <x v="18"/>
    <x v="135"/>
    <n v="217"/>
  </r>
  <r>
    <n v="465"/>
    <d v="2011-01-21T00:00:00"/>
    <s v="Friday"/>
    <x v="0"/>
    <n v="0"/>
    <n v="1"/>
    <x v="9"/>
    <b v="0"/>
    <n v="5"/>
    <x v="6"/>
    <n v="1"/>
    <x v="0"/>
    <n v="0.2"/>
    <s v="Winter"/>
    <s v="Weekday"/>
    <n v="0.18179999999999999"/>
    <n v="7.4537999999999993"/>
    <n v="0.51"/>
    <n v="0.35820000000000002"/>
    <x v="18"/>
    <x v="136"/>
    <n v="166"/>
  </r>
  <r>
    <n v="466"/>
    <d v="2011-01-21T00:00:00"/>
    <s v="Friday"/>
    <x v="0"/>
    <n v="0"/>
    <n v="1"/>
    <x v="10"/>
    <b v="0"/>
    <n v="5"/>
    <x v="6"/>
    <n v="1"/>
    <x v="0"/>
    <n v="0.2"/>
    <s v="Winter"/>
    <s v="Weekday"/>
    <n v="0.16669999999999999"/>
    <n v="6.8346999999999998"/>
    <n v="0.47"/>
    <n v="0.4627"/>
    <x v="15"/>
    <x v="77"/>
    <n v="63"/>
  </r>
  <r>
    <n v="467"/>
    <d v="2011-01-21T00:00:00"/>
    <s v="Friday"/>
    <x v="0"/>
    <n v="0"/>
    <n v="1"/>
    <x v="11"/>
    <b v="0"/>
    <n v="5"/>
    <x v="6"/>
    <n v="1"/>
    <x v="0"/>
    <n v="0.22"/>
    <s v="Winter"/>
    <s v="Weekday"/>
    <n v="0.18179999999999999"/>
    <n v="7.4537999999999993"/>
    <n v="0.41"/>
    <n v="0.4627"/>
    <x v="15"/>
    <x v="42"/>
    <n v="59"/>
  </r>
  <r>
    <n v="468"/>
    <d v="2011-01-21T00:00:00"/>
    <s v="Friday"/>
    <x v="0"/>
    <n v="0"/>
    <n v="1"/>
    <x v="12"/>
    <b v="0"/>
    <n v="5"/>
    <x v="6"/>
    <n v="1"/>
    <x v="0"/>
    <n v="0.22"/>
    <s v="Winter"/>
    <s v="Weekday"/>
    <n v="0.18179999999999999"/>
    <n v="7.4537999999999993"/>
    <n v="0.27"/>
    <n v="0.58209999999999995"/>
    <x v="16"/>
    <x v="28"/>
    <n v="78"/>
  </r>
  <r>
    <n v="469"/>
    <d v="2011-01-21T00:00:00"/>
    <s v="Friday"/>
    <x v="0"/>
    <n v="0"/>
    <n v="1"/>
    <x v="13"/>
    <b v="0"/>
    <n v="5"/>
    <x v="6"/>
    <n v="1"/>
    <x v="0"/>
    <n v="0.2"/>
    <s v="Winter"/>
    <s v="Weekday"/>
    <n v="0.1515"/>
    <n v="6.2115"/>
    <n v="0.21"/>
    <n v="0.58209999999999995"/>
    <x v="1"/>
    <x v="65"/>
    <n v="73"/>
  </r>
  <r>
    <n v="470"/>
    <d v="2011-01-21T00:00:00"/>
    <s v="Friday"/>
    <x v="0"/>
    <n v="0"/>
    <n v="1"/>
    <x v="14"/>
    <b v="0"/>
    <n v="5"/>
    <x v="6"/>
    <n v="1"/>
    <x v="0"/>
    <n v="0.2"/>
    <s v="Winter"/>
    <s v="Weekday"/>
    <n v="0.1515"/>
    <n v="6.2115"/>
    <n v="0.25"/>
    <n v="0.52239999999999998"/>
    <x v="15"/>
    <x v="90"/>
    <n v="62"/>
  </r>
  <r>
    <n v="471"/>
    <d v="2011-01-21T00:00:00"/>
    <s v="Friday"/>
    <x v="0"/>
    <n v="0"/>
    <n v="1"/>
    <x v="15"/>
    <b v="0"/>
    <n v="5"/>
    <x v="6"/>
    <n v="1"/>
    <x v="0"/>
    <n v="0.16"/>
    <s v="Winter"/>
    <s v="Weekday"/>
    <n v="0.1212"/>
    <n v="4.9691999999999998"/>
    <n v="0.26"/>
    <n v="0.44779999999999998"/>
    <x v="17"/>
    <x v="124"/>
    <n v="65"/>
  </r>
  <r>
    <n v="472"/>
    <d v="2011-01-21T00:00:00"/>
    <s v="Friday"/>
    <x v="0"/>
    <n v="0"/>
    <n v="1"/>
    <x v="16"/>
    <b v="0"/>
    <n v="5"/>
    <x v="6"/>
    <n v="1"/>
    <x v="0"/>
    <n v="0.16"/>
    <s v="Winter"/>
    <s v="Weekday"/>
    <n v="0.13639999999999999"/>
    <n v="5.5923999999999996"/>
    <n v="0.26"/>
    <n v="0.35820000000000002"/>
    <x v="3"/>
    <x v="106"/>
    <n v="97"/>
  </r>
  <r>
    <n v="473"/>
    <d v="2011-01-21T00:00:00"/>
    <s v="Friday"/>
    <x v="0"/>
    <n v="0"/>
    <n v="1"/>
    <x v="17"/>
    <b v="0"/>
    <n v="5"/>
    <x v="6"/>
    <n v="1"/>
    <x v="0"/>
    <n v="0.14000000000000001"/>
    <s v="Winter"/>
    <s v="Weekday"/>
    <n v="0.1212"/>
    <n v="4.9691999999999998"/>
    <n v="0.28000000000000003"/>
    <n v="0.35820000000000002"/>
    <x v="22"/>
    <x v="137"/>
    <n v="161"/>
  </r>
  <r>
    <n v="474"/>
    <d v="2011-01-21T00:00:00"/>
    <s v="Friday"/>
    <x v="0"/>
    <n v="0"/>
    <n v="1"/>
    <x v="18"/>
    <b v="0"/>
    <n v="5"/>
    <x v="6"/>
    <n v="1"/>
    <x v="0"/>
    <n v="0.12"/>
    <s v="Winter"/>
    <s v="Weekday"/>
    <n v="0.1212"/>
    <n v="4.9691999999999998"/>
    <n v="0.3"/>
    <n v="0.25369999999999998"/>
    <x v="5"/>
    <x v="138"/>
    <n v="120"/>
  </r>
  <r>
    <n v="475"/>
    <d v="2011-01-21T00:00:00"/>
    <s v="Friday"/>
    <x v="0"/>
    <n v="0"/>
    <n v="1"/>
    <x v="19"/>
    <b v="0"/>
    <n v="5"/>
    <x v="6"/>
    <n v="1"/>
    <x v="0"/>
    <n v="0.12"/>
    <s v="Winter"/>
    <s v="Weekday"/>
    <n v="0.1061"/>
    <n v="4.3501000000000003"/>
    <n v="0.3"/>
    <n v="0.32840000000000003"/>
    <x v="0"/>
    <x v="139"/>
    <n v="96"/>
  </r>
  <r>
    <n v="476"/>
    <d v="2011-01-21T00:00:00"/>
    <s v="Friday"/>
    <x v="0"/>
    <n v="0"/>
    <n v="1"/>
    <x v="20"/>
    <b v="0"/>
    <n v="5"/>
    <x v="6"/>
    <n v="1"/>
    <x v="0"/>
    <n v="0.1"/>
    <s v="Winter"/>
    <s v="Weekday"/>
    <n v="7.5800000000000006E-2"/>
    <n v="3.1078000000000001"/>
    <n v="0.33"/>
    <n v="0.41789999999999999"/>
    <x v="5"/>
    <x v="15"/>
    <n v="53"/>
  </r>
  <r>
    <n v="477"/>
    <d v="2011-01-21T00:00:00"/>
    <s v="Friday"/>
    <x v="0"/>
    <n v="0"/>
    <n v="1"/>
    <x v="21"/>
    <b v="0"/>
    <n v="5"/>
    <x v="6"/>
    <n v="1"/>
    <x v="0"/>
    <n v="0.08"/>
    <s v="Winter"/>
    <s v="Weekday"/>
    <n v="7.5800000000000006E-2"/>
    <n v="3.1078000000000001"/>
    <n v="0.38"/>
    <n v="0.28360000000000002"/>
    <x v="3"/>
    <x v="40"/>
    <n v="41"/>
  </r>
  <r>
    <n v="478"/>
    <d v="2011-01-21T00:00:00"/>
    <s v="Friday"/>
    <x v="0"/>
    <n v="0"/>
    <n v="1"/>
    <x v="22"/>
    <b v="0"/>
    <n v="5"/>
    <x v="6"/>
    <n v="1"/>
    <x v="0"/>
    <n v="0.06"/>
    <s v="Winter"/>
    <s v="Weekday"/>
    <n v="3.0300000000000001E-2"/>
    <n v="1.2423"/>
    <n v="0.41"/>
    <n v="0.3881"/>
    <x v="5"/>
    <x v="39"/>
    <n v="34"/>
  </r>
  <r>
    <n v="479"/>
    <d v="2011-01-21T00:00:00"/>
    <s v="Friday"/>
    <x v="0"/>
    <n v="0"/>
    <n v="1"/>
    <x v="23"/>
    <b v="0"/>
    <n v="5"/>
    <x v="6"/>
    <n v="1"/>
    <x v="0"/>
    <n v="0.06"/>
    <s v="Winter"/>
    <s v="Weekday"/>
    <n v="4.5499999999999999E-2"/>
    <n v="1.8654999999999999"/>
    <n v="0.38"/>
    <n v="0.32840000000000003"/>
    <x v="3"/>
    <x v="2"/>
    <n v="27"/>
  </r>
  <r>
    <n v="480"/>
    <d v="2011-01-22T00:00:00"/>
    <s v="Saturday"/>
    <x v="0"/>
    <n v="0"/>
    <n v="1"/>
    <x v="0"/>
    <b v="0"/>
    <n v="6"/>
    <x v="0"/>
    <n v="1"/>
    <x v="0"/>
    <n v="0.04"/>
    <s v="Winter"/>
    <s v="Weekend"/>
    <n v="3.0300000000000001E-2"/>
    <n v="1.2423"/>
    <n v="0.45"/>
    <n v="0.25369999999999998"/>
    <x v="3"/>
    <x v="0"/>
    <n v="13"/>
  </r>
  <r>
    <n v="481"/>
    <d v="2011-01-22T00:00:00"/>
    <s v="Saturday"/>
    <x v="0"/>
    <n v="0"/>
    <n v="1"/>
    <x v="1"/>
    <b v="0"/>
    <n v="6"/>
    <x v="0"/>
    <n v="2"/>
    <x v="1"/>
    <n v="0.04"/>
    <s v="Winter"/>
    <s v="Weekend"/>
    <n v="0.19989999999999999"/>
    <n v="8.1959"/>
    <n v="0.41"/>
    <n v="0.3881"/>
    <x v="0"/>
    <x v="33"/>
    <n v="12"/>
  </r>
  <r>
    <n v="482"/>
    <d v="2011-01-22T00:00:00"/>
    <s v="Saturday"/>
    <x v="0"/>
    <n v="0"/>
    <n v="1"/>
    <x v="2"/>
    <b v="0"/>
    <n v="6"/>
    <x v="0"/>
    <n v="2"/>
    <x v="1"/>
    <n v="0.04"/>
    <s v="Winter"/>
    <s v="Weekend"/>
    <n v="3.0300000000000001E-2"/>
    <n v="1.2423"/>
    <n v="0.41"/>
    <n v="0.25369999999999998"/>
    <x v="3"/>
    <x v="48"/>
    <n v="11"/>
  </r>
  <r>
    <n v="483"/>
    <d v="2011-01-22T00:00:00"/>
    <s v="Saturday"/>
    <x v="0"/>
    <n v="0"/>
    <n v="1"/>
    <x v="3"/>
    <b v="0"/>
    <n v="6"/>
    <x v="0"/>
    <n v="2"/>
    <x v="1"/>
    <n v="0.04"/>
    <s v="Winter"/>
    <s v="Weekend"/>
    <n v="3.0300000000000001E-2"/>
    <n v="1.2423"/>
    <n v="0.41"/>
    <n v="0.28360000000000002"/>
    <x v="5"/>
    <x v="8"/>
    <n v="7"/>
  </r>
  <r>
    <n v="484"/>
    <d v="2011-01-22T00:00:00"/>
    <s v="Saturday"/>
    <x v="0"/>
    <n v="0"/>
    <n v="1"/>
    <x v="4"/>
    <b v="0"/>
    <n v="6"/>
    <x v="0"/>
    <n v="2"/>
    <x v="1"/>
    <n v="0.02"/>
    <s v="Winter"/>
    <s v="Weekend"/>
    <n v="1.52E-2"/>
    <n v="0.62319999999999998"/>
    <n v="0.48"/>
    <n v="0.29849999999999999"/>
    <x v="3"/>
    <x v="35"/>
    <n v="3"/>
  </r>
  <r>
    <n v="485"/>
    <d v="2011-01-22T00:00:00"/>
    <s v="Saturday"/>
    <x v="0"/>
    <n v="0"/>
    <n v="1"/>
    <x v="6"/>
    <b v="0"/>
    <n v="6"/>
    <x v="0"/>
    <n v="2"/>
    <x v="1"/>
    <n v="0.02"/>
    <s v="Winter"/>
    <s v="Weekend"/>
    <n v="3.0300000000000001E-2"/>
    <n v="1.2423"/>
    <n v="0.44"/>
    <n v="0.22389999999999999"/>
    <x v="3"/>
    <x v="6"/>
    <n v="2"/>
  </r>
  <r>
    <n v="486"/>
    <d v="2011-01-22T00:00:00"/>
    <s v="Saturday"/>
    <x v="0"/>
    <n v="0"/>
    <n v="1"/>
    <x v="7"/>
    <b v="0"/>
    <n v="6"/>
    <x v="0"/>
    <n v="1"/>
    <x v="0"/>
    <n v="0.02"/>
    <s v="Winter"/>
    <s v="Weekend"/>
    <n v="1.52E-2"/>
    <n v="0.62319999999999998"/>
    <n v="0.44"/>
    <n v="0.28360000000000002"/>
    <x v="3"/>
    <x v="21"/>
    <n v="8"/>
  </r>
  <r>
    <n v="487"/>
    <d v="2011-01-22T00:00:00"/>
    <s v="Saturday"/>
    <x v="0"/>
    <n v="0"/>
    <n v="1"/>
    <x v="8"/>
    <b v="0"/>
    <n v="6"/>
    <x v="0"/>
    <n v="1"/>
    <x v="0"/>
    <n v="0.02"/>
    <s v="Winter"/>
    <s v="Weekend"/>
    <n v="0.19989999999999999"/>
    <n v="8.1959"/>
    <n v="0.44"/>
    <n v="0.32840000000000003"/>
    <x v="5"/>
    <x v="16"/>
    <n v="27"/>
  </r>
  <r>
    <n v="488"/>
    <d v="2011-01-22T00:00:00"/>
    <s v="Saturday"/>
    <x v="0"/>
    <n v="0"/>
    <n v="1"/>
    <x v="9"/>
    <b v="0"/>
    <n v="6"/>
    <x v="0"/>
    <n v="1"/>
    <x v="0"/>
    <n v="0.04"/>
    <s v="Winter"/>
    <s v="Weekend"/>
    <n v="3.0300000000000001E-2"/>
    <n v="1.2423"/>
    <n v="0.41"/>
    <n v="0.25369999999999998"/>
    <x v="0"/>
    <x v="53"/>
    <n v="40"/>
  </r>
  <r>
    <n v="489"/>
    <d v="2011-01-22T00:00:00"/>
    <s v="Saturday"/>
    <x v="0"/>
    <n v="0"/>
    <n v="1"/>
    <x v="10"/>
    <b v="0"/>
    <n v="6"/>
    <x v="0"/>
    <n v="2"/>
    <x v="1"/>
    <n v="0.04"/>
    <s v="Winter"/>
    <s v="Weekend"/>
    <n v="6.0600000000000001E-2"/>
    <n v="2.4845999999999999"/>
    <n v="0.41"/>
    <n v="0.16420000000000001"/>
    <x v="0"/>
    <x v="54"/>
    <n v="53"/>
  </r>
  <r>
    <n v="490"/>
    <d v="2011-01-22T00:00:00"/>
    <s v="Saturday"/>
    <x v="0"/>
    <n v="0"/>
    <n v="1"/>
    <x v="11"/>
    <b v="0"/>
    <n v="6"/>
    <x v="0"/>
    <n v="2"/>
    <x v="1"/>
    <n v="0.06"/>
    <s v="Winter"/>
    <s v="Weekend"/>
    <n v="7.5800000000000006E-2"/>
    <n v="3.1078000000000001"/>
    <n v="0.38"/>
    <n v="0.1343"/>
    <x v="17"/>
    <x v="79"/>
    <n v="63"/>
  </r>
  <r>
    <n v="491"/>
    <d v="2011-01-22T00:00:00"/>
    <s v="Saturday"/>
    <x v="0"/>
    <n v="0"/>
    <n v="1"/>
    <x v="12"/>
    <b v="0"/>
    <n v="6"/>
    <x v="0"/>
    <n v="2"/>
    <x v="1"/>
    <n v="0.06"/>
    <s v="Winter"/>
    <s v="Weekend"/>
    <n v="0.1061"/>
    <n v="4.3501000000000003"/>
    <n v="0.38"/>
    <n v="0.1045"/>
    <x v="22"/>
    <x v="91"/>
    <n v="70"/>
  </r>
  <r>
    <n v="492"/>
    <d v="2011-01-22T00:00:00"/>
    <s v="Saturday"/>
    <x v="0"/>
    <n v="0"/>
    <n v="1"/>
    <x v="13"/>
    <b v="0"/>
    <n v="6"/>
    <x v="0"/>
    <n v="1"/>
    <x v="0"/>
    <n v="0.08"/>
    <s v="Winter"/>
    <s v="Weekend"/>
    <n v="0.16669999999999999"/>
    <n v="6.8346999999999998"/>
    <n v="0.35"/>
    <n v="0"/>
    <x v="6"/>
    <x v="109"/>
    <n v="84"/>
  </r>
  <r>
    <n v="493"/>
    <d v="2011-01-22T00:00:00"/>
    <s v="Saturday"/>
    <x v="0"/>
    <n v="0"/>
    <n v="1"/>
    <x v="14"/>
    <b v="0"/>
    <n v="6"/>
    <x v="0"/>
    <n v="1"/>
    <x v="0"/>
    <n v="0.1"/>
    <s v="Winter"/>
    <s v="Weekend"/>
    <n v="0.13639999999999999"/>
    <n v="5.5923999999999996"/>
    <n v="0.33"/>
    <n v="0.1045"/>
    <x v="16"/>
    <x v="27"/>
    <n v="75"/>
  </r>
  <r>
    <n v="494"/>
    <d v="2011-01-22T00:00:00"/>
    <s v="Saturday"/>
    <x v="0"/>
    <n v="0"/>
    <n v="1"/>
    <x v="15"/>
    <b v="0"/>
    <n v="6"/>
    <x v="0"/>
    <n v="1"/>
    <x v="0"/>
    <n v="0.12"/>
    <s v="Winter"/>
    <s v="Weekend"/>
    <n v="0.1515"/>
    <n v="6.2115"/>
    <n v="0.28000000000000003"/>
    <n v="0"/>
    <x v="22"/>
    <x v="139"/>
    <n v="103"/>
  </r>
  <r>
    <n v="495"/>
    <d v="2011-01-22T00:00:00"/>
    <s v="Saturday"/>
    <x v="0"/>
    <n v="0"/>
    <n v="1"/>
    <x v="16"/>
    <b v="0"/>
    <n v="6"/>
    <x v="0"/>
    <n v="1"/>
    <x v="0"/>
    <n v="0.12"/>
    <s v="Winter"/>
    <s v="Weekend"/>
    <n v="0.13639999999999999"/>
    <n v="5.5923999999999996"/>
    <n v="0.28000000000000003"/>
    <n v="0.19400000000000001"/>
    <x v="16"/>
    <x v="109"/>
    <n v="83"/>
  </r>
  <r>
    <n v="496"/>
    <d v="2011-01-22T00:00:00"/>
    <s v="Saturday"/>
    <x v="0"/>
    <n v="0"/>
    <n v="1"/>
    <x v="17"/>
    <b v="0"/>
    <n v="6"/>
    <x v="0"/>
    <n v="1"/>
    <x v="0"/>
    <n v="0.12"/>
    <s v="Winter"/>
    <s v="Weekend"/>
    <n v="0.19700000000000001"/>
    <n v="8.077"/>
    <n v="0.28000000000000003"/>
    <n v="0"/>
    <x v="1"/>
    <x v="79"/>
    <n v="67"/>
  </r>
  <r>
    <n v="497"/>
    <d v="2011-01-22T00:00:00"/>
    <s v="Saturday"/>
    <x v="0"/>
    <n v="0"/>
    <n v="1"/>
    <x v="18"/>
    <b v="0"/>
    <n v="6"/>
    <x v="0"/>
    <n v="1"/>
    <x v="0"/>
    <n v="0.08"/>
    <s v="Winter"/>
    <s v="Weekend"/>
    <n v="9.0899999999999995E-2"/>
    <n v="3.7268999999999997"/>
    <n v="0.35"/>
    <n v="0.19400000000000001"/>
    <x v="3"/>
    <x v="25"/>
    <n v="54"/>
  </r>
  <r>
    <n v="498"/>
    <d v="2011-01-22T00:00:00"/>
    <s v="Saturday"/>
    <x v="0"/>
    <n v="0"/>
    <n v="1"/>
    <x v="19"/>
    <b v="0"/>
    <n v="6"/>
    <x v="0"/>
    <n v="1"/>
    <x v="0"/>
    <n v="0.08"/>
    <s v="Winter"/>
    <s v="Weekend"/>
    <n v="0.1061"/>
    <n v="4.3501000000000003"/>
    <n v="0.35"/>
    <n v="0.1343"/>
    <x v="15"/>
    <x v="42"/>
    <n v="59"/>
  </r>
  <r>
    <n v="499"/>
    <d v="2011-01-22T00:00:00"/>
    <s v="Saturday"/>
    <x v="0"/>
    <n v="0"/>
    <n v="1"/>
    <x v="20"/>
    <b v="0"/>
    <n v="6"/>
    <x v="0"/>
    <n v="1"/>
    <x v="0"/>
    <n v="0.06"/>
    <s v="Winter"/>
    <s v="Weekend"/>
    <n v="7.5800000000000006E-2"/>
    <n v="3.1078000000000001"/>
    <n v="0.45"/>
    <n v="0.16420000000000001"/>
    <x v="5"/>
    <x v="100"/>
    <n v="45"/>
  </r>
  <r>
    <n v="500"/>
    <d v="2011-01-22T00:00:00"/>
    <s v="Saturday"/>
    <x v="0"/>
    <n v="0"/>
    <n v="1"/>
    <x v="21"/>
    <b v="0"/>
    <n v="6"/>
    <x v="0"/>
    <n v="1"/>
    <x v="0"/>
    <n v="0.06"/>
    <s v="Winter"/>
    <s v="Weekend"/>
    <n v="0.1061"/>
    <n v="4.3501000000000003"/>
    <n v="0.41"/>
    <n v="8.9599999999999999E-2"/>
    <x v="3"/>
    <x v="87"/>
    <n v="39"/>
  </r>
  <r>
    <n v="501"/>
    <d v="2011-01-22T00:00:00"/>
    <s v="Saturday"/>
    <x v="0"/>
    <n v="0"/>
    <n v="1"/>
    <x v="22"/>
    <b v="0"/>
    <n v="6"/>
    <x v="0"/>
    <n v="1"/>
    <x v="0"/>
    <n v="0.06"/>
    <s v="Winter"/>
    <s v="Weekend"/>
    <n v="0.1515"/>
    <n v="6.2115"/>
    <n v="0.49"/>
    <n v="0"/>
    <x v="18"/>
    <x v="140"/>
    <n v="30"/>
  </r>
  <r>
    <n v="502"/>
    <d v="2011-01-22T00:00:00"/>
    <s v="Saturday"/>
    <x v="0"/>
    <n v="0"/>
    <n v="1"/>
    <x v="23"/>
    <b v="0"/>
    <n v="6"/>
    <x v="0"/>
    <n v="1"/>
    <x v="0"/>
    <n v="0.04"/>
    <s v="Winter"/>
    <s v="Weekend"/>
    <n v="7.5800000000000006E-2"/>
    <n v="3.1078000000000001"/>
    <n v="0.56999999999999995"/>
    <n v="0.1045"/>
    <x v="4"/>
    <x v="17"/>
    <n v="33"/>
  </r>
  <r>
    <n v="503"/>
    <d v="2011-01-23T00:00:00"/>
    <s v="Sunday"/>
    <x v="0"/>
    <n v="0"/>
    <n v="1"/>
    <x v="0"/>
    <b v="0"/>
    <n v="0"/>
    <x v="1"/>
    <n v="1"/>
    <x v="0"/>
    <n v="0.04"/>
    <s v="Winter"/>
    <s v="Weekend"/>
    <n v="7.5800000000000006E-2"/>
    <n v="3.1078000000000001"/>
    <n v="0.56999999999999995"/>
    <n v="0.1045"/>
    <x v="4"/>
    <x v="32"/>
    <n v="22"/>
  </r>
  <r>
    <n v="504"/>
    <d v="2011-01-23T00:00:00"/>
    <s v="Sunday"/>
    <x v="0"/>
    <n v="0"/>
    <n v="1"/>
    <x v="1"/>
    <b v="0"/>
    <n v="0"/>
    <x v="1"/>
    <n v="1"/>
    <x v="0"/>
    <n v="0.04"/>
    <s v="Winter"/>
    <s v="Weekend"/>
    <n v="7.5800000000000006E-2"/>
    <n v="3.1078000000000001"/>
    <n v="0.56999999999999995"/>
    <n v="0.1045"/>
    <x v="5"/>
    <x v="98"/>
    <n v="13"/>
  </r>
  <r>
    <n v="505"/>
    <d v="2011-01-23T00:00:00"/>
    <s v="Sunday"/>
    <x v="0"/>
    <n v="0"/>
    <n v="1"/>
    <x v="2"/>
    <b v="0"/>
    <n v="0"/>
    <x v="1"/>
    <n v="1"/>
    <x v="0"/>
    <n v="0.02"/>
    <s v="Winter"/>
    <s v="Weekend"/>
    <n v="6.0600000000000001E-2"/>
    <n v="2.4845999999999999"/>
    <n v="0.62"/>
    <n v="0.1343"/>
    <x v="0"/>
    <x v="89"/>
    <n v="18"/>
  </r>
  <r>
    <n v="506"/>
    <d v="2011-01-23T00:00:00"/>
    <s v="Sunday"/>
    <x v="0"/>
    <n v="0"/>
    <n v="1"/>
    <x v="3"/>
    <b v="0"/>
    <n v="0"/>
    <x v="1"/>
    <n v="1"/>
    <x v="0"/>
    <n v="0.02"/>
    <s v="Winter"/>
    <s v="Weekend"/>
    <n v="6.0600000000000001E-2"/>
    <n v="2.4845999999999999"/>
    <n v="0.62"/>
    <n v="0.1343"/>
    <x v="5"/>
    <x v="22"/>
    <n v="5"/>
  </r>
  <r>
    <n v="507"/>
    <d v="2011-01-23T00:00:00"/>
    <s v="Sunday"/>
    <x v="0"/>
    <n v="0"/>
    <n v="1"/>
    <x v="5"/>
    <b v="0"/>
    <n v="0"/>
    <x v="1"/>
    <n v="2"/>
    <x v="1"/>
    <n v="0.04"/>
    <s v="Winter"/>
    <s v="Weekend"/>
    <n v="7.5800000000000006E-2"/>
    <n v="3.1078000000000001"/>
    <n v="0.56999999999999995"/>
    <n v="0.1045"/>
    <x v="3"/>
    <x v="35"/>
    <n v="3"/>
  </r>
  <r>
    <n v="508"/>
    <d v="2011-01-23T00:00:00"/>
    <s v="Sunday"/>
    <x v="0"/>
    <n v="0"/>
    <n v="1"/>
    <x v="6"/>
    <b v="0"/>
    <n v="0"/>
    <x v="1"/>
    <n v="2"/>
    <x v="1"/>
    <n v="0.04"/>
    <s v="Winter"/>
    <s v="Weekend"/>
    <n v="7.5800000000000006E-2"/>
    <n v="3.1078000000000001"/>
    <n v="0.56999999999999995"/>
    <n v="0.1045"/>
    <x v="3"/>
    <x v="4"/>
    <n v="1"/>
  </r>
  <r>
    <n v="509"/>
    <d v="2011-01-23T00:00:00"/>
    <s v="Sunday"/>
    <x v="0"/>
    <n v="0"/>
    <n v="1"/>
    <x v="7"/>
    <b v="0"/>
    <n v="0"/>
    <x v="1"/>
    <n v="1"/>
    <x v="0"/>
    <n v="0.08"/>
    <s v="Winter"/>
    <s v="Weekend"/>
    <n v="0.1061"/>
    <n v="4.3501000000000003"/>
    <n v="0.57999999999999996"/>
    <n v="0.16420000000000001"/>
    <x v="5"/>
    <x v="4"/>
    <n v="2"/>
  </r>
  <r>
    <n v="510"/>
    <d v="2011-01-23T00:00:00"/>
    <s v="Sunday"/>
    <x v="0"/>
    <n v="0"/>
    <n v="1"/>
    <x v="8"/>
    <b v="0"/>
    <n v="0"/>
    <x v="1"/>
    <n v="1"/>
    <x v="0"/>
    <n v="0.06"/>
    <s v="Winter"/>
    <s v="Weekend"/>
    <n v="7.5800000000000006E-2"/>
    <n v="3.1078000000000001"/>
    <n v="0.62"/>
    <n v="0.16420000000000001"/>
    <x v="4"/>
    <x v="19"/>
    <n v="19"/>
  </r>
  <r>
    <n v="511"/>
    <d v="2011-01-23T00:00:00"/>
    <s v="Sunday"/>
    <x v="0"/>
    <n v="0"/>
    <n v="1"/>
    <x v="9"/>
    <b v="0"/>
    <n v="0"/>
    <x v="1"/>
    <n v="1"/>
    <x v="0"/>
    <n v="0.1"/>
    <s v="Winter"/>
    <s v="Weekend"/>
    <n v="7.5800000000000006E-2"/>
    <n v="3.1078000000000001"/>
    <n v="0.54"/>
    <n v="0.35820000000000002"/>
    <x v="0"/>
    <x v="18"/>
    <n v="28"/>
  </r>
  <r>
    <n v="512"/>
    <d v="2011-01-23T00:00:00"/>
    <s v="Sunday"/>
    <x v="0"/>
    <n v="0"/>
    <n v="1"/>
    <x v="10"/>
    <b v="0"/>
    <n v="0"/>
    <x v="1"/>
    <n v="1"/>
    <x v="0"/>
    <n v="0.14000000000000001"/>
    <s v="Winter"/>
    <s v="Weekend"/>
    <n v="0.1061"/>
    <n v="4.3501000000000003"/>
    <n v="0.46"/>
    <n v="0.3881"/>
    <x v="18"/>
    <x v="82"/>
    <n v="58"/>
  </r>
  <r>
    <n v="513"/>
    <d v="2011-01-23T00:00:00"/>
    <s v="Sunday"/>
    <x v="0"/>
    <n v="0"/>
    <n v="1"/>
    <x v="11"/>
    <b v="0"/>
    <n v="0"/>
    <x v="1"/>
    <n v="1"/>
    <x v="0"/>
    <n v="0.14000000000000001"/>
    <s v="Winter"/>
    <s v="Weekend"/>
    <n v="0.13639999999999999"/>
    <n v="5.5923999999999996"/>
    <n v="0.43"/>
    <n v="0.22389999999999999"/>
    <x v="30"/>
    <x v="99"/>
    <n v="99"/>
  </r>
  <r>
    <n v="514"/>
    <d v="2011-01-23T00:00:00"/>
    <s v="Sunday"/>
    <x v="0"/>
    <n v="0"/>
    <n v="1"/>
    <x v="12"/>
    <b v="0"/>
    <n v="0"/>
    <x v="1"/>
    <n v="1"/>
    <x v="0"/>
    <n v="0.16"/>
    <s v="Winter"/>
    <s v="Weekend"/>
    <n v="0.1212"/>
    <n v="4.9691999999999998"/>
    <n v="0.37"/>
    <n v="0.4627"/>
    <x v="31"/>
    <x v="50"/>
    <n v="116"/>
  </r>
  <r>
    <n v="515"/>
    <d v="2011-01-23T00:00:00"/>
    <s v="Sunday"/>
    <x v="0"/>
    <n v="0"/>
    <n v="1"/>
    <x v="13"/>
    <b v="0"/>
    <n v="0"/>
    <x v="1"/>
    <n v="1"/>
    <x v="0"/>
    <n v="0.14000000000000001"/>
    <s v="Winter"/>
    <s v="Weekend"/>
    <n v="0.1061"/>
    <n v="4.3501000000000003"/>
    <n v="0.33"/>
    <n v="0.3881"/>
    <x v="6"/>
    <x v="102"/>
    <n v="87"/>
  </r>
  <r>
    <n v="516"/>
    <d v="2011-01-23T00:00:00"/>
    <s v="Sunday"/>
    <x v="0"/>
    <n v="0"/>
    <n v="1"/>
    <x v="14"/>
    <b v="0"/>
    <n v="0"/>
    <x v="1"/>
    <n v="1"/>
    <x v="0"/>
    <n v="0.16"/>
    <s v="Winter"/>
    <s v="Weekend"/>
    <n v="0.13639999999999999"/>
    <n v="5.5923999999999996"/>
    <n v="0.28000000000000003"/>
    <n v="0.35820000000000002"/>
    <x v="26"/>
    <x v="139"/>
    <n v="110"/>
  </r>
  <r>
    <n v="517"/>
    <d v="2011-01-23T00:00:00"/>
    <s v="Sunday"/>
    <x v="0"/>
    <n v="0"/>
    <n v="1"/>
    <x v="15"/>
    <b v="0"/>
    <n v="0"/>
    <x v="1"/>
    <n v="1"/>
    <x v="0"/>
    <n v="0.16"/>
    <s v="Winter"/>
    <s v="Weekend"/>
    <n v="0.13639999999999999"/>
    <n v="5.5923999999999996"/>
    <n v="0.28000000000000003"/>
    <n v="0.35820000000000002"/>
    <x v="23"/>
    <x v="27"/>
    <n v="77"/>
  </r>
  <r>
    <n v="518"/>
    <d v="2011-01-23T00:00:00"/>
    <s v="Sunday"/>
    <x v="0"/>
    <n v="0"/>
    <n v="1"/>
    <x v="16"/>
    <b v="0"/>
    <n v="0"/>
    <x v="1"/>
    <n v="1"/>
    <x v="0"/>
    <n v="0.16"/>
    <s v="Winter"/>
    <s v="Weekend"/>
    <n v="0.13639999999999999"/>
    <n v="5.5923999999999996"/>
    <n v="0.26"/>
    <n v="0.32840000000000003"/>
    <x v="14"/>
    <x v="90"/>
    <n v="65"/>
  </r>
  <r>
    <n v="519"/>
    <d v="2011-01-23T00:00:00"/>
    <s v="Sunday"/>
    <x v="0"/>
    <n v="0"/>
    <n v="1"/>
    <x v="17"/>
    <b v="0"/>
    <n v="0"/>
    <x v="1"/>
    <n v="1"/>
    <x v="0"/>
    <n v="0.14000000000000001"/>
    <s v="Winter"/>
    <s v="Weekend"/>
    <n v="0.1061"/>
    <n v="4.3501000000000003"/>
    <n v="0.26"/>
    <n v="0.3881"/>
    <x v="2"/>
    <x v="54"/>
    <n v="55"/>
  </r>
  <r>
    <n v="520"/>
    <d v="2011-01-23T00:00:00"/>
    <s v="Sunday"/>
    <x v="0"/>
    <n v="0"/>
    <n v="1"/>
    <x v="18"/>
    <b v="0"/>
    <n v="0"/>
    <x v="1"/>
    <n v="1"/>
    <x v="0"/>
    <n v="0.12"/>
    <s v="Winter"/>
    <s v="Weekend"/>
    <n v="0.1212"/>
    <n v="4.9691999999999998"/>
    <n v="0.3"/>
    <n v="0.25369999999999998"/>
    <x v="2"/>
    <x v="100"/>
    <n v="49"/>
  </r>
  <r>
    <n v="521"/>
    <d v="2011-01-23T00:00:00"/>
    <s v="Sunday"/>
    <x v="0"/>
    <n v="0"/>
    <n v="1"/>
    <x v="19"/>
    <b v="0"/>
    <n v="0"/>
    <x v="1"/>
    <n v="1"/>
    <x v="0"/>
    <n v="0.12"/>
    <s v="Winter"/>
    <s v="Weekend"/>
    <n v="0.1212"/>
    <n v="4.9691999999999998"/>
    <n v="0.3"/>
    <n v="0.28360000000000002"/>
    <x v="2"/>
    <x v="108"/>
    <n v="50"/>
  </r>
  <r>
    <n v="522"/>
    <d v="2011-01-23T00:00:00"/>
    <s v="Sunday"/>
    <x v="0"/>
    <n v="0"/>
    <n v="1"/>
    <x v="20"/>
    <b v="0"/>
    <n v="0"/>
    <x v="1"/>
    <n v="1"/>
    <x v="0"/>
    <n v="0.1"/>
    <s v="Winter"/>
    <s v="Weekend"/>
    <n v="0.1061"/>
    <n v="4.3501000000000003"/>
    <n v="0.36"/>
    <n v="0.25369999999999998"/>
    <x v="17"/>
    <x v="17"/>
    <n v="35"/>
  </r>
  <r>
    <n v="523"/>
    <d v="2011-01-23T00:00:00"/>
    <s v="Sunday"/>
    <x v="0"/>
    <n v="0"/>
    <n v="1"/>
    <x v="21"/>
    <b v="0"/>
    <n v="0"/>
    <x v="1"/>
    <n v="1"/>
    <x v="0"/>
    <n v="0.1"/>
    <s v="Winter"/>
    <s v="Weekend"/>
    <n v="0.1061"/>
    <n v="4.3501000000000003"/>
    <n v="0.36"/>
    <n v="0.19400000000000001"/>
    <x v="2"/>
    <x v="32"/>
    <n v="25"/>
  </r>
  <r>
    <n v="524"/>
    <d v="2011-01-23T00:00:00"/>
    <s v="Sunday"/>
    <x v="0"/>
    <n v="0"/>
    <n v="1"/>
    <x v="22"/>
    <b v="0"/>
    <n v="0"/>
    <x v="1"/>
    <n v="1"/>
    <x v="0"/>
    <n v="0.08"/>
    <s v="Winter"/>
    <s v="Weekend"/>
    <n v="9.0899999999999995E-2"/>
    <n v="3.7268999999999997"/>
    <n v="0.38"/>
    <n v="0.19400000000000001"/>
    <x v="2"/>
    <x v="140"/>
    <n v="28"/>
  </r>
  <r>
    <n v="525"/>
    <d v="2011-01-23T00:00:00"/>
    <s v="Sunday"/>
    <x v="0"/>
    <n v="0"/>
    <n v="1"/>
    <x v="23"/>
    <b v="0"/>
    <n v="0"/>
    <x v="1"/>
    <n v="1"/>
    <x v="0"/>
    <n v="0.06"/>
    <s v="Winter"/>
    <s v="Weekend"/>
    <n v="6.0600000000000001E-2"/>
    <n v="2.4845999999999999"/>
    <n v="0.41"/>
    <n v="0.22389999999999999"/>
    <x v="17"/>
    <x v="19"/>
    <n v="21"/>
  </r>
  <r>
    <n v="526"/>
    <d v="2011-01-24T00:00:00"/>
    <s v="Monday"/>
    <x v="0"/>
    <n v="0"/>
    <n v="1"/>
    <x v="0"/>
    <b v="0"/>
    <n v="1"/>
    <x v="2"/>
    <n v="1"/>
    <x v="0"/>
    <n v="0.06"/>
    <s v="Winter"/>
    <s v="Weekday"/>
    <n v="6.0600000000000001E-2"/>
    <n v="2.4845999999999999"/>
    <n v="0.41"/>
    <n v="0.19400000000000001"/>
    <x v="3"/>
    <x v="7"/>
    <n v="7"/>
  </r>
  <r>
    <n v="527"/>
    <d v="2011-01-24T00:00:00"/>
    <s v="Monday"/>
    <x v="0"/>
    <n v="0"/>
    <n v="1"/>
    <x v="1"/>
    <b v="0"/>
    <n v="1"/>
    <x v="2"/>
    <n v="1"/>
    <x v="0"/>
    <n v="0.04"/>
    <s v="Winter"/>
    <s v="Weekday"/>
    <n v="4.5499999999999999E-2"/>
    <n v="1.8654999999999999"/>
    <n v="0.45"/>
    <n v="0.19400000000000001"/>
    <x v="3"/>
    <x v="4"/>
    <n v="1"/>
  </r>
  <r>
    <n v="528"/>
    <d v="2011-01-24T00:00:00"/>
    <s v="Monday"/>
    <x v="0"/>
    <n v="0"/>
    <n v="1"/>
    <x v="3"/>
    <b v="0"/>
    <n v="1"/>
    <x v="2"/>
    <n v="1"/>
    <x v="0"/>
    <n v="0.04"/>
    <s v="Winter"/>
    <s v="Weekday"/>
    <n v="3.0300000000000001E-2"/>
    <n v="1.2423"/>
    <n v="0.45"/>
    <n v="0.25369999999999998"/>
    <x v="3"/>
    <x v="4"/>
    <n v="1"/>
  </r>
  <r>
    <n v="529"/>
    <d v="2011-01-24T00:00:00"/>
    <s v="Monday"/>
    <x v="0"/>
    <n v="0"/>
    <n v="1"/>
    <x v="4"/>
    <b v="0"/>
    <n v="1"/>
    <x v="2"/>
    <n v="1"/>
    <x v="0"/>
    <n v="0.02"/>
    <s v="Winter"/>
    <s v="Weekday"/>
    <n v="6.0600000000000001E-2"/>
    <n v="2.4845999999999999"/>
    <n v="0.48"/>
    <n v="0.1343"/>
    <x v="3"/>
    <x v="4"/>
    <n v="1"/>
  </r>
  <r>
    <n v="530"/>
    <d v="2011-01-24T00:00:00"/>
    <s v="Monday"/>
    <x v="0"/>
    <n v="0"/>
    <n v="1"/>
    <x v="5"/>
    <b v="0"/>
    <n v="1"/>
    <x v="2"/>
    <n v="1"/>
    <x v="0"/>
    <n v="0.02"/>
    <s v="Winter"/>
    <s v="Weekday"/>
    <n v="6.0600000000000001E-2"/>
    <n v="2.4845999999999999"/>
    <n v="0.48"/>
    <n v="0.1343"/>
    <x v="3"/>
    <x v="34"/>
    <n v="5"/>
  </r>
  <r>
    <n v="531"/>
    <d v="2011-01-24T00:00:00"/>
    <s v="Monday"/>
    <x v="0"/>
    <n v="0"/>
    <n v="1"/>
    <x v="6"/>
    <b v="0"/>
    <n v="1"/>
    <x v="2"/>
    <n v="1"/>
    <x v="0"/>
    <n v="0.02"/>
    <s v="Winter"/>
    <s v="Weekday"/>
    <n v="7.5800000000000006E-2"/>
    <n v="3.1078000000000001"/>
    <n v="0.48"/>
    <n v="8.9599999999999999E-2"/>
    <x v="3"/>
    <x v="89"/>
    <n v="15"/>
  </r>
  <r>
    <n v="532"/>
    <d v="2011-01-24T00:00:00"/>
    <s v="Monday"/>
    <x v="0"/>
    <n v="0"/>
    <n v="1"/>
    <x v="7"/>
    <b v="0"/>
    <n v="1"/>
    <x v="2"/>
    <n v="1"/>
    <x v="0"/>
    <n v="0.02"/>
    <s v="Winter"/>
    <s v="Weekday"/>
    <n v="0.1212"/>
    <n v="4.9691999999999998"/>
    <n v="0.48"/>
    <n v="0"/>
    <x v="2"/>
    <x v="55"/>
    <n v="84"/>
  </r>
  <r>
    <n v="533"/>
    <d v="2011-01-24T00:00:00"/>
    <s v="Monday"/>
    <x v="0"/>
    <n v="0"/>
    <n v="1"/>
    <x v="8"/>
    <b v="0"/>
    <n v="1"/>
    <x v="2"/>
    <n v="1"/>
    <x v="0"/>
    <n v="0.04"/>
    <s v="Winter"/>
    <s v="Weekday"/>
    <n v="0.13639999999999999"/>
    <n v="5.5923999999999996"/>
    <n v="0.49"/>
    <n v="0"/>
    <x v="15"/>
    <x v="141"/>
    <n v="177"/>
  </r>
  <r>
    <n v="534"/>
    <d v="2011-01-24T00:00:00"/>
    <s v="Monday"/>
    <x v="0"/>
    <n v="0"/>
    <n v="1"/>
    <x v="9"/>
    <b v="0"/>
    <n v="1"/>
    <x v="2"/>
    <n v="1"/>
    <x v="0"/>
    <n v="0.06"/>
    <s v="Winter"/>
    <s v="Weekday"/>
    <n v="0.1515"/>
    <n v="6.2115"/>
    <n v="0.41"/>
    <n v="0"/>
    <x v="17"/>
    <x v="52"/>
    <n v="102"/>
  </r>
  <r>
    <n v="535"/>
    <d v="2011-01-24T00:00:00"/>
    <s v="Monday"/>
    <x v="0"/>
    <n v="0"/>
    <n v="1"/>
    <x v="10"/>
    <b v="0"/>
    <n v="1"/>
    <x v="2"/>
    <n v="1"/>
    <x v="0"/>
    <n v="0.1"/>
    <s v="Winter"/>
    <s v="Weekday"/>
    <n v="0.13639999999999999"/>
    <n v="5.5923999999999996"/>
    <n v="0.42"/>
    <n v="0"/>
    <x v="15"/>
    <x v="60"/>
    <n v="40"/>
  </r>
  <r>
    <n v="536"/>
    <d v="2011-01-24T00:00:00"/>
    <s v="Monday"/>
    <x v="0"/>
    <n v="0"/>
    <n v="1"/>
    <x v="11"/>
    <b v="0"/>
    <n v="1"/>
    <x v="2"/>
    <n v="1"/>
    <x v="0"/>
    <n v="0.1"/>
    <s v="Winter"/>
    <s v="Weekday"/>
    <n v="0.1212"/>
    <n v="4.9691999999999998"/>
    <n v="0.46"/>
    <n v="0.1343"/>
    <x v="0"/>
    <x v="30"/>
    <n v="46"/>
  </r>
  <r>
    <n v="537"/>
    <d v="2011-01-24T00:00:00"/>
    <s v="Monday"/>
    <x v="0"/>
    <n v="0"/>
    <n v="1"/>
    <x v="12"/>
    <b v="0"/>
    <n v="1"/>
    <x v="2"/>
    <n v="2"/>
    <x v="1"/>
    <n v="0.12"/>
    <s v="Winter"/>
    <s v="Weekday"/>
    <n v="0.13639999999999999"/>
    <n v="5.5923999999999996"/>
    <n v="0.42"/>
    <n v="0.19400000000000001"/>
    <x v="16"/>
    <x v="15"/>
    <n v="63"/>
  </r>
  <r>
    <n v="538"/>
    <d v="2011-01-24T00:00:00"/>
    <s v="Monday"/>
    <x v="0"/>
    <n v="0"/>
    <n v="1"/>
    <x v="13"/>
    <b v="0"/>
    <n v="1"/>
    <x v="2"/>
    <n v="2"/>
    <x v="1"/>
    <n v="0.14000000000000001"/>
    <s v="Winter"/>
    <s v="Weekday"/>
    <n v="0.13639999999999999"/>
    <n v="5.5923999999999996"/>
    <n v="0.43"/>
    <n v="0.22389999999999999"/>
    <x v="15"/>
    <x v="25"/>
    <n v="60"/>
  </r>
  <r>
    <n v="539"/>
    <d v="2011-01-24T00:00:00"/>
    <s v="Monday"/>
    <x v="0"/>
    <n v="0"/>
    <n v="1"/>
    <x v="14"/>
    <b v="0"/>
    <n v="1"/>
    <x v="2"/>
    <n v="2"/>
    <x v="1"/>
    <n v="0.14000000000000001"/>
    <s v="Winter"/>
    <s v="Weekday"/>
    <n v="0.13639999999999999"/>
    <n v="5.5923999999999996"/>
    <n v="0.46"/>
    <n v="0.22389999999999999"/>
    <x v="4"/>
    <x v="30"/>
    <n v="45"/>
  </r>
  <r>
    <n v="540"/>
    <d v="2011-01-24T00:00:00"/>
    <s v="Monday"/>
    <x v="0"/>
    <n v="0"/>
    <n v="1"/>
    <x v="15"/>
    <b v="0"/>
    <n v="1"/>
    <x v="2"/>
    <n v="1"/>
    <x v="0"/>
    <n v="0.16"/>
    <s v="Winter"/>
    <s v="Weekday"/>
    <n v="0.16669999999999999"/>
    <n v="6.8346999999999998"/>
    <n v="0.4"/>
    <n v="0.16420000000000001"/>
    <x v="18"/>
    <x v="54"/>
    <n v="57"/>
  </r>
  <r>
    <n v="541"/>
    <d v="2011-01-24T00:00:00"/>
    <s v="Monday"/>
    <x v="0"/>
    <n v="0"/>
    <n v="1"/>
    <x v="16"/>
    <b v="0"/>
    <n v="1"/>
    <x v="2"/>
    <n v="1"/>
    <x v="0"/>
    <n v="0.16"/>
    <s v="Winter"/>
    <s v="Weekday"/>
    <n v="0.1515"/>
    <n v="6.2115"/>
    <n v="0.47"/>
    <n v="0.25369999999999998"/>
    <x v="17"/>
    <x v="43"/>
    <n v="70"/>
  </r>
  <r>
    <n v="542"/>
    <d v="2011-01-24T00:00:00"/>
    <s v="Monday"/>
    <x v="0"/>
    <n v="0"/>
    <n v="1"/>
    <x v="17"/>
    <b v="0"/>
    <n v="1"/>
    <x v="2"/>
    <n v="1"/>
    <x v="0"/>
    <n v="0.14000000000000001"/>
    <s v="Winter"/>
    <s v="Weekday"/>
    <n v="0.1212"/>
    <n v="4.9691999999999998"/>
    <n v="0.5"/>
    <n v="0.25369999999999998"/>
    <x v="15"/>
    <x v="86"/>
    <n v="184"/>
  </r>
  <r>
    <n v="543"/>
    <d v="2011-01-24T00:00:00"/>
    <s v="Monday"/>
    <x v="0"/>
    <n v="0"/>
    <n v="1"/>
    <x v="18"/>
    <b v="0"/>
    <n v="1"/>
    <x v="2"/>
    <n v="1"/>
    <x v="0"/>
    <n v="0.14000000000000001"/>
    <s v="Winter"/>
    <s v="Weekday"/>
    <n v="0.13639999999999999"/>
    <n v="5.5923999999999996"/>
    <n v="0.59"/>
    <n v="0.19400000000000001"/>
    <x v="1"/>
    <x v="142"/>
    <n v="153"/>
  </r>
  <r>
    <n v="544"/>
    <d v="2011-01-24T00:00:00"/>
    <s v="Monday"/>
    <x v="0"/>
    <n v="0"/>
    <n v="1"/>
    <x v="19"/>
    <b v="0"/>
    <n v="1"/>
    <x v="2"/>
    <n v="1"/>
    <x v="0"/>
    <n v="0.14000000000000001"/>
    <s v="Winter"/>
    <s v="Weekday"/>
    <n v="0.1515"/>
    <n v="6.2115"/>
    <n v="0.54"/>
    <n v="0.16420000000000001"/>
    <x v="2"/>
    <x v="143"/>
    <n v="106"/>
  </r>
  <r>
    <n v="545"/>
    <d v="2011-01-24T00:00:00"/>
    <s v="Monday"/>
    <x v="0"/>
    <n v="0"/>
    <n v="1"/>
    <x v="20"/>
    <b v="0"/>
    <n v="1"/>
    <x v="2"/>
    <n v="1"/>
    <x v="0"/>
    <n v="0.14000000000000001"/>
    <s v="Winter"/>
    <s v="Weekday"/>
    <n v="0.13639999999999999"/>
    <n v="5.5923999999999996"/>
    <n v="0.59"/>
    <n v="0.19400000000000001"/>
    <x v="5"/>
    <x v="122"/>
    <n v="81"/>
  </r>
  <r>
    <n v="546"/>
    <d v="2011-01-24T00:00:00"/>
    <s v="Monday"/>
    <x v="0"/>
    <n v="0"/>
    <n v="1"/>
    <x v="21"/>
    <b v="0"/>
    <n v="1"/>
    <x v="2"/>
    <n v="1"/>
    <x v="0"/>
    <n v="0.14000000000000001"/>
    <s v="Winter"/>
    <s v="Weekday"/>
    <n v="0.1515"/>
    <n v="6.2115"/>
    <n v="0.63"/>
    <n v="0.16420000000000001"/>
    <x v="15"/>
    <x v="42"/>
    <n v="59"/>
  </r>
  <r>
    <n v="547"/>
    <d v="2011-01-24T00:00:00"/>
    <s v="Monday"/>
    <x v="0"/>
    <n v="0"/>
    <n v="1"/>
    <x v="22"/>
    <b v="0"/>
    <n v="1"/>
    <x v="2"/>
    <n v="2"/>
    <x v="1"/>
    <n v="0.14000000000000001"/>
    <s v="Winter"/>
    <s v="Weekday"/>
    <n v="0.13639999999999999"/>
    <n v="5.5923999999999996"/>
    <n v="0.63"/>
    <n v="0.22389999999999999"/>
    <x v="0"/>
    <x v="1"/>
    <n v="35"/>
  </r>
  <r>
    <n v="548"/>
    <d v="2011-01-24T00:00:00"/>
    <s v="Monday"/>
    <x v="0"/>
    <n v="0"/>
    <n v="1"/>
    <x v="23"/>
    <b v="0"/>
    <n v="1"/>
    <x v="2"/>
    <n v="2"/>
    <x v="1"/>
    <n v="0.16"/>
    <s v="Winter"/>
    <s v="Weekday"/>
    <n v="0.1515"/>
    <n v="6.2115"/>
    <n v="0.64"/>
    <n v="0.25369999999999998"/>
    <x v="0"/>
    <x v="144"/>
    <n v="24"/>
  </r>
  <r>
    <n v="549"/>
    <d v="2011-01-25T00:00:00"/>
    <s v="Tuesday"/>
    <x v="0"/>
    <n v="0"/>
    <n v="1"/>
    <x v="0"/>
    <b v="0"/>
    <n v="2"/>
    <x v="3"/>
    <n v="2"/>
    <x v="1"/>
    <n v="0.16"/>
    <s v="Winter"/>
    <s v="Weekday"/>
    <n v="0.13639999999999999"/>
    <n v="5.5923999999999996"/>
    <n v="0.69"/>
    <n v="0.28360000000000002"/>
    <x v="0"/>
    <x v="8"/>
    <n v="9"/>
  </r>
  <r>
    <n v="550"/>
    <d v="2011-01-25T00:00:00"/>
    <s v="Tuesday"/>
    <x v="0"/>
    <n v="0"/>
    <n v="1"/>
    <x v="1"/>
    <b v="0"/>
    <n v="2"/>
    <x v="3"/>
    <n v="2"/>
    <x v="1"/>
    <n v="0.16"/>
    <s v="Winter"/>
    <s v="Weekday"/>
    <n v="0.16669999999999999"/>
    <n v="6.8346999999999998"/>
    <n v="0.69"/>
    <n v="0.16420000000000001"/>
    <x v="3"/>
    <x v="34"/>
    <n v="5"/>
  </r>
  <r>
    <n v="551"/>
    <d v="2011-01-25T00:00:00"/>
    <s v="Tuesday"/>
    <x v="0"/>
    <n v="0"/>
    <n v="1"/>
    <x v="2"/>
    <b v="0"/>
    <n v="2"/>
    <x v="3"/>
    <n v="1"/>
    <x v="0"/>
    <n v="0.16"/>
    <s v="Winter"/>
    <s v="Weekday"/>
    <n v="0.1515"/>
    <n v="6.2115"/>
    <n v="0.69"/>
    <n v="0.22389999999999999"/>
    <x v="3"/>
    <x v="6"/>
    <n v="2"/>
  </r>
  <r>
    <n v="552"/>
    <d v="2011-01-25T00:00:00"/>
    <s v="Tuesday"/>
    <x v="0"/>
    <n v="0"/>
    <n v="1"/>
    <x v="4"/>
    <b v="0"/>
    <n v="2"/>
    <x v="3"/>
    <n v="1"/>
    <x v="0"/>
    <n v="0.14000000000000001"/>
    <s v="Winter"/>
    <s v="Weekday"/>
    <n v="0.16669999999999999"/>
    <n v="6.8346999999999998"/>
    <n v="0.74"/>
    <n v="0.1045"/>
    <x v="3"/>
    <x v="4"/>
    <n v="1"/>
  </r>
  <r>
    <n v="553"/>
    <d v="2011-01-25T00:00:00"/>
    <s v="Tuesday"/>
    <x v="0"/>
    <n v="0"/>
    <n v="1"/>
    <x v="5"/>
    <b v="0"/>
    <n v="2"/>
    <x v="3"/>
    <n v="1"/>
    <x v="0"/>
    <n v="0.14000000000000001"/>
    <s v="Winter"/>
    <s v="Weekday"/>
    <n v="0.13639999999999999"/>
    <n v="5.5923999999999996"/>
    <n v="0.74"/>
    <n v="0.22389999999999999"/>
    <x v="3"/>
    <x v="33"/>
    <n v="9"/>
  </r>
  <r>
    <n v="554"/>
    <d v="2011-01-25T00:00:00"/>
    <s v="Tuesday"/>
    <x v="0"/>
    <n v="0"/>
    <n v="1"/>
    <x v="6"/>
    <b v="0"/>
    <n v="2"/>
    <x v="3"/>
    <n v="1"/>
    <x v="0"/>
    <n v="0.16"/>
    <s v="Winter"/>
    <s v="Weekday"/>
    <n v="0.18179999999999999"/>
    <n v="7.4537999999999993"/>
    <n v="0.74"/>
    <n v="0.1045"/>
    <x v="5"/>
    <x v="96"/>
    <n v="36"/>
  </r>
  <r>
    <n v="555"/>
    <d v="2011-01-25T00:00:00"/>
    <s v="Tuesday"/>
    <x v="0"/>
    <n v="0"/>
    <n v="1"/>
    <x v="7"/>
    <b v="0"/>
    <n v="2"/>
    <x v="3"/>
    <n v="1"/>
    <x v="0"/>
    <n v="0.16"/>
    <s v="Winter"/>
    <s v="Weekday"/>
    <n v="0.1515"/>
    <n v="6.2115"/>
    <n v="0.74"/>
    <n v="0.22389999999999999"/>
    <x v="2"/>
    <x v="145"/>
    <n v="108"/>
  </r>
  <r>
    <n v="556"/>
    <d v="2011-01-25T00:00:00"/>
    <s v="Tuesday"/>
    <x v="0"/>
    <n v="0"/>
    <n v="1"/>
    <x v="8"/>
    <b v="0"/>
    <n v="2"/>
    <x v="3"/>
    <n v="2"/>
    <x v="1"/>
    <n v="0.16"/>
    <s v="Winter"/>
    <s v="Weekday"/>
    <n v="0.18179999999999999"/>
    <n v="7.4537999999999993"/>
    <n v="0.74"/>
    <n v="0.1343"/>
    <x v="2"/>
    <x v="146"/>
    <n v="238"/>
  </r>
  <r>
    <n v="557"/>
    <d v="2011-01-25T00:00:00"/>
    <s v="Tuesday"/>
    <x v="0"/>
    <n v="0"/>
    <n v="1"/>
    <x v="9"/>
    <b v="0"/>
    <n v="2"/>
    <x v="3"/>
    <n v="2"/>
    <x v="1"/>
    <n v="0.2"/>
    <s v="Winter"/>
    <s v="Weekday"/>
    <n v="0.2273"/>
    <n v="9.3193000000000001"/>
    <n v="0.64"/>
    <n v="8.9599999999999999E-2"/>
    <x v="22"/>
    <x v="120"/>
    <n v="144"/>
  </r>
  <r>
    <n v="558"/>
    <d v="2011-01-25T00:00:00"/>
    <s v="Tuesday"/>
    <x v="0"/>
    <n v="0"/>
    <n v="1"/>
    <x v="10"/>
    <b v="0"/>
    <n v="2"/>
    <x v="3"/>
    <n v="2"/>
    <x v="1"/>
    <n v="0.22"/>
    <s v="Winter"/>
    <s v="Weekday"/>
    <n v="0.2424"/>
    <n v="9.9383999999999997"/>
    <n v="0.6"/>
    <n v="0.1045"/>
    <x v="15"/>
    <x v="47"/>
    <n v="55"/>
  </r>
  <r>
    <n v="559"/>
    <d v="2011-01-25T00:00:00"/>
    <s v="Tuesday"/>
    <x v="0"/>
    <n v="0"/>
    <n v="1"/>
    <x v="11"/>
    <b v="0"/>
    <n v="2"/>
    <x v="3"/>
    <n v="2"/>
    <x v="1"/>
    <n v="0.24"/>
    <s v="Winter"/>
    <s v="Weekday"/>
    <n v="0.2424"/>
    <n v="9.9383999999999997"/>
    <n v="0.6"/>
    <n v="0.1343"/>
    <x v="15"/>
    <x v="11"/>
    <n v="61"/>
  </r>
  <r>
    <n v="560"/>
    <d v="2011-01-25T00:00:00"/>
    <s v="Tuesday"/>
    <x v="0"/>
    <n v="0"/>
    <n v="1"/>
    <x v="12"/>
    <b v="0"/>
    <n v="2"/>
    <x v="3"/>
    <n v="2"/>
    <x v="1"/>
    <n v="0.26"/>
    <s v="Winter"/>
    <s v="Weekday"/>
    <n v="0.28789999999999999"/>
    <n v="11.803899999999999"/>
    <n v="0.56000000000000005"/>
    <n v="8.9599999999999999E-2"/>
    <x v="27"/>
    <x v="66"/>
    <n v="106"/>
  </r>
  <r>
    <n v="561"/>
    <d v="2011-01-25T00:00:00"/>
    <s v="Tuesday"/>
    <x v="0"/>
    <n v="0"/>
    <n v="1"/>
    <x v="13"/>
    <b v="0"/>
    <n v="2"/>
    <x v="3"/>
    <n v="2"/>
    <x v="1"/>
    <n v="0.26"/>
    <s v="Winter"/>
    <s v="Weekday"/>
    <n v="0.2727"/>
    <n v="11.1807"/>
    <n v="0.56000000000000005"/>
    <n v="0.1343"/>
    <x v="27"/>
    <x v="109"/>
    <n v="93"/>
  </r>
  <r>
    <n v="562"/>
    <d v="2011-01-25T00:00:00"/>
    <s v="Tuesday"/>
    <x v="0"/>
    <n v="0"/>
    <n v="1"/>
    <x v="14"/>
    <b v="0"/>
    <n v="2"/>
    <x v="3"/>
    <n v="2"/>
    <x v="1"/>
    <n v="0.3"/>
    <s v="Winter"/>
    <s v="Weekday"/>
    <n v="0.33329999999999999"/>
    <n v="13.6653"/>
    <n v="0.45"/>
    <n v="0"/>
    <x v="16"/>
    <x v="77"/>
    <n v="68"/>
  </r>
  <r>
    <n v="563"/>
    <d v="2011-01-25T00:00:00"/>
    <s v="Tuesday"/>
    <x v="0"/>
    <n v="0"/>
    <n v="1"/>
    <x v="15"/>
    <b v="0"/>
    <n v="2"/>
    <x v="3"/>
    <n v="2"/>
    <x v="1"/>
    <n v="0.32"/>
    <s v="Winter"/>
    <s v="Weekday"/>
    <n v="0.34849999999999998"/>
    <n v="14.288499999999999"/>
    <n v="0.42"/>
    <n v="0"/>
    <x v="27"/>
    <x v="36"/>
    <n v="84"/>
  </r>
  <r>
    <n v="564"/>
    <d v="2011-01-25T00:00:00"/>
    <s v="Tuesday"/>
    <x v="0"/>
    <n v="0"/>
    <n v="1"/>
    <x v="16"/>
    <b v="0"/>
    <n v="2"/>
    <x v="3"/>
    <n v="2"/>
    <x v="1"/>
    <n v="0.32"/>
    <s v="Winter"/>
    <s v="Weekday"/>
    <n v="0.34849999999999998"/>
    <n v="14.288499999999999"/>
    <n v="0.42"/>
    <n v="0"/>
    <x v="24"/>
    <x v="46"/>
    <n v="116"/>
  </r>
  <r>
    <n v="565"/>
    <d v="2011-01-25T00:00:00"/>
    <s v="Tuesday"/>
    <x v="0"/>
    <n v="0"/>
    <n v="1"/>
    <x v="17"/>
    <b v="0"/>
    <n v="2"/>
    <x v="3"/>
    <n v="1"/>
    <x v="0"/>
    <n v="0.3"/>
    <s v="Winter"/>
    <s v="Weekday"/>
    <n v="0.33329999999999999"/>
    <n v="13.6653"/>
    <n v="0.45"/>
    <n v="0"/>
    <x v="24"/>
    <x v="147"/>
    <n v="222"/>
  </r>
  <r>
    <n v="566"/>
    <d v="2011-01-25T00:00:00"/>
    <s v="Tuesday"/>
    <x v="0"/>
    <n v="0"/>
    <n v="1"/>
    <x v="18"/>
    <b v="0"/>
    <n v="2"/>
    <x v="3"/>
    <n v="2"/>
    <x v="1"/>
    <n v="0.3"/>
    <s v="Winter"/>
    <s v="Weekday"/>
    <n v="0.31819999999999998"/>
    <n v="13.046199999999999"/>
    <n v="0.49"/>
    <n v="8.9599999999999999E-2"/>
    <x v="18"/>
    <x v="148"/>
    <n v="225"/>
  </r>
  <r>
    <n v="567"/>
    <d v="2011-01-25T00:00:00"/>
    <s v="Tuesday"/>
    <x v="0"/>
    <n v="0"/>
    <n v="1"/>
    <x v="19"/>
    <b v="0"/>
    <n v="2"/>
    <x v="3"/>
    <n v="2"/>
    <x v="1"/>
    <n v="0.26"/>
    <s v="Winter"/>
    <s v="Weekday"/>
    <n v="0.2576"/>
    <n v="10.5616"/>
    <n v="0.65"/>
    <n v="0.16420000000000001"/>
    <x v="23"/>
    <x v="149"/>
    <n v="146"/>
  </r>
  <r>
    <n v="568"/>
    <d v="2011-01-25T00:00:00"/>
    <s v="Tuesday"/>
    <x v="0"/>
    <n v="0"/>
    <n v="1"/>
    <x v="20"/>
    <b v="0"/>
    <n v="2"/>
    <x v="3"/>
    <n v="1"/>
    <x v="0"/>
    <n v="0.24"/>
    <s v="Winter"/>
    <s v="Weekday"/>
    <n v="0.2273"/>
    <n v="9.3193000000000001"/>
    <n v="0.65"/>
    <n v="0.19400000000000001"/>
    <x v="19"/>
    <x v="145"/>
    <n v="119"/>
  </r>
  <r>
    <n v="569"/>
    <d v="2011-01-25T00:00:00"/>
    <s v="Tuesday"/>
    <x v="0"/>
    <n v="0"/>
    <n v="1"/>
    <x v="21"/>
    <b v="0"/>
    <n v="2"/>
    <x v="3"/>
    <n v="1"/>
    <x v="0"/>
    <n v="0.24"/>
    <s v="Winter"/>
    <s v="Weekday"/>
    <n v="0.2273"/>
    <n v="9.3193000000000001"/>
    <n v="0.65"/>
    <n v="0.19400000000000001"/>
    <x v="2"/>
    <x v="71"/>
    <n v="45"/>
  </r>
  <r>
    <n v="570"/>
    <d v="2011-01-25T00:00:00"/>
    <s v="Tuesday"/>
    <x v="0"/>
    <n v="0"/>
    <n v="1"/>
    <x v="22"/>
    <b v="0"/>
    <n v="2"/>
    <x v="3"/>
    <n v="1"/>
    <x v="0"/>
    <n v="0.22"/>
    <s v="Winter"/>
    <s v="Weekday"/>
    <n v="0.2273"/>
    <n v="9.3193000000000001"/>
    <n v="0.64"/>
    <n v="0.16420000000000001"/>
    <x v="17"/>
    <x v="47"/>
    <n v="53"/>
  </r>
  <r>
    <n v="571"/>
    <d v="2011-01-25T00:00:00"/>
    <s v="Tuesday"/>
    <x v="0"/>
    <n v="0"/>
    <n v="1"/>
    <x v="23"/>
    <b v="0"/>
    <n v="2"/>
    <x v="3"/>
    <n v="2"/>
    <x v="1"/>
    <n v="0.22"/>
    <s v="Winter"/>
    <s v="Weekday"/>
    <n v="0.2273"/>
    <n v="9.3193000000000001"/>
    <n v="0.64"/>
    <n v="0.16420000000000001"/>
    <x v="0"/>
    <x v="53"/>
    <n v="40"/>
  </r>
  <r>
    <n v="572"/>
    <d v="2011-01-26T00:00:00"/>
    <s v="Wednesday"/>
    <x v="0"/>
    <n v="0"/>
    <n v="1"/>
    <x v="0"/>
    <b v="0"/>
    <n v="3"/>
    <x v="4"/>
    <n v="2"/>
    <x v="1"/>
    <n v="0.22"/>
    <s v="Winter"/>
    <s v="Weekday"/>
    <n v="0.2273"/>
    <n v="9.3193000000000001"/>
    <n v="0.69"/>
    <n v="0.1343"/>
    <x v="0"/>
    <x v="88"/>
    <n v="17"/>
  </r>
  <r>
    <n v="573"/>
    <d v="2011-01-26T00:00:00"/>
    <s v="Wednesday"/>
    <x v="0"/>
    <n v="0"/>
    <n v="1"/>
    <x v="1"/>
    <b v="0"/>
    <n v="3"/>
    <x v="4"/>
    <n v="2"/>
    <x v="1"/>
    <n v="0.24"/>
    <s v="Winter"/>
    <s v="Weekday"/>
    <n v="0.2424"/>
    <n v="9.9383999999999997"/>
    <n v="0.65"/>
    <n v="0.1343"/>
    <x v="3"/>
    <x v="34"/>
    <n v="5"/>
  </r>
  <r>
    <n v="574"/>
    <d v="2011-01-26T00:00:00"/>
    <s v="Wednesday"/>
    <x v="0"/>
    <n v="0"/>
    <n v="1"/>
    <x v="2"/>
    <b v="0"/>
    <n v="3"/>
    <x v="4"/>
    <n v="3"/>
    <x v="2"/>
    <n v="0.22"/>
    <s v="Winter"/>
    <s v="Weekday"/>
    <n v="0.2273"/>
    <n v="9.3193000000000001"/>
    <n v="0.69"/>
    <n v="0.19400000000000001"/>
    <x v="0"/>
    <x v="7"/>
    <n v="10"/>
  </r>
  <r>
    <n v="575"/>
    <d v="2011-01-26T00:00:00"/>
    <s v="Wednesday"/>
    <x v="0"/>
    <n v="0"/>
    <n v="1"/>
    <x v="5"/>
    <b v="0"/>
    <n v="3"/>
    <x v="4"/>
    <n v="3"/>
    <x v="2"/>
    <n v="0.2"/>
    <s v="Winter"/>
    <s v="Weekday"/>
    <n v="0.18179999999999999"/>
    <n v="7.4537999999999993"/>
    <n v="0.86"/>
    <n v="0.28360000000000002"/>
    <x v="3"/>
    <x v="4"/>
    <n v="1"/>
  </r>
  <r>
    <n v="576"/>
    <d v="2011-01-26T00:00:00"/>
    <s v="Wednesday"/>
    <x v="0"/>
    <n v="0"/>
    <n v="1"/>
    <x v="6"/>
    <b v="0"/>
    <n v="3"/>
    <x v="4"/>
    <n v="3"/>
    <x v="2"/>
    <n v="0.2"/>
    <s v="Winter"/>
    <s v="Weekday"/>
    <n v="0.18179999999999999"/>
    <n v="7.4537999999999993"/>
    <n v="0.86"/>
    <n v="0.28360000000000002"/>
    <x v="3"/>
    <x v="21"/>
    <n v="8"/>
  </r>
  <r>
    <n v="577"/>
    <d v="2011-01-26T00:00:00"/>
    <s v="Wednesday"/>
    <x v="0"/>
    <n v="0"/>
    <n v="1"/>
    <x v="7"/>
    <b v="0"/>
    <n v="3"/>
    <x v="4"/>
    <n v="3"/>
    <x v="2"/>
    <n v="0.22"/>
    <s v="Winter"/>
    <s v="Weekday"/>
    <n v="0.21210000000000001"/>
    <n v="8.6961000000000013"/>
    <n v="0.87"/>
    <n v="0.29849999999999999"/>
    <x v="5"/>
    <x v="31"/>
    <n v="30"/>
  </r>
  <r>
    <n v="578"/>
    <d v="2011-01-26T00:00:00"/>
    <s v="Wednesday"/>
    <x v="0"/>
    <n v="0"/>
    <n v="1"/>
    <x v="8"/>
    <b v="0"/>
    <n v="3"/>
    <x v="4"/>
    <n v="3"/>
    <x v="2"/>
    <n v="0.22"/>
    <s v="Winter"/>
    <s v="Weekday"/>
    <n v="0.21210000000000001"/>
    <n v="8.6961000000000013"/>
    <n v="0.87"/>
    <n v="0.29849999999999999"/>
    <x v="0"/>
    <x v="94"/>
    <n v="72"/>
  </r>
  <r>
    <n v="579"/>
    <d v="2011-01-26T00:00:00"/>
    <s v="Wednesday"/>
    <x v="0"/>
    <n v="0"/>
    <n v="1"/>
    <x v="9"/>
    <b v="0"/>
    <n v="3"/>
    <x v="4"/>
    <n v="3"/>
    <x v="2"/>
    <n v="0.22"/>
    <s v="Winter"/>
    <s v="Weekday"/>
    <n v="0.21210000000000001"/>
    <n v="8.6961000000000013"/>
    <n v="0.87"/>
    <n v="0.29849999999999999"/>
    <x v="0"/>
    <x v="11"/>
    <n v="58"/>
  </r>
  <r>
    <n v="580"/>
    <d v="2011-01-26T00:00:00"/>
    <s v="Wednesday"/>
    <x v="0"/>
    <n v="0"/>
    <n v="1"/>
    <x v="10"/>
    <b v="0"/>
    <n v="3"/>
    <x v="4"/>
    <n v="3"/>
    <x v="2"/>
    <n v="0.22"/>
    <s v="Winter"/>
    <s v="Weekday"/>
    <n v="0.21210000000000001"/>
    <n v="8.6961000000000013"/>
    <n v="0.93"/>
    <n v="0.28360000000000002"/>
    <x v="4"/>
    <x v="16"/>
    <n v="28"/>
  </r>
  <r>
    <n v="581"/>
    <d v="2011-01-26T00:00:00"/>
    <s v="Wednesday"/>
    <x v="0"/>
    <n v="0"/>
    <n v="1"/>
    <x v="11"/>
    <b v="0"/>
    <n v="3"/>
    <x v="4"/>
    <n v="3"/>
    <x v="2"/>
    <n v="0.22"/>
    <s v="Winter"/>
    <s v="Weekday"/>
    <n v="0.19700000000000001"/>
    <n v="8.077"/>
    <n v="0.93"/>
    <n v="0.32840000000000003"/>
    <x v="15"/>
    <x v="96"/>
    <n v="41"/>
  </r>
  <r>
    <n v="582"/>
    <d v="2011-01-26T00:00:00"/>
    <s v="Wednesday"/>
    <x v="0"/>
    <n v="0"/>
    <n v="1"/>
    <x v="12"/>
    <b v="0"/>
    <n v="3"/>
    <x v="4"/>
    <n v="3"/>
    <x v="2"/>
    <n v="0.22"/>
    <s v="Winter"/>
    <s v="Weekday"/>
    <n v="0.19700000000000001"/>
    <n v="8.077"/>
    <n v="0.93"/>
    <n v="0.32840000000000003"/>
    <x v="18"/>
    <x v="40"/>
    <n v="48"/>
  </r>
  <r>
    <n v="583"/>
    <d v="2011-01-26T00:00:00"/>
    <s v="Wednesday"/>
    <x v="0"/>
    <n v="0"/>
    <n v="1"/>
    <x v="13"/>
    <b v="0"/>
    <n v="3"/>
    <x v="4"/>
    <n v="3"/>
    <x v="2"/>
    <n v="0.22"/>
    <s v="Winter"/>
    <s v="Weekday"/>
    <n v="0.19700000000000001"/>
    <n v="8.077"/>
    <n v="0.93"/>
    <n v="0.32840000000000003"/>
    <x v="17"/>
    <x v="30"/>
    <n v="47"/>
  </r>
  <r>
    <n v="584"/>
    <d v="2011-01-26T00:00:00"/>
    <s v="Wednesday"/>
    <x v="0"/>
    <n v="0"/>
    <n v="1"/>
    <x v="14"/>
    <b v="0"/>
    <n v="3"/>
    <x v="4"/>
    <n v="3"/>
    <x v="2"/>
    <n v="0.22"/>
    <s v="Winter"/>
    <s v="Weekday"/>
    <n v="0.19700000000000001"/>
    <n v="8.077"/>
    <n v="0.93"/>
    <n v="0.35820000000000002"/>
    <x v="3"/>
    <x v="49"/>
    <n v="36"/>
  </r>
  <r>
    <n v="585"/>
    <d v="2011-01-26T00:00:00"/>
    <s v="Wednesday"/>
    <x v="0"/>
    <n v="0"/>
    <n v="1"/>
    <x v="15"/>
    <b v="0"/>
    <n v="3"/>
    <x v="4"/>
    <n v="3"/>
    <x v="2"/>
    <n v="0.22"/>
    <s v="Winter"/>
    <s v="Weekday"/>
    <n v="0.18179999999999999"/>
    <n v="7.4537999999999993"/>
    <n v="0.93"/>
    <n v="0.4627"/>
    <x v="5"/>
    <x v="76"/>
    <n v="43"/>
  </r>
  <r>
    <n v="586"/>
    <d v="2011-01-26T00:00:00"/>
    <s v="Wednesday"/>
    <x v="0"/>
    <n v="0"/>
    <n v="1"/>
    <x v="16"/>
    <b v="0"/>
    <n v="3"/>
    <x v="4"/>
    <n v="4"/>
    <x v="3"/>
    <n v="0.22"/>
    <s v="Winter"/>
    <s v="Weekday"/>
    <n v="0.19700000000000001"/>
    <n v="8.077"/>
    <n v="0.93"/>
    <n v="0.32840000000000003"/>
    <x v="5"/>
    <x v="96"/>
    <n v="36"/>
  </r>
  <r>
    <n v="587"/>
    <d v="2011-01-26T00:00:00"/>
    <s v="Wednesday"/>
    <x v="0"/>
    <n v="0"/>
    <n v="1"/>
    <x v="17"/>
    <b v="0"/>
    <n v="3"/>
    <x v="4"/>
    <n v="3"/>
    <x v="2"/>
    <n v="0.2"/>
    <s v="Winter"/>
    <s v="Weekday"/>
    <n v="0.18179999999999999"/>
    <n v="7.4537999999999993"/>
    <n v="0.93"/>
    <n v="0.35820000000000002"/>
    <x v="3"/>
    <x v="16"/>
    <n v="26"/>
  </r>
  <r>
    <n v="588"/>
    <d v="2011-01-27T00:00:00"/>
    <s v="Thursday"/>
    <x v="0"/>
    <n v="0"/>
    <n v="1"/>
    <x v="16"/>
    <b v="0"/>
    <n v="4"/>
    <x v="5"/>
    <n v="1"/>
    <x v="0"/>
    <n v="0.22"/>
    <s v="Winter"/>
    <s v="Weekday"/>
    <n v="0.2273"/>
    <n v="9.3193000000000001"/>
    <n v="0.55000000000000004"/>
    <n v="0.19400000000000001"/>
    <x v="5"/>
    <x v="140"/>
    <n v="24"/>
  </r>
  <r>
    <n v="589"/>
    <d v="2011-01-27T00:00:00"/>
    <s v="Thursday"/>
    <x v="0"/>
    <n v="0"/>
    <n v="1"/>
    <x v="17"/>
    <b v="0"/>
    <n v="4"/>
    <x v="5"/>
    <n v="1"/>
    <x v="0"/>
    <n v="0.22"/>
    <s v="Winter"/>
    <s v="Weekday"/>
    <n v="0.2424"/>
    <n v="9.9383999999999997"/>
    <n v="0.55000000000000004"/>
    <n v="0.1045"/>
    <x v="4"/>
    <x v="70"/>
    <n v="84"/>
  </r>
  <r>
    <n v="590"/>
    <d v="2011-01-27T00:00:00"/>
    <s v="Thursday"/>
    <x v="0"/>
    <n v="0"/>
    <n v="1"/>
    <x v="18"/>
    <b v="0"/>
    <n v="4"/>
    <x v="5"/>
    <n v="1"/>
    <x v="0"/>
    <n v="0.2"/>
    <s v="Winter"/>
    <s v="Weekday"/>
    <n v="0.2273"/>
    <n v="9.3193000000000001"/>
    <n v="0.69"/>
    <n v="8.9599999999999999E-2"/>
    <x v="0"/>
    <x v="143"/>
    <n v="104"/>
  </r>
  <r>
    <n v="591"/>
    <d v="2011-01-27T00:00:00"/>
    <s v="Thursday"/>
    <x v="0"/>
    <n v="0"/>
    <n v="1"/>
    <x v="19"/>
    <b v="0"/>
    <n v="4"/>
    <x v="5"/>
    <n v="1"/>
    <x v="0"/>
    <n v="0.2"/>
    <s v="Winter"/>
    <s v="Weekday"/>
    <n v="0.2273"/>
    <n v="9.3193000000000001"/>
    <n v="0.69"/>
    <n v="8.9599999999999999E-2"/>
    <x v="0"/>
    <x v="83"/>
    <n v="79"/>
  </r>
  <r>
    <n v="592"/>
    <d v="2011-01-27T00:00:00"/>
    <s v="Thursday"/>
    <x v="0"/>
    <n v="0"/>
    <n v="1"/>
    <x v="20"/>
    <b v="0"/>
    <n v="4"/>
    <x v="5"/>
    <n v="1"/>
    <x v="0"/>
    <n v="0.18"/>
    <s v="Winter"/>
    <s v="Weekday"/>
    <n v="0.21210000000000001"/>
    <n v="8.6961000000000013"/>
    <n v="0.74"/>
    <n v="8.9599999999999999E-2"/>
    <x v="17"/>
    <x v="11"/>
    <n v="59"/>
  </r>
  <r>
    <n v="593"/>
    <d v="2011-01-27T00:00:00"/>
    <s v="Thursday"/>
    <x v="0"/>
    <n v="0"/>
    <n v="1"/>
    <x v="21"/>
    <b v="0"/>
    <n v="4"/>
    <x v="5"/>
    <n v="1"/>
    <x v="0"/>
    <n v="0.18"/>
    <s v="Winter"/>
    <s v="Weekday"/>
    <n v="0.21210000000000001"/>
    <n v="8.6961000000000013"/>
    <n v="0.74"/>
    <n v="8.9599999999999999E-2"/>
    <x v="4"/>
    <x v="49"/>
    <n v="38"/>
  </r>
  <r>
    <n v="594"/>
    <d v="2011-01-27T00:00:00"/>
    <s v="Thursday"/>
    <x v="0"/>
    <n v="0"/>
    <n v="1"/>
    <x v="22"/>
    <b v="0"/>
    <n v="4"/>
    <x v="5"/>
    <n v="1"/>
    <x v="0"/>
    <n v="0.18"/>
    <s v="Winter"/>
    <s v="Weekday"/>
    <n v="0.21210000000000001"/>
    <n v="8.6961000000000013"/>
    <n v="0.74"/>
    <n v="8.9599999999999999E-2"/>
    <x v="3"/>
    <x v="2"/>
    <n v="27"/>
  </r>
  <r>
    <n v="595"/>
    <d v="2011-01-27T00:00:00"/>
    <s v="Thursday"/>
    <x v="0"/>
    <n v="0"/>
    <n v="1"/>
    <x v="23"/>
    <b v="0"/>
    <n v="4"/>
    <x v="5"/>
    <n v="1"/>
    <x v="0"/>
    <n v="0.18"/>
    <s v="Winter"/>
    <s v="Weekday"/>
    <n v="0.19700000000000001"/>
    <n v="8.077"/>
    <n v="0.8"/>
    <n v="0.16420000000000001"/>
    <x v="3"/>
    <x v="20"/>
    <n v="16"/>
  </r>
  <r>
    <n v="596"/>
    <d v="2011-01-28T00:00:00"/>
    <s v="Friday"/>
    <x v="0"/>
    <n v="0"/>
    <n v="1"/>
    <x v="0"/>
    <b v="0"/>
    <n v="5"/>
    <x v="6"/>
    <n v="2"/>
    <x v="1"/>
    <n v="0.2"/>
    <s v="Winter"/>
    <s v="Weekday"/>
    <n v="0.21210000000000001"/>
    <n v="8.6961000000000013"/>
    <n v="0.75"/>
    <n v="0.1343"/>
    <x v="3"/>
    <x v="33"/>
    <n v="9"/>
  </r>
  <r>
    <n v="597"/>
    <d v="2011-01-28T00:00:00"/>
    <s v="Friday"/>
    <x v="0"/>
    <n v="0"/>
    <n v="1"/>
    <x v="1"/>
    <b v="0"/>
    <n v="5"/>
    <x v="6"/>
    <n v="2"/>
    <x v="1"/>
    <n v="0.2"/>
    <s v="Winter"/>
    <s v="Weekday"/>
    <n v="0.21210000000000001"/>
    <n v="8.6961000000000013"/>
    <n v="0.75"/>
    <n v="0.1343"/>
    <x v="5"/>
    <x v="6"/>
    <n v="3"/>
  </r>
  <r>
    <n v="598"/>
    <d v="2011-01-28T00:00:00"/>
    <s v="Friday"/>
    <x v="0"/>
    <n v="0"/>
    <n v="1"/>
    <x v="2"/>
    <b v="0"/>
    <n v="5"/>
    <x v="6"/>
    <n v="2"/>
    <x v="1"/>
    <n v="0.2"/>
    <s v="Winter"/>
    <s v="Weekday"/>
    <n v="0.21210000000000001"/>
    <n v="8.6961000000000013"/>
    <n v="0.75"/>
    <n v="0.16420000000000001"/>
    <x v="3"/>
    <x v="6"/>
    <n v="2"/>
  </r>
  <r>
    <n v="599"/>
    <d v="2011-01-28T00:00:00"/>
    <s v="Friday"/>
    <x v="0"/>
    <n v="0"/>
    <n v="1"/>
    <x v="3"/>
    <b v="0"/>
    <n v="5"/>
    <x v="6"/>
    <n v="2"/>
    <x v="1"/>
    <n v="0.2"/>
    <s v="Winter"/>
    <s v="Weekday"/>
    <n v="0.2273"/>
    <n v="9.3193000000000001"/>
    <n v="0.75"/>
    <n v="0.1045"/>
    <x v="5"/>
    <x v="5"/>
    <n v="1"/>
  </r>
  <r>
    <n v="600"/>
    <d v="2011-01-28T00:00:00"/>
    <s v="Friday"/>
    <x v="0"/>
    <n v="0"/>
    <n v="1"/>
    <x v="5"/>
    <b v="0"/>
    <n v="5"/>
    <x v="6"/>
    <n v="2"/>
    <x v="1"/>
    <n v="0.18"/>
    <s v="Winter"/>
    <s v="Weekday"/>
    <n v="0.21210000000000001"/>
    <n v="8.6961000000000013"/>
    <n v="0.8"/>
    <n v="0.1045"/>
    <x v="3"/>
    <x v="22"/>
    <n v="4"/>
  </r>
  <r>
    <n v="601"/>
    <d v="2011-01-28T00:00:00"/>
    <s v="Friday"/>
    <x v="0"/>
    <n v="0"/>
    <n v="1"/>
    <x v="6"/>
    <b v="0"/>
    <n v="5"/>
    <x v="6"/>
    <n v="2"/>
    <x v="1"/>
    <n v="0.18"/>
    <s v="Winter"/>
    <s v="Weekday"/>
    <n v="0.19700000000000001"/>
    <n v="8.077"/>
    <n v="0.8"/>
    <n v="0.1343"/>
    <x v="3"/>
    <x v="20"/>
    <n v="16"/>
  </r>
  <r>
    <n v="602"/>
    <d v="2011-01-28T00:00:00"/>
    <s v="Friday"/>
    <x v="0"/>
    <n v="0"/>
    <n v="1"/>
    <x v="7"/>
    <b v="0"/>
    <n v="5"/>
    <x v="6"/>
    <n v="2"/>
    <x v="1"/>
    <n v="0.16"/>
    <s v="Winter"/>
    <s v="Weekday"/>
    <n v="0.19700000000000001"/>
    <n v="8.077"/>
    <n v="0.86"/>
    <n v="8.9599999999999999E-2"/>
    <x v="4"/>
    <x v="29"/>
    <n v="60"/>
  </r>
  <r>
    <n v="603"/>
    <d v="2011-01-28T00:00:00"/>
    <s v="Friday"/>
    <x v="0"/>
    <n v="0"/>
    <n v="1"/>
    <x v="8"/>
    <b v="0"/>
    <n v="5"/>
    <x v="6"/>
    <n v="2"/>
    <x v="1"/>
    <n v="0.16"/>
    <s v="Winter"/>
    <s v="Weekday"/>
    <n v="0.19700000000000001"/>
    <n v="8.077"/>
    <n v="0.86"/>
    <n v="8.9599999999999999E-2"/>
    <x v="4"/>
    <x v="119"/>
    <n v="157"/>
  </r>
  <r>
    <n v="604"/>
    <d v="2011-01-28T00:00:00"/>
    <s v="Friday"/>
    <x v="0"/>
    <n v="0"/>
    <n v="1"/>
    <x v="9"/>
    <b v="0"/>
    <n v="5"/>
    <x v="6"/>
    <n v="3"/>
    <x v="2"/>
    <n v="0.18"/>
    <s v="Winter"/>
    <s v="Weekday"/>
    <n v="0.21210000000000001"/>
    <n v="8.6961000000000013"/>
    <n v="0.86"/>
    <n v="8.9599999999999999E-2"/>
    <x v="15"/>
    <x v="73"/>
    <n v="101"/>
  </r>
  <r>
    <n v="605"/>
    <d v="2011-01-28T00:00:00"/>
    <s v="Friday"/>
    <x v="0"/>
    <n v="0"/>
    <n v="1"/>
    <x v="10"/>
    <b v="0"/>
    <n v="5"/>
    <x v="6"/>
    <n v="3"/>
    <x v="2"/>
    <n v="0.18"/>
    <s v="Winter"/>
    <s v="Weekday"/>
    <n v="0.21210000000000001"/>
    <n v="8.6961000000000013"/>
    <n v="0.86"/>
    <n v="0.1045"/>
    <x v="3"/>
    <x v="47"/>
    <n v="49"/>
  </r>
  <r>
    <n v="606"/>
    <d v="2011-01-28T00:00:00"/>
    <s v="Friday"/>
    <x v="0"/>
    <n v="0"/>
    <n v="1"/>
    <x v="11"/>
    <b v="0"/>
    <n v="5"/>
    <x v="6"/>
    <n v="3"/>
    <x v="2"/>
    <n v="0.18"/>
    <s v="Winter"/>
    <s v="Weekday"/>
    <n v="0.21210000000000001"/>
    <n v="8.6961000000000013"/>
    <n v="0.93"/>
    <n v="0.1045"/>
    <x v="3"/>
    <x v="10"/>
    <n v="30"/>
  </r>
  <r>
    <n v="607"/>
    <d v="2011-01-28T00:00:00"/>
    <s v="Friday"/>
    <x v="0"/>
    <n v="0"/>
    <n v="1"/>
    <x v="12"/>
    <b v="0"/>
    <n v="5"/>
    <x v="6"/>
    <n v="3"/>
    <x v="2"/>
    <n v="0.18"/>
    <s v="Winter"/>
    <s v="Weekday"/>
    <n v="0.21210000000000001"/>
    <n v="8.6961000000000013"/>
    <n v="0.93"/>
    <n v="0.1045"/>
    <x v="5"/>
    <x v="95"/>
    <n v="29"/>
  </r>
  <r>
    <n v="608"/>
    <d v="2011-01-28T00:00:00"/>
    <s v="Friday"/>
    <x v="0"/>
    <n v="0"/>
    <n v="1"/>
    <x v="13"/>
    <b v="0"/>
    <n v="5"/>
    <x v="6"/>
    <n v="3"/>
    <x v="2"/>
    <n v="0.18"/>
    <s v="Winter"/>
    <s v="Weekday"/>
    <n v="0.21210000000000001"/>
    <n v="8.6961000000000013"/>
    <n v="0.93"/>
    <n v="0.1045"/>
    <x v="3"/>
    <x v="17"/>
    <n v="31"/>
  </r>
  <r>
    <n v="609"/>
    <d v="2011-01-28T00:00:00"/>
    <s v="Friday"/>
    <x v="0"/>
    <n v="0"/>
    <n v="1"/>
    <x v="14"/>
    <b v="0"/>
    <n v="5"/>
    <x v="6"/>
    <n v="3"/>
    <x v="2"/>
    <n v="0.22"/>
    <s v="Winter"/>
    <s v="Weekday"/>
    <n v="0.2727"/>
    <n v="11.1807"/>
    <n v="0.8"/>
    <n v="0"/>
    <x v="4"/>
    <x v="49"/>
    <n v="38"/>
  </r>
  <r>
    <n v="610"/>
    <d v="2011-01-28T00:00:00"/>
    <s v="Friday"/>
    <x v="0"/>
    <n v="0"/>
    <n v="1"/>
    <x v="15"/>
    <b v="0"/>
    <n v="5"/>
    <x v="6"/>
    <n v="2"/>
    <x v="1"/>
    <n v="0.2"/>
    <s v="Winter"/>
    <s v="Weekday"/>
    <n v="0.2576"/>
    <n v="10.5616"/>
    <n v="0.86"/>
    <n v="0"/>
    <x v="5"/>
    <x v="71"/>
    <n v="41"/>
  </r>
  <r>
    <n v="611"/>
    <d v="2011-01-28T00:00:00"/>
    <s v="Friday"/>
    <x v="0"/>
    <n v="0"/>
    <n v="1"/>
    <x v="16"/>
    <b v="0"/>
    <n v="5"/>
    <x v="6"/>
    <n v="1"/>
    <x v="0"/>
    <n v="0.22"/>
    <s v="Winter"/>
    <s v="Weekday"/>
    <n v="0.2727"/>
    <n v="11.1807"/>
    <n v="0.8"/>
    <n v="0"/>
    <x v="22"/>
    <x v="14"/>
    <n v="80"/>
  </r>
  <r>
    <n v="612"/>
    <d v="2011-01-28T00:00:00"/>
    <s v="Friday"/>
    <x v="0"/>
    <n v="0"/>
    <n v="1"/>
    <x v="17"/>
    <b v="0"/>
    <n v="5"/>
    <x v="6"/>
    <n v="1"/>
    <x v="0"/>
    <n v="0.24"/>
    <s v="Winter"/>
    <s v="Weekday"/>
    <n v="0.2424"/>
    <n v="9.9383999999999997"/>
    <n v="0.75"/>
    <n v="0.1343"/>
    <x v="4"/>
    <x v="150"/>
    <n v="149"/>
  </r>
  <r>
    <n v="613"/>
    <d v="2011-01-28T00:00:00"/>
    <s v="Friday"/>
    <x v="0"/>
    <n v="0"/>
    <n v="1"/>
    <x v="18"/>
    <b v="0"/>
    <n v="5"/>
    <x v="6"/>
    <n v="1"/>
    <x v="0"/>
    <n v="0.24"/>
    <s v="Winter"/>
    <s v="Weekday"/>
    <n v="0.2273"/>
    <n v="9.3193000000000001"/>
    <n v="0.75"/>
    <n v="0.19400000000000001"/>
    <x v="4"/>
    <x v="128"/>
    <n v="109"/>
  </r>
  <r>
    <n v="614"/>
    <d v="2011-01-28T00:00:00"/>
    <s v="Friday"/>
    <x v="0"/>
    <n v="0"/>
    <n v="1"/>
    <x v="19"/>
    <b v="0"/>
    <n v="5"/>
    <x v="6"/>
    <n v="2"/>
    <x v="1"/>
    <n v="0.24"/>
    <s v="Winter"/>
    <s v="Weekday"/>
    <n v="0.2424"/>
    <n v="9.9383999999999997"/>
    <n v="0.75"/>
    <n v="0.1343"/>
    <x v="2"/>
    <x v="151"/>
    <n v="89"/>
  </r>
  <r>
    <n v="615"/>
    <d v="2011-01-28T00:00:00"/>
    <s v="Friday"/>
    <x v="0"/>
    <n v="0"/>
    <n v="1"/>
    <x v="20"/>
    <b v="0"/>
    <n v="5"/>
    <x v="6"/>
    <n v="2"/>
    <x v="1"/>
    <n v="0.24"/>
    <s v="Winter"/>
    <s v="Weekday"/>
    <n v="0.2273"/>
    <n v="9.3193000000000001"/>
    <n v="0.7"/>
    <n v="0.19400000000000001"/>
    <x v="5"/>
    <x v="124"/>
    <n v="62"/>
  </r>
  <r>
    <s v="616"/>
    <d v="2011-01-28T00:00:00"/>
    <s v="Friday"/>
    <x v="0"/>
    <n v="0"/>
    <n v="1"/>
    <x v="21"/>
    <b v="0"/>
    <n v="5"/>
    <x v="6"/>
    <n v="2"/>
    <x v="1"/>
    <n v="0.22"/>
    <s v="Winter"/>
    <s v="Weekday"/>
    <n v="0.2273"/>
    <n v="9.3193000000000001"/>
    <n v="0.75"/>
    <n v="0.1343"/>
    <x v="5"/>
    <x v="77"/>
    <n v="58"/>
  </r>
  <r>
    <s v="617"/>
    <d v="2011-01-28T00:00:00"/>
    <s v="Friday"/>
    <x v="0"/>
    <n v="0"/>
    <n v="1"/>
    <x v="22"/>
    <b v="0"/>
    <n v="5"/>
    <x v="6"/>
    <n v="1"/>
    <x v="0"/>
    <n v="0.24"/>
    <s v="Winter"/>
    <s v="Weekday"/>
    <n v="0.21210000000000001"/>
    <n v="8.6961000000000013"/>
    <n v="0.65"/>
    <n v="0.35820000000000002"/>
    <x v="3"/>
    <x v="16"/>
    <n v="26"/>
  </r>
  <r>
    <s v="618"/>
    <d v="2011-01-28T00:00:00"/>
    <s v="Friday"/>
    <x v="0"/>
    <n v="0"/>
    <n v="1"/>
    <x v="23"/>
    <b v="0"/>
    <n v="5"/>
    <x v="6"/>
    <n v="1"/>
    <x v="0"/>
    <n v="0.24"/>
    <s v="Winter"/>
    <s v="Weekday"/>
    <n v="0.2273"/>
    <n v="9.3193000000000001"/>
    <n v="0.6"/>
    <n v="0.22389999999999999"/>
    <x v="5"/>
    <x v="97"/>
    <n v="23"/>
  </r>
  <r>
    <s v="619"/>
    <d v="2011-01-29T00:00:00"/>
    <s v="Saturday"/>
    <x v="0"/>
    <n v="0"/>
    <n v="1"/>
    <x v="0"/>
    <b v="0"/>
    <n v="6"/>
    <x v="0"/>
    <n v="1"/>
    <x v="0"/>
    <n v="0.22"/>
    <s v="Winter"/>
    <s v="Weekend"/>
    <n v="0.19700000000000001"/>
    <n v="8.077"/>
    <n v="0.64"/>
    <n v="0.35820000000000002"/>
    <x v="4"/>
    <x v="16"/>
    <n v="28"/>
  </r>
  <r>
    <s v="620"/>
    <d v="2011-01-29T00:00:00"/>
    <s v="Saturday"/>
    <x v="0"/>
    <n v="0"/>
    <n v="1"/>
    <x v="1"/>
    <b v="0"/>
    <n v="6"/>
    <x v="0"/>
    <n v="1"/>
    <x v="0"/>
    <n v="0.22"/>
    <s v="Winter"/>
    <s v="Weekend"/>
    <n v="0.2273"/>
    <n v="9.3193000000000001"/>
    <n v="0.64"/>
    <n v="0.19400000000000001"/>
    <x v="3"/>
    <x v="32"/>
    <n v="20"/>
  </r>
  <r>
    <s v="621"/>
    <d v="2011-01-29T00:00:00"/>
    <s v="Saturday"/>
    <x v="0"/>
    <n v="0"/>
    <n v="1"/>
    <x v="2"/>
    <b v="0"/>
    <n v="6"/>
    <x v="0"/>
    <n v="1"/>
    <x v="0"/>
    <n v="0.22"/>
    <s v="Winter"/>
    <s v="Weekend"/>
    <n v="0.2273"/>
    <n v="9.3193000000000001"/>
    <n v="0.64"/>
    <n v="0.16420000000000001"/>
    <x v="3"/>
    <x v="89"/>
    <n v="15"/>
  </r>
  <r>
    <s v="622"/>
    <d v="2011-01-29T00:00:00"/>
    <s v="Saturday"/>
    <x v="0"/>
    <n v="0"/>
    <n v="1"/>
    <x v="3"/>
    <b v="0"/>
    <n v="6"/>
    <x v="0"/>
    <n v="1"/>
    <x v="0"/>
    <n v="0.2"/>
    <s v="Winter"/>
    <s v="Weekend"/>
    <n v="0.21210000000000001"/>
    <n v="8.6961000000000013"/>
    <n v="0.64"/>
    <n v="0.1343"/>
    <x v="0"/>
    <x v="34"/>
    <n v="8"/>
  </r>
  <r>
    <s v="623"/>
    <d v="2011-01-29T00:00:00"/>
    <s v="Saturday"/>
    <x v="0"/>
    <n v="0"/>
    <n v="1"/>
    <x v="4"/>
    <b v="0"/>
    <n v="6"/>
    <x v="0"/>
    <n v="1"/>
    <x v="0"/>
    <n v="0.16"/>
    <s v="Winter"/>
    <s v="Weekend"/>
    <n v="0.18179999999999999"/>
    <n v="7.4537999999999993"/>
    <n v="0.69"/>
    <n v="0.1045"/>
    <x v="5"/>
    <x v="6"/>
    <n v="3"/>
  </r>
  <r>
    <s v="624"/>
    <d v="2011-01-29T00:00:00"/>
    <s v="Saturday"/>
    <x v="0"/>
    <n v="0"/>
    <n v="1"/>
    <x v="6"/>
    <b v="0"/>
    <n v="6"/>
    <x v="0"/>
    <n v="1"/>
    <x v="0"/>
    <n v="0.16"/>
    <s v="Winter"/>
    <s v="Weekend"/>
    <n v="0.18179999999999999"/>
    <n v="7.4537999999999993"/>
    <n v="0.64"/>
    <n v="0.1343"/>
    <x v="3"/>
    <x v="6"/>
    <n v="2"/>
  </r>
  <r>
    <s v="625"/>
    <d v="2011-01-29T00:00:00"/>
    <s v="Saturday"/>
    <x v="0"/>
    <n v="0"/>
    <n v="1"/>
    <x v="7"/>
    <b v="0"/>
    <n v="6"/>
    <x v="0"/>
    <n v="1"/>
    <x v="0"/>
    <n v="0.16"/>
    <s v="Winter"/>
    <s v="Weekend"/>
    <n v="0.18179999999999999"/>
    <n v="7.4537999999999993"/>
    <n v="0.59"/>
    <n v="0.1045"/>
    <x v="5"/>
    <x v="22"/>
    <n v="5"/>
  </r>
  <r>
    <s v="626"/>
    <d v="2011-01-29T00:00:00"/>
    <s v="Saturday"/>
    <x v="0"/>
    <n v="0"/>
    <n v="1"/>
    <x v="8"/>
    <b v="0"/>
    <n v="6"/>
    <x v="0"/>
    <n v="1"/>
    <x v="0"/>
    <n v="0.18"/>
    <s v="Winter"/>
    <s v="Weekend"/>
    <n v="0.19700000000000001"/>
    <n v="8.077"/>
    <n v="0.55000000000000004"/>
    <n v="0.16420000000000001"/>
    <x v="0"/>
    <x v="17"/>
    <n v="34"/>
  </r>
  <r>
    <s v="627"/>
    <d v="2011-01-29T00:00:00"/>
    <s v="Saturday"/>
    <x v="0"/>
    <n v="0"/>
    <n v="1"/>
    <x v="9"/>
    <b v="0"/>
    <n v="6"/>
    <x v="0"/>
    <n v="1"/>
    <x v="0"/>
    <n v="0.18"/>
    <s v="Winter"/>
    <s v="Weekend"/>
    <n v="0.21210000000000001"/>
    <n v="8.6961000000000013"/>
    <n v="0.59"/>
    <n v="8.9599999999999999E-2"/>
    <x v="3"/>
    <x v="60"/>
    <n v="34"/>
  </r>
  <r>
    <s v="628"/>
    <d v="2011-01-29T00:00:00"/>
    <s v="Saturday"/>
    <x v="0"/>
    <n v="0"/>
    <n v="1"/>
    <x v="10"/>
    <b v="0"/>
    <n v="6"/>
    <x v="0"/>
    <n v="2"/>
    <x v="1"/>
    <n v="0.18"/>
    <s v="Winter"/>
    <s v="Weekend"/>
    <n v="0.21210000000000001"/>
    <n v="8.6961000000000013"/>
    <n v="0.64"/>
    <n v="0.1045"/>
    <x v="17"/>
    <x v="82"/>
    <n v="55"/>
  </r>
  <r>
    <s v="629"/>
    <d v="2011-01-29T00:00:00"/>
    <s v="Saturday"/>
    <x v="0"/>
    <n v="0"/>
    <n v="1"/>
    <x v="11"/>
    <b v="0"/>
    <n v="6"/>
    <x v="0"/>
    <n v="2"/>
    <x v="1"/>
    <n v="0.18"/>
    <s v="Winter"/>
    <s v="Weekend"/>
    <n v="0.19700000000000001"/>
    <n v="8.077"/>
    <n v="0.64"/>
    <n v="0.1343"/>
    <x v="17"/>
    <x v="91"/>
    <n v="64"/>
  </r>
  <r>
    <s v="630"/>
    <d v="2011-01-29T00:00:00"/>
    <s v="Saturday"/>
    <x v="0"/>
    <n v="0"/>
    <n v="1"/>
    <x v="12"/>
    <b v="0"/>
    <n v="6"/>
    <x v="0"/>
    <n v="2"/>
    <x v="1"/>
    <n v="0.2"/>
    <s v="Winter"/>
    <s v="Weekend"/>
    <n v="0.19700000000000001"/>
    <n v="8.077"/>
    <n v="0.59"/>
    <n v="0.19400000000000001"/>
    <x v="6"/>
    <x v="43"/>
    <n v="78"/>
  </r>
  <r>
    <s v="631"/>
    <d v="2011-01-29T00:00:00"/>
    <s v="Saturday"/>
    <x v="0"/>
    <n v="0"/>
    <n v="1"/>
    <x v="13"/>
    <b v="0"/>
    <n v="6"/>
    <x v="0"/>
    <n v="2"/>
    <x v="1"/>
    <n v="0.22"/>
    <s v="Winter"/>
    <s v="Weekend"/>
    <n v="0.2273"/>
    <n v="9.3193000000000001"/>
    <n v="0.55000000000000004"/>
    <n v="0.16420000000000001"/>
    <x v="14"/>
    <x v="90"/>
    <n v="65"/>
  </r>
  <r>
    <s v="632"/>
    <d v="2011-01-29T00:00:00"/>
    <s v="Saturday"/>
    <x v="0"/>
    <n v="0"/>
    <n v="1"/>
    <x v="14"/>
    <b v="0"/>
    <n v="6"/>
    <x v="0"/>
    <n v="2"/>
    <x v="1"/>
    <n v="0.22"/>
    <s v="Winter"/>
    <s v="Weekend"/>
    <n v="0.2273"/>
    <n v="9.3193000000000001"/>
    <n v="0.6"/>
    <n v="0.1343"/>
    <x v="22"/>
    <x v="121"/>
    <n v="99"/>
  </r>
  <r>
    <s v="633"/>
    <d v="2011-01-29T00:00:00"/>
    <s v="Saturday"/>
    <x v="0"/>
    <n v="0"/>
    <n v="1"/>
    <x v="15"/>
    <b v="0"/>
    <n v="6"/>
    <x v="0"/>
    <n v="1"/>
    <x v="0"/>
    <n v="0.22"/>
    <s v="Winter"/>
    <s v="Weekend"/>
    <n v="0.21210000000000001"/>
    <n v="8.6961000000000013"/>
    <n v="0.69"/>
    <n v="0.25369999999999998"/>
    <x v="30"/>
    <x v="52"/>
    <n v="120"/>
  </r>
  <r>
    <s v="634"/>
    <d v="2011-01-29T00:00:00"/>
    <s v="Saturday"/>
    <x v="0"/>
    <n v="0"/>
    <n v="1"/>
    <x v="16"/>
    <b v="0"/>
    <n v="6"/>
    <x v="0"/>
    <n v="1"/>
    <x v="0"/>
    <n v="0.24"/>
    <s v="Winter"/>
    <s v="Weekend"/>
    <n v="0.2424"/>
    <n v="9.9383999999999997"/>
    <n v="0.6"/>
    <n v="0.16420000000000001"/>
    <x v="21"/>
    <x v="152"/>
    <n v="107"/>
  </r>
  <r>
    <s v="635"/>
    <d v="2011-01-29T00:00:00"/>
    <s v="Saturday"/>
    <x v="0"/>
    <n v="0"/>
    <n v="1"/>
    <x v="17"/>
    <b v="0"/>
    <n v="6"/>
    <x v="0"/>
    <n v="1"/>
    <x v="0"/>
    <n v="0.24"/>
    <s v="Winter"/>
    <s v="Weekend"/>
    <n v="0.28789999999999999"/>
    <n v="11.803899999999999"/>
    <n v="0.6"/>
    <n v="0"/>
    <x v="14"/>
    <x v="70"/>
    <n v="91"/>
  </r>
  <r>
    <s v="636"/>
    <d v="2011-01-29T00:00:00"/>
    <s v="Saturday"/>
    <x v="0"/>
    <n v="0"/>
    <n v="1"/>
    <x v="18"/>
    <b v="0"/>
    <n v="6"/>
    <x v="0"/>
    <n v="1"/>
    <x v="0"/>
    <n v="0.22"/>
    <s v="Winter"/>
    <s v="Weekend"/>
    <n v="0.2273"/>
    <n v="9.3193000000000001"/>
    <n v="0.69"/>
    <n v="0.1343"/>
    <x v="14"/>
    <x v="79"/>
    <n v="68"/>
  </r>
  <r>
    <s v="637"/>
    <d v="2011-01-29T00:00:00"/>
    <s v="Saturday"/>
    <x v="0"/>
    <n v="0"/>
    <n v="1"/>
    <x v="19"/>
    <b v="0"/>
    <n v="6"/>
    <x v="0"/>
    <n v="2"/>
    <x v="1"/>
    <n v="0.22"/>
    <s v="Winter"/>
    <s v="Weekend"/>
    <n v="0.21210000000000001"/>
    <n v="8.6961000000000013"/>
    <n v="0.69"/>
    <n v="0.25369999999999998"/>
    <x v="15"/>
    <x v="15"/>
    <n v="58"/>
  </r>
  <r>
    <s v="638"/>
    <d v="2011-01-29T00:00:00"/>
    <s v="Saturday"/>
    <x v="0"/>
    <n v="0"/>
    <n v="1"/>
    <x v="20"/>
    <b v="0"/>
    <n v="6"/>
    <x v="0"/>
    <n v="1"/>
    <x v="0"/>
    <n v="0.18"/>
    <s v="Winter"/>
    <s v="Weekend"/>
    <n v="0.21210000000000001"/>
    <n v="8.6961000000000013"/>
    <n v="0.74"/>
    <n v="8.9599999999999999E-2"/>
    <x v="5"/>
    <x v="76"/>
    <n v="43"/>
  </r>
  <r>
    <s v="639"/>
    <d v="2011-01-29T00:00:00"/>
    <s v="Saturday"/>
    <x v="0"/>
    <n v="0"/>
    <n v="1"/>
    <x v="21"/>
    <b v="0"/>
    <n v="6"/>
    <x v="0"/>
    <n v="1"/>
    <x v="0"/>
    <n v="0.18"/>
    <s v="Winter"/>
    <s v="Weekend"/>
    <n v="0.21210000000000001"/>
    <n v="8.6961000000000013"/>
    <n v="0.74"/>
    <n v="8.9599999999999999E-2"/>
    <x v="5"/>
    <x v="96"/>
    <n v="36"/>
  </r>
  <r>
    <s v="640"/>
    <d v="2011-01-29T00:00:00"/>
    <s v="Saturday"/>
    <x v="0"/>
    <n v="0"/>
    <n v="1"/>
    <x v="22"/>
    <b v="0"/>
    <n v="6"/>
    <x v="0"/>
    <n v="1"/>
    <x v="0"/>
    <n v="0.16"/>
    <s v="Winter"/>
    <s v="Weekend"/>
    <n v="0.19700000000000001"/>
    <n v="8.077"/>
    <n v="0.8"/>
    <n v="8.9599999999999999E-2"/>
    <x v="17"/>
    <x v="95"/>
    <n v="32"/>
  </r>
  <r>
    <s v="641"/>
    <d v="2011-01-29T00:00:00"/>
    <s v="Saturday"/>
    <x v="0"/>
    <n v="0"/>
    <n v="1"/>
    <x v="23"/>
    <b v="0"/>
    <n v="6"/>
    <x v="0"/>
    <n v="1"/>
    <x v="0"/>
    <n v="0.16"/>
    <s v="Winter"/>
    <s v="Weekend"/>
    <n v="0.19700000000000001"/>
    <n v="8.077"/>
    <n v="0.8"/>
    <n v="8.9599999999999999E-2"/>
    <x v="0"/>
    <x v="10"/>
    <n v="33"/>
  </r>
  <r>
    <s v="642"/>
    <d v="2011-01-30T00:00:00"/>
    <s v="Sunday"/>
    <x v="0"/>
    <n v="0"/>
    <n v="1"/>
    <x v="0"/>
    <b v="0"/>
    <n v="0"/>
    <x v="1"/>
    <n v="1"/>
    <x v="0"/>
    <n v="0.16"/>
    <s v="Winter"/>
    <s v="Weekend"/>
    <n v="0.18179999999999999"/>
    <n v="7.4537999999999993"/>
    <n v="0.8"/>
    <n v="0.1045"/>
    <x v="3"/>
    <x v="39"/>
    <n v="33"/>
  </r>
  <r>
    <s v="643"/>
    <d v="2011-01-30T00:00:00"/>
    <s v="Sunday"/>
    <x v="0"/>
    <n v="0"/>
    <n v="1"/>
    <x v="1"/>
    <b v="0"/>
    <n v="0"/>
    <x v="1"/>
    <n v="1"/>
    <x v="0"/>
    <n v="0.14000000000000001"/>
    <s v="Winter"/>
    <s v="Weekend"/>
    <n v="0.21210000000000001"/>
    <n v="8.6961000000000013"/>
    <n v="0.8"/>
    <n v="0"/>
    <x v="18"/>
    <x v="97"/>
    <n v="29"/>
  </r>
  <r>
    <s v="644"/>
    <d v="2011-01-30T00:00:00"/>
    <s v="Sunday"/>
    <x v="0"/>
    <n v="0"/>
    <n v="1"/>
    <x v="2"/>
    <b v="0"/>
    <n v="0"/>
    <x v="1"/>
    <n v="1"/>
    <x v="0"/>
    <n v="0.16"/>
    <s v="Winter"/>
    <s v="Weekend"/>
    <n v="0.2273"/>
    <n v="9.3193000000000001"/>
    <n v="0.8"/>
    <n v="0"/>
    <x v="5"/>
    <x v="3"/>
    <n v="11"/>
  </r>
  <r>
    <s v="645"/>
    <d v="2011-01-30T00:00:00"/>
    <s v="Sunday"/>
    <x v="0"/>
    <n v="0"/>
    <n v="1"/>
    <x v="3"/>
    <b v="0"/>
    <n v="0"/>
    <x v="1"/>
    <n v="1"/>
    <x v="0"/>
    <n v="0.14000000000000001"/>
    <s v="Winter"/>
    <s v="Weekend"/>
    <n v="0.21210000000000001"/>
    <n v="8.6961000000000013"/>
    <n v="0.93"/>
    <n v="0"/>
    <x v="5"/>
    <x v="7"/>
    <n v="8"/>
  </r>
  <r>
    <s v="646"/>
    <d v="2011-01-30T00:00:00"/>
    <s v="Sunday"/>
    <x v="0"/>
    <n v="0"/>
    <n v="1"/>
    <x v="4"/>
    <b v="0"/>
    <n v="0"/>
    <x v="1"/>
    <n v="1"/>
    <x v="0"/>
    <n v="0.14000000000000001"/>
    <s v="Winter"/>
    <s v="Weekend"/>
    <n v="0.21210000000000001"/>
    <n v="8.6961000000000013"/>
    <n v="0.93"/>
    <n v="0"/>
    <x v="3"/>
    <x v="4"/>
    <n v="1"/>
  </r>
  <r>
    <s v="647"/>
    <d v="2011-01-30T00:00:00"/>
    <s v="Sunday"/>
    <x v="0"/>
    <n v="0"/>
    <n v="1"/>
    <x v="5"/>
    <b v="0"/>
    <n v="0"/>
    <x v="1"/>
    <n v="1"/>
    <x v="0"/>
    <n v="0.14000000000000001"/>
    <s v="Winter"/>
    <s v="Weekend"/>
    <n v="0.21210000000000001"/>
    <n v="8.6961000000000013"/>
    <n v="0.86"/>
    <n v="0"/>
    <x v="3"/>
    <x v="35"/>
    <n v="3"/>
  </r>
  <r>
    <s v="648"/>
    <d v="2011-01-30T00:00:00"/>
    <s v="Sunday"/>
    <x v="0"/>
    <n v="0"/>
    <n v="1"/>
    <x v="7"/>
    <b v="0"/>
    <n v="0"/>
    <x v="1"/>
    <n v="1"/>
    <x v="0"/>
    <n v="0.14000000000000001"/>
    <s v="Winter"/>
    <s v="Weekend"/>
    <n v="0.21210000000000001"/>
    <n v="8.6961000000000013"/>
    <n v="0.86"/>
    <n v="0"/>
    <x v="3"/>
    <x v="35"/>
    <n v="3"/>
  </r>
  <r>
    <s v="649"/>
    <d v="2011-01-30T00:00:00"/>
    <s v="Sunday"/>
    <x v="0"/>
    <n v="0"/>
    <n v="1"/>
    <x v="8"/>
    <b v="0"/>
    <n v="0"/>
    <x v="1"/>
    <n v="2"/>
    <x v="1"/>
    <n v="0.14000000000000001"/>
    <s v="Winter"/>
    <s v="Weekend"/>
    <n v="0.21210000000000001"/>
    <n v="8.6961000000000013"/>
    <n v="0.86"/>
    <n v="0"/>
    <x v="5"/>
    <x v="48"/>
    <n v="12"/>
  </r>
  <r>
    <s v="650"/>
    <d v="2011-01-30T00:00:00"/>
    <s v="Sunday"/>
    <x v="0"/>
    <n v="0"/>
    <n v="1"/>
    <x v="9"/>
    <b v="0"/>
    <n v="0"/>
    <x v="1"/>
    <n v="2"/>
    <x v="1"/>
    <n v="0.16"/>
    <s v="Winter"/>
    <s v="Weekend"/>
    <n v="0.2273"/>
    <n v="9.3193000000000001"/>
    <n v="0.8"/>
    <n v="0"/>
    <x v="17"/>
    <x v="60"/>
    <n v="38"/>
  </r>
  <r>
    <s v="651"/>
    <d v="2011-01-30T00:00:00"/>
    <s v="Sunday"/>
    <x v="0"/>
    <n v="0"/>
    <n v="1"/>
    <x v="10"/>
    <b v="0"/>
    <n v="0"/>
    <x v="1"/>
    <n v="2"/>
    <x v="1"/>
    <n v="0.18"/>
    <s v="Winter"/>
    <s v="Weekend"/>
    <n v="0.2424"/>
    <n v="9.9383999999999997"/>
    <n v="0.8"/>
    <n v="0"/>
    <x v="18"/>
    <x v="77"/>
    <n v="64"/>
  </r>
  <r>
    <s v="652"/>
    <d v="2011-01-30T00:00:00"/>
    <s v="Sunday"/>
    <x v="0"/>
    <n v="0"/>
    <n v="1"/>
    <x v="11"/>
    <b v="0"/>
    <n v="0"/>
    <x v="1"/>
    <n v="1"/>
    <x v="0"/>
    <n v="0.22"/>
    <s v="Winter"/>
    <s v="Weekend"/>
    <n v="0.2727"/>
    <n v="11.1807"/>
    <n v="0.75"/>
    <n v="0"/>
    <x v="14"/>
    <x v="54"/>
    <n v="59"/>
  </r>
  <r>
    <s v="653"/>
    <d v="2011-01-30T00:00:00"/>
    <s v="Sunday"/>
    <x v="0"/>
    <n v="0"/>
    <n v="1"/>
    <x v="12"/>
    <b v="0"/>
    <n v="0"/>
    <x v="1"/>
    <n v="1"/>
    <x v="0"/>
    <n v="0.3"/>
    <s v="Winter"/>
    <s v="Weekend"/>
    <n v="0.31819999999999998"/>
    <n v="13.046199999999999"/>
    <n v="0.52"/>
    <n v="0.1045"/>
    <x v="22"/>
    <x v="61"/>
    <n v="97"/>
  </r>
  <r>
    <s v="654"/>
    <d v="2011-01-30T00:00:00"/>
    <s v="Sunday"/>
    <x v="0"/>
    <n v="0"/>
    <n v="1"/>
    <x v="13"/>
    <b v="0"/>
    <n v="0"/>
    <x v="1"/>
    <n v="1"/>
    <x v="0"/>
    <n v="0.28000000000000003"/>
    <s v="Winter"/>
    <s v="Weekend"/>
    <n v="0.28789999999999999"/>
    <n v="11.803899999999999"/>
    <n v="0.61"/>
    <n v="0.1045"/>
    <x v="23"/>
    <x v="13"/>
    <n v="84"/>
  </r>
  <r>
    <s v="655"/>
    <d v="2011-01-30T00:00:00"/>
    <s v="Sunday"/>
    <x v="0"/>
    <n v="0"/>
    <n v="1"/>
    <x v="14"/>
    <b v="0"/>
    <n v="0"/>
    <x v="1"/>
    <n v="1"/>
    <x v="0"/>
    <n v="0.28000000000000003"/>
    <s v="Winter"/>
    <s v="Weekend"/>
    <n v="0.30299999999999999"/>
    <n v="12.423"/>
    <n v="0.61"/>
    <n v="8.9599999999999999E-2"/>
    <x v="25"/>
    <x v="153"/>
    <n v="122"/>
  </r>
  <r>
    <s v="656"/>
    <d v="2011-01-30T00:00:00"/>
    <s v="Sunday"/>
    <x v="0"/>
    <n v="0"/>
    <n v="1"/>
    <x v="15"/>
    <b v="0"/>
    <n v="0"/>
    <x v="1"/>
    <n v="1"/>
    <x v="0"/>
    <n v="0.3"/>
    <s v="Winter"/>
    <s v="Weekend"/>
    <n v="0.33329999999999999"/>
    <n v="13.6653"/>
    <n v="0.56000000000000005"/>
    <n v="0"/>
    <x v="24"/>
    <x v="73"/>
    <n v="109"/>
  </r>
  <r>
    <s v="657"/>
    <d v="2011-01-30T00:00:00"/>
    <s v="Sunday"/>
    <x v="0"/>
    <n v="0"/>
    <n v="1"/>
    <x v="16"/>
    <b v="0"/>
    <n v="0"/>
    <x v="1"/>
    <n v="1"/>
    <x v="0"/>
    <n v="0.3"/>
    <s v="Winter"/>
    <s v="Weekend"/>
    <n v="0.33329999999999999"/>
    <n v="13.6653"/>
    <n v="0.56000000000000005"/>
    <n v="0"/>
    <x v="21"/>
    <x v="153"/>
    <n v="123"/>
  </r>
  <r>
    <s v="658"/>
    <d v="2011-01-30T00:00:00"/>
    <s v="Sunday"/>
    <x v="0"/>
    <n v="0"/>
    <n v="1"/>
    <x v="17"/>
    <b v="0"/>
    <n v="0"/>
    <x v="1"/>
    <n v="1"/>
    <x v="0"/>
    <n v="0.3"/>
    <s v="Winter"/>
    <s v="Weekend"/>
    <n v="0.28789999999999999"/>
    <n v="11.803899999999999"/>
    <n v="0.56000000000000005"/>
    <n v="0.19400000000000001"/>
    <x v="15"/>
    <x v="13"/>
    <n v="77"/>
  </r>
  <r>
    <s v="659"/>
    <d v="2011-01-30T00:00:00"/>
    <s v="Sunday"/>
    <x v="0"/>
    <n v="0"/>
    <n v="1"/>
    <x v="18"/>
    <b v="0"/>
    <n v="0"/>
    <x v="1"/>
    <n v="1"/>
    <x v="0"/>
    <n v="0.26"/>
    <s v="Winter"/>
    <s v="Weekend"/>
    <n v="0.2576"/>
    <n v="10.5616"/>
    <n v="0.65"/>
    <n v="0.16420000000000001"/>
    <x v="1"/>
    <x v="77"/>
    <n v="65"/>
  </r>
  <r>
    <s v="660"/>
    <d v="2011-01-30T00:00:00"/>
    <s v="Sunday"/>
    <x v="0"/>
    <n v="0"/>
    <n v="1"/>
    <x v="19"/>
    <b v="0"/>
    <n v="0"/>
    <x v="1"/>
    <n v="1"/>
    <x v="0"/>
    <n v="0.26"/>
    <s v="Winter"/>
    <s v="Weekend"/>
    <n v="0.2576"/>
    <n v="10.5616"/>
    <n v="0.65"/>
    <n v="0.19400000000000001"/>
    <x v="14"/>
    <x v="24"/>
    <n v="55"/>
  </r>
  <r>
    <s v="661"/>
    <d v="2011-01-30T00:00:00"/>
    <s v="Sunday"/>
    <x v="0"/>
    <n v="0"/>
    <n v="1"/>
    <x v="20"/>
    <b v="0"/>
    <n v="0"/>
    <x v="1"/>
    <n v="2"/>
    <x v="1"/>
    <n v="0.26"/>
    <s v="Winter"/>
    <s v="Weekend"/>
    <n v="0.2727"/>
    <n v="11.1807"/>
    <n v="0.65"/>
    <n v="0.1045"/>
    <x v="0"/>
    <x v="10"/>
    <n v="33"/>
  </r>
  <r>
    <s v="662"/>
    <d v="2011-01-30T00:00:00"/>
    <s v="Sunday"/>
    <x v="0"/>
    <n v="0"/>
    <n v="1"/>
    <x v="21"/>
    <b v="0"/>
    <n v="0"/>
    <x v="1"/>
    <n v="2"/>
    <x v="1"/>
    <n v="0.24"/>
    <s v="Winter"/>
    <s v="Weekend"/>
    <n v="0.2424"/>
    <n v="9.9383999999999997"/>
    <n v="0.7"/>
    <n v="0.16420000000000001"/>
    <x v="0"/>
    <x v="18"/>
    <n v="28"/>
  </r>
  <r>
    <s v="663"/>
    <d v="2011-01-30T00:00:00"/>
    <s v="Sunday"/>
    <x v="0"/>
    <n v="0"/>
    <n v="1"/>
    <x v="22"/>
    <b v="0"/>
    <n v="0"/>
    <x v="1"/>
    <n v="2"/>
    <x v="1"/>
    <n v="0.24"/>
    <s v="Winter"/>
    <s v="Weekend"/>
    <n v="0.2273"/>
    <n v="9.3193000000000001"/>
    <n v="0.7"/>
    <n v="0.19400000000000001"/>
    <x v="4"/>
    <x v="23"/>
    <n v="21"/>
  </r>
  <r>
    <s v="664"/>
    <d v="2011-01-30T00:00:00"/>
    <s v="Sunday"/>
    <x v="0"/>
    <n v="0"/>
    <n v="1"/>
    <x v="23"/>
    <b v="0"/>
    <n v="0"/>
    <x v="1"/>
    <n v="2"/>
    <x v="1"/>
    <n v="0.24"/>
    <s v="Winter"/>
    <s v="Weekend"/>
    <n v="0.21210000000000001"/>
    <n v="8.6961000000000013"/>
    <n v="0.65"/>
    <n v="0.28360000000000002"/>
    <x v="2"/>
    <x v="20"/>
    <n v="21"/>
  </r>
  <r>
    <s v="665"/>
    <d v="2011-01-31T00:00:00"/>
    <s v="Monday"/>
    <x v="0"/>
    <n v="0"/>
    <n v="1"/>
    <x v="0"/>
    <b v="0"/>
    <n v="1"/>
    <x v="2"/>
    <n v="2"/>
    <x v="1"/>
    <n v="0.24"/>
    <s v="Winter"/>
    <s v="Weekday"/>
    <n v="0.2273"/>
    <n v="9.3193000000000001"/>
    <n v="0.65"/>
    <n v="0.22389999999999999"/>
    <x v="5"/>
    <x v="8"/>
    <n v="7"/>
  </r>
  <r>
    <s v="666"/>
    <d v="2011-01-31T00:00:00"/>
    <s v="Monday"/>
    <x v="0"/>
    <n v="0"/>
    <n v="1"/>
    <x v="1"/>
    <b v="0"/>
    <n v="1"/>
    <x v="2"/>
    <n v="1"/>
    <x v="0"/>
    <n v="0.22"/>
    <s v="Winter"/>
    <s v="Weekday"/>
    <n v="0.21210000000000001"/>
    <n v="8.6961000000000013"/>
    <n v="0.64"/>
    <n v="0.25369999999999998"/>
    <x v="4"/>
    <x v="34"/>
    <n v="7"/>
  </r>
  <r>
    <s v="667"/>
    <d v="2011-01-31T00:00:00"/>
    <s v="Monday"/>
    <x v="0"/>
    <n v="0"/>
    <n v="1"/>
    <x v="2"/>
    <b v="0"/>
    <n v="1"/>
    <x v="2"/>
    <n v="1"/>
    <x v="0"/>
    <n v="0.22"/>
    <s v="Winter"/>
    <s v="Weekday"/>
    <n v="0.2273"/>
    <n v="9.3193000000000001"/>
    <n v="0.64"/>
    <n v="0.19400000000000001"/>
    <x v="3"/>
    <x v="4"/>
    <n v="1"/>
  </r>
  <r>
    <s v="668"/>
    <d v="2011-01-31T00:00:00"/>
    <s v="Monday"/>
    <x v="0"/>
    <n v="0"/>
    <n v="1"/>
    <x v="3"/>
    <b v="0"/>
    <n v="1"/>
    <x v="2"/>
    <n v="1"/>
    <x v="0"/>
    <n v="0.22"/>
    <s v="Winter"/>
    <s v="Weekday"/>
    <n v="0.2273"/>
    <n v="9.3193000000000001"/>
    <n v="0.64"/>
    <n v="0.19400000000000001"/>
    <x v="3"/>
    <x v="6"/>
    <n v="2"/>
  </r>
  <r>
    <s v="669"/>
    <d v="2011-01-31T00:00:00"/>
    <s v="Monday"/>
    <x v="0"/>
    <n v="0"/>
    <n v="1"/>
    <x v="4"/>
    <b v="0"/>
    <n v="1"/>
    <x v="2"/>
    <n v="1"/>
    <x v="0"/>
    <n v="0.2"/>
    <s v="Winter"/>
    <s v="Weekday"/>
    <n v="0.19700000000000001"/>
    <n v="8.077"/>
    <n v="0.59"/>
    <n v="0.22389999999999999"/>
    <x v="3"/>
    <x v="6"/>
    <n v="2"/>
  </r>
  <r>
    <s v="670"/>
    <d v="2011-01-31T00:00:00"/>
    <s v="Monday"/>
    <x v="0"/>
    <n v="0"/>
    <n v="1"/>
    <x v="5"/>
    <b v="0"/>
    <n v="1"/>
    <x v="2"/>
    <n v="1"/>
    <x v="0"/>
    <n v="0.18"/>
    <s v="Winter"/>
    <s v="Weekday"/>
    <n v="0.16669999999999999"/>
    <n v="6.8346999999999998"/>
    <n v="0.64"/>
    <n v="0.28360000000000002"/>
    <x v="3"/>
    <x v="21"/>
    <n v="8"/>
  </r>
  <r>
    <s v="671"/>
    <d v="2011-01-31T00:00:00"/>
    <s v="Monday"/>
    <x v="0"/>
    <n v="0"/>
    <n v="1"/>
    <x v="6"/>
    <b v="0"/>
    <n v="1"/>
    <x v="2"/>
    <n v="1"/>
    <x v="0"/>
    <n v="0.16"/>
    <s v="Winter"/>
    <s v="Weekday"/>
    <n v="0.13639999999999999"/>
    <n v="5.5923999999999996"/>
    <n v="0.69"/>
    <n v="0.32840000000000003"/>
    <x v="3"/>
    <x v="53"/>
    <n v="37"/>
  </r>
  <r>
    <s v="672"/>
    <d v="2011-01-31T00:00:00"/>
    <s v="Monday"/>
    <x v="0"/>
    <n v="0"/>
    <n v="1"/>
    <x v="7"/>
    <b v="0"/>
    <n v="1"/>
    <x v="2"/>
    <n v="2"/>
    <x v="1"/>
    <n v="0.16"/>
    <s v="Winter"/>
    <s v="Weekday"/>
    <n v="0.13639999999999999"/>
    <n v="5.5923999999999996"/>
    <n v="0.64"/>
    <n v="0.28360000000000002"/>
    <x v="5"/>
    <x v="13"/>
    <n v="72"/>
  </r>
  <r>
    <s v="673"/>
    <d v="2011-01-31T00:00:00"/>
    <s v="Monday"/>
    <x v="0"/>
    <n v="0"/>
    <n v="1"/>
    <x v="8"/>
    <b v="0"/>
    <n v="1"/>
    <x v="2"/>
    <n v="2"/>
    <x v="1"/>
    <n v="0.16"/>
    <s v="Winter"/>
    <s v="Weekday"/>
    <n v="0.13639999999999999"/>
    <n v="5.5923999999999996"/>
    <n v="0.59"/>
    <n v="0.28360000000000002"/>
    <x v="0"/>
    <x v="154"/>
    <n v="185"/>
  </r>
  <r>
    <s v="674"/>
    <d v="2011-01-31T00:00:00"/>
    <s v="Monday"/>
    <x v="0"/>
    <n v="0"/>
    <n v="1"/>
    <x v="9"/>
    <b v="0"/>
    <n v="1"/>
    <x v="2"/>
    <n v="2"/>
    <x v="1"/>
    <n v="0.16"/>
    <s v="Winter"/>
    <s v="Weekday"/>
    <n v="0.13639999999999999"/>
    <n v="5.5923999999999996"/>
    <n v="0.59"/>
    <n v="0.29849999999999999"/>
    <x v="3"/>
    <x v="155"/>
    <n v="112"/>
  </r>
  <r>
    <s v="675"/>
    <d v="2011-01-31T00:00:00"/>
    <s v="Monday"/>
    <x v="0"/>
    <n v="0"/>
    <n v="1"/>
    <x v="10"/>
    <b v="0"/>
    <n v="1"/>
    <x v="2"/>
    <n v="2"/>
    <x v="1"/>
    <n v="0.16"/>
    <s v="Winter"/>
    <s v="Weekday"/>
    <n v="0.1515"/>
    <n v="6.2115"/>
    <n v="0.59"/>
    <n v="0.19400000000000001"/>
    <x v="5"/>
    <x v="56"/>
    <n v="69"/>
  </r>
  <r>
    <s v="676"/>
    <d v="2011-01-31T00:00:00"/>
    <s v="Monday"/>
    <x v="0"/>
    <n v="0"/>
    <n v="1"/>
    <x v="11"/>
    <b v="0"/>
    <n v="1"/>
    <x v="2"/>
    <n v="2"/>
    <x v="1"/>
    <n v="0.16"/>
    <s v="Winter"/>
    <s v="Weekday"/>
    <n v="0.1515"/>
    <n v="6.2115"/>
    <n v="0.59"/>
    <n v="0.19400000000000001"/>
    <x v="4"/>
    <x v="24"/>
    <n v="48"/>
  </r>
  <r>
    <s v="677"/>
    <d v="2011-01-31T00:00:00"/>
    <s v="Monday"/>
    <x v="0"/>
    <n v="0"/>
    <n v="1"/>
    <x v="12"/>
    <b v="0"/>
    <n v="1"/>
    <x v="2"/>
    <n v="2"/>
    <x v="1"/>
    <n v="0.18"/>
    <s v="Winter"/>
    <s v="Weekday"/>
    <n v="0.21210000000000001"/>
    <n v="8.6961000000000013"/>
    <n v="0.55000000000000004"/>
    <n v="0.1045"/>
    <x v="15"/>
    <x v="133"/>
    <n v="68"/>
  </r>
  <r>
    <s v="678"/>
    <d v="2011-01-31T00:00:00"/>
    <s v="Monday"/>
    <x v="0"/>
    <n v="0"/>
    <n v="1"/>
    <x v="13"/>
    <b v="0"/>
    <n v="1"/>
    <x v="2"/>
    <n v="2"/>
    <x v="1"/>
    <n v="0.16"/>
    <s v="Winter"/>
    <s v="Weekday"/>
    <n v="0.2273"/>
    <n v="9.3193000000000001"/>
    <n v="0.59"/>
    <n v="0"/>
    <x v="4"/>
    <x v="15"/>
    <n v="54"/>
  </r>
  <r>
    <s v="679"/>
    <d v="2011-01-31T00:00:00"/>
    <s v="Monday"/>
    <x v="0"/>
    <n v="0"/>
    <n v="1"/>
    <x v="14"/>
    <b v="0"/>
    <n v="1"/>
    <x v="2"/>
    <n v="2"/>
    <x v="1"/>
    <n v="0.18"/>
    <s v="Winter"/>
    <s v="Weekday"/>
    <n v="0.19700000000000001"/>
    <n v="8.077"/>
    <n v="0.55000000000000004"/>
    <n v="0.1343"/>
    <x v="5"/>
    <x v="66"/>
    <n v="86"/>
  </r>
  <r>
    <s v="680"/>
    <d v="2011-01-31T00:00:00"/>
    <s v="Monday"/>
    <x v="0"/>
    <n v="0"/>
    <n v="1"/>
    <x v="15"/>
    <b v="0"/>
    <n v="1"/>
    <x v="2"/>
    <n v="2"/>
    <x v="1"/>
    <n v="0.16"/>
    <s v="Winter"/>
    <s v="Weekday"/>
    <n v="0.18179999999999999"/>
    <n v="7.4537999999999993"/>
    <n v="0.59"/>
    <n v="0.1343"/>
    <x v="0"/>
    <x v="40"/>
    <n v="44"/>
  </r>
  <r>
    <s v="681"/>
    <d v="2011-01-31T00:00:00"/>
    <s v="Monday"/>
    <x v="0"/>
    <n v="0"/>
    <n v="1"/>
    <x v="16"/>
    <b v="0"/>
    <n v="1"/>
    <x v="2"/>
    <n v="2"/>
    <x v="1"/>
    <n v="0.16"/>
    <s v="Winter"/>
    <s v="Weekday"/>
    <n v="0.18179999999999999"/>
    <n v="7.4537999999999993"/>
    <n v="0.56000000000000005"/>
    <n v="0.19400000000000001"/>
    <x v="0"/>
    <x v="93"/>
    <n v="86"/>
  </r>
  <r>
    <s v="682"/>
    <d v="2011-01-31T00:00:00"/>
    <s v="Monday"/>
    <x v="0"/>
    <n v="0"/>
    <n v="1"/>
    <x v="17"/>
    <b v="0"/>
    <n v="1"/>
    <x v="2"/>
    <n v="2"/>
    <x v="1"/>
    <n v="0.16"/>
    <s v="Winter"/>
    <s v="Weekday"/>
    <n v="0.1515"/>
    <n v="6.2115"/>
    <n v="0.59"/>
    <n v="0.19400000000000001"/>
    <x v="15"/>
    <x v="119"/>
    <n v="161"/>
  </r>
  <r>
    <s v="683"/>
    <d v="2011-01-31T00:00:00"/>
    <s v="Monday"/>
    <x v="0"/>
    <n v="0"/>
    <n v="1"/>
    <x v="18"/>
    <b v="0"/>
    <n v="1"/>
    <x v="2"/>
    <n v="2"/>
    <x v="1"/>
    <n v="0.16"/>
    <s v="Winter"/>
    <s v="Weekday"/>
    <n v="0.1515"/>
    <n v="6.2115"/>
    <n v="0.55000000000000004"/>
    <n v="0.22389999999999999"/>
    <x v="0"/>
    <x v="37"/>
    <n v="156"/>
  </r>
  <r>
    <s v="684"/>
    <d v="2011-01-31T00:00:00"/>
    <s v="Monday"/>
    <x v="0"/>
    <n v="0"/>
    <n v="1"/>
    <x v="19"/>
    <b v="0"/>
    <n v="1"/>
    <x v="2"/>
    <n v="1"/>
    <x v="0"/>
    <n v="0.3"/>
    <s v="Winter"/>
    <s v="Weekday"/>
    <n v="0.31819999999999998"/>
    <n v="13.046199999999999"/>
    <n v="0.61"/>
    <n v="0.1045"/>
    <x v="0"/>
    <x v="123"/>
    <n v="111"/>
  </r>
  <r>
    <s v="685"/>
    <d v="2011-01-31T00:00:00"/>
    <s v="Monday"/>
    <x v="0"/>
    <n v="0"/>
    <n v="1"/>
    <x v="20"/>
    <b v="0"/>
    <n v="1"/>
    <x v="2"/>
    <n v="3"/>
    <x v="2"/>
    <n v="0.16"/>
    <s v="Winter"/>
    <s v="Weekday"/>
    <n v="0.16669999999999999"/>
    <n v="6.8346999999999998"/>
    <n v="0.59"/>
    <n v="0.16420000000000001"/>
    <x v="3"/>
    <x v="78"/>
    <n v="78"/>
  </r>
  <r>
    <s v="686"/>
    <d v="2011-01-31T00:00:00"/>
    <s v="Monday"/>
    <x v="0"/>
    <n v="0"/>
    <n v="1"/>
    <x v="21"/>
    <b v="0"/>
    <n v="1"/>
    <x v="2"/>
    <n v="3"/>
    <x v="2"/>
    <n v="0.16"/>
    <s v="Winter"/>
    <s v="Weekday"/>
    <n v="0.19700000000000001"/>
    <n v="8.077"/>
    <n v="0.59"/>
    <n v="8.9599999999999999E-2"/>
    <x v="0"/>
    <x v="42"/>
    <n v="56"/>
  </r>
  <r>
    <s v="687"/>
    <d v="2011-01-31T00:00:00"/>
    <s v="Monday"/>
    <x v="0"/>
    <n v="0"/>
    <n v="1"/>
    <x v="22"/>
    <b v="0"/>
    <n v="1"/>
    <x v="2"/>
    <n v="2"/>
    <x v="1"/>
    <n v="0.16"/>
    <s v="Winter"/>
    <s v="Weekday"/>
    <n v="0.18179999999999999"/>
    <n v="7.4537999999999993"/>
    <n v="0.59"/>
    <n v="0.1045"/>
    <x v="3"/>
    <x v="60"/>
    <n v="34"/>
  </r>
  <r>
    <s v="688"/>
    <d v="2011-01-31T00:00:00"/>
    <s v="Monday"/>
    <x v="0"/>
    <n v="0"/>
    <n v="1"/>
    <x v="23"/>
    <b v="0"/>
    <n v="1"/>
    <x v="2"/>
    <n v="2"/>
    <x v="1"/>
    <n v="0.16"/>
    <s v="Winter"/>
    <s v="Weekday"/>
    <n v="0.19700000000000001"/>
    <n v="8.077"/>
    <n v="0.64"/>
    <n v="8.9599999999999999E-2"/>
    <x v="4"/>
    <x v="89"/>
    <n v="17"/>
  </r>
  <r>
    <s v="689"/>
    <d v="2011-01-02T00:00:00"/>
    <s v="Sunday"/>
    <x v="0"/>
    <n v="0"/>
    <n v="2"/>
    <x v="0"/>
    <b v="0"/>
    <n v="2"/>
    <x v="3"/>
    <n v="2"/>
    <x v="1"/>
    <n v="0.16"/>
    <s v="Winter"/>
    <s v="Weekend"/>
    <n v="0.18179999999999999"/>
    <n v="7.4537999999999993"/>
    <n v="0.64"/>
    <n v="0.1045"/>
    <x v="4"/>
    <x v="8"/>
    <n v="8"/>
  </r>
  <r>
    <s v="690"/>
    <d v="2011-01-02T00:00:00"/>
    <s v="Sunday"/>
    <x v="0"/>
    <n v="0"/>
    <n v="2"/>
    <x v="1"/>
    <b v="0"/>
    <n v="2"/>
    <x v="3"/>
    <n v="2"/>
    <x v="1"/>
    <n v="0.16"/>
    <s v="Winter"/>
    <s v="Weekend"/>
    <n v="0.18179999999999999"/>
    <n v="7.4537999999999993"/>
    <n v="0.69"/>
    <n v="0.1045"/>
    <x v="3"/>
    <x v="35"/>
    <n v="3"/>
  </r>
  <r>
    <s v="691"/>
    <d v="2011-01-02T00:00:00"/>
    <s v="Sunday"/>
    <x v="0"/>
    <n v="0"/>
    <n v="2"/>
    <x v="2"/>
    <b v="0"/>
    <n v="2"/>
    <x v="3"/>
    <n v="2"/>
    <x v="1"/>
    <n v="0.16"/>
    <s v="Winter"/>
    <s v="Weekend"/>
    <n v="0.2273"/>
    <n v="9.3193000000000001"/>
    <n v="0.69"/>
    <n v="0"/>
    <x v="3"/>
    <x v="6"/>
    <n v="2"/>
  </r>
  <r>
    <s v="692"/>
    <d v="2011-01-02T00:00:00"/>
    <s v="Sunday"/>
    <x v="0"/>
    <n v="0"/>
    <n v="2"/>
    <x v="3"/>
    <b v="0"/>
    <n v="2"/>
    <x v="3"/>
    <n v="2"/>
    <x v="1"/>
    <n v="0.16"/>
    <s v="Winter"/>
    <s v="Weekend"/>
    <n v="0.2273"/>
    <n v="9.3193000000000001"/>
    <n v="0.69"/>
    <n v="0"/>
    <x v="3"/>
    <x v="6"/>
    <n v="2"/>
  </r>
  <r>
    <s v="693"/>
    <d v="2011-01-02T00:00:00"/>
    <s v="Sunday"/>
    <x v="0"/>
    <n v="0"/>
    <n v="2"/>
    <x v="5"/>
    <b v="0"/>
    <n v="2"/>
    <x v="3"/>
    <n v="3"/>
    <x v="2"/>
    <n v="0.14000000000000001"/>
    <s v="Winter"/>
    <s v="Weekend"/>
    <n v="0.21210000000000001"/>
    <n v="8.6961000000000013"/>
    <n v="0.93"/>
    <n v="0"/>
    <x v="3"/>
    <x v="35"/>
    <n v="3"/>
  </r>
  <r>
    <s v="694"/>
    <d v="2011-01-02T00:00:00"/>
    <s v="Sunday"/>
    <x v="0"/>
    <n v="0"/>
    <n v="2"/>
    <x v="6"/>
    <b v="0"/>
    <n v="2"/>
    <x v="3"/>
    <n v="3"/>
    <x v="2"/>
    <n v="0.14000000000000001"/>
    <s v="Winter"/>
    <s v="Weekend"/>
    <n v="0.21210000000000001"/>
    <n v="8.6961000000000013"/>
    <n v="0.93"/>
    <n v="0"/>
    <x v="3"/>
    <x v="97"/>
    <n v="22"/>
  </r>
  <r>
    <s v="695"/>
    <d v="2011-01-02T00:00:00"/>
    <s v="Sunday"/>
    <x v="0"/>
    <n v="0"/>
    <n v="2"/>
    <x v="7"/>
    <b v="0"/>
    <n v="2"/>
    <x v="3"/>
    <n v="3"/>
    <x v="2"/>
    <n v="0.16"/>
    <s v="Winter"/>
    <s v="Weekend"/>
    <n v="0.2273"/>
    <n v="9.3193000000000001"/>
    <n v="0.93"/>
    <n v="0"/>
    <x v="3"/>
    <x v="15"/>
    <n v="52"/>
  </r>
  <r>
    <s v="696"/>
    <d v="2011-01-02T00:00:00"/>
    <s v="Sunday"/>
    <x v="0"/>
    <n v="0"/>
    <n v="2"/>
    <x v="8"/>
    <b v="0"/>
    <n v="2"/>
    <x v="3"/>
    <n v="3"/>
    <x v="2"/>
    <n v="0.16"/>
    <s v="Winter"/>
    <s v="Weekend"/>
    <n v="0.2273"/>
    <n v="9.3193000000000001"/>
    <n v="0.93"/>
    <n v="0"/>
    <x v="0"/>
    <x v="126"/>
    <n v="135"/>
  </r>
  <r>
    <s v="697"/>
    <d v="2011-01-02T00:00:00"/>
    <s v="Sunday"/>
    <x v="0"/>
    <n v="0"/>
    <n v="2"/>
    <x v="9"/>
    <b v="0"/>
    <n v="2"/>
    <x v="3"/>
    <n v="2"/>
    <x v="1"/>
    <n v="0.16"/>
    <s v="Winter"/>
    <s v="Weekend"/>
    <n v="0.2273"/>
    <n v="9.3193000000000001"/>
    <n v="0.93"/>
    <n v="0"/>
    <x v="4"/>
    <x v="156"/>
    <n v="116"/>
  </r>
  <r>
    <s v="698"/>
    <d v="2011-01-02T00:00:00"/>
    <s v="Sunday"/>
    <x v="0"/>
    <n v="0"/>
    <n v="2"/>
    <x v="10"/>
    <b v="0"/>
    <n v="2"/>
    <x v="3"/>
    <n v="2"/>
    <x v="1"/>
    <n v="0.16"/>
    <s v="Winter"/>
    <s v="Weekend"/>
    <n v="0.2273"/>
    <n v="9.3193000000000001"/>
    <n v="0.93"/>
    <n v="0"/>
    <x v="3"/>
    <x v="12"/>
    <n v="47"/>
  </r>
  <r>
    <s v="699"/>
    <d v="2011-01-02T00:00:00"/>
    <s v="Sunday"/>
    <x v="0"/>
    <n v="0"/>
    <n v="2"/>
    <x v="11"/>
    <b v="0"/>
    <n v="2"/>
    <x v="3"/>
    <n v="2"/>
    <x v="1"/>
    <n v="0.18"/>
    <s v="Winter"/>
    <s v="Weekend"/>
    <n v="0.2424"/>
    <n v="9.9383999999999997"/>
    <n v="0.86"/>
    <n v="0"/>
    <x v="4"/>
    <x v="47"/>
    <n v="51"/>
  </r>
  <r>
    <s v="700"/>
    <d v="2011-01-02T00:00:00"/>
    <s v="Sunday"/>
    <x v="0"/>
    <n v="0"/>
    <n v="2"/>
    <x v="12"/>
    <b v="0"/>
    <n v="2"/>
    <x v="3"/>
    <n v="2"/>
    <x v="1"/>
    <n v="0.2"/>
    <s v="Winter"/>
    <s v="Weekend"/>
    <n v="0.2576"/>
    <n v="10.5616"/>
    <n v="0.86"/>
    <n v="0"/>
    <x v="4"/>
    <x v="42"/>
    <n v="55"/>
  </r>
  <r>
    <s v="701"/>
    <d v="2011-01-02T00:00:00"/>
    <s v="Sunday"/>
    <x v="0"/>
    <n v="0"/>
    <n v="2"/>
    <x v="13"/>
    <b v="0"/>
    <n v="2"/>
    <x v="3"/>
    <n v="2"/>
    <x v="1"/>
    <n v="0.2"/>
    <s v="Winter"/>
    <s v="Weekend"/>
    <n v="0.2576"/>
    <n v="10.5616"/>
    <n v="0.86"/>
    <n v="0"/>
    <x v="0"/>
    <x v="47"/>
    <n v="52"/>
  </r>
  <r>
    <s v="702"/>
    <d v="2011-01-02T00:00:00"/>
    <s v="Sunday"/>
    <x v="0"/>
    <n v="0"/>
    <n v="2"/>
    <x v="14"/>
    <b v="0"/>
    <n v="2"/>
    <x v="3"/>
    <n v="2"/>
    <x v="1"/>
    <n v="0.22"/>
    <s v="Winter"/>
    <s v="Weekend"/>
    <n v="0.2576"/>
    <n v="10.5616"/>
    <n v="0.8"/>
    <n v="8.9599999999999999E-2"/>
    <x v="2"/>
    <x v="47"/>
    <n v="54"/>
  </r>
  <r>
    <s v="703"/>
    <d v="2011-01-02T00:00:00"/>
    <s v="Sunday"/>
    <x v="0"/>
    <n v="0"/>
    <n v="2"/>
    <x v="15"/>
    <b v="0"/>
    <n v="2"/>
    <x v="3"/>
    <n v="2"/>
    <x v="1"/>
    <n v="0.24"/>
    <s v="Winter"/>
    <s v="Weekend"/>
    <n v="0.28789999999999999"/>
    <n v="11.803899999999999"/>
    <n v="0.75"/>
    <n v="0"/>
    <x v="18"/>
    <x v="108"/>
    <n v="52"/>
  </r>
  <r>
    <s v="704"/>
    <d v="2011-01-02T00:00:00"/>
    <s v="Sunday"/>
    <x v="0"/>
    <n v="0"/>
    <n v="2"/>
    <x v="16"/>
    <b v="0"/>
    <n v="2"/>
    <x v="3"/>
    <n v="2"/>
    <x v="1"/>
    <n v="0.24"/>
    <s v="Winter"/>
    <s v="Weekend"/>
    <n v="0.2424"/>
    <n v="9.9383999999999997"/>
    <n v="0.75"/>
    <n v="0.1343"/>
    <x v="0"/>
    <x v="124"/>
    <n v="64"/>
  </r>
  <r>
    <s v="705"/>
    <d v="2011-01-02T00:00:00"/>
    <s v="Sunday"/>
    <x v="0"/>
    <n v="0"/>
    <n v="2"/>
    <x v="17"/>
    <b v="0"/>
    <n v="2"/>
    <x v="3"/>
    <n v="2"/>
    <x v="1"/>
    <n v="0.24"/>
    <s v="Winter"/>
    <s v="Weekend"/>
    <n v="0.28789999999999999"/>
    <n v="11.803899999999999"/>
    <n v="0.75"/>
    <n v="0"/>
    <x v="17"/>
    <x v="157"/>
    <n v="176"/>
  </r>
  <r>
    <s v="706"/>
    <d v="2011-01-02T00:00:00"/>
    <s v="Sunday"/>
    <x v="0"/>
    <n v="0"/>
    <n v="2"/>
    <x v="18"/>
    <b v="0"/>
    <n v="2"/>
    <x v="3"/>
    <n v="2"/>
    <x v="1"/>
    <n v="0.24"/>
    <s v="Winter"/>
    <s v="Weekend"/>
    <n v="0.2576"/>
    <n v="10.5616"/>
    <n v="0.81"/>
    <n v="0.1045"/>
    <x v="0"/>
    <x v="158"/>
    <n v="168"/>
  </r>
  <r>
    <s v="707"/>
    <d v="2011-01-02T00:00:00"/>
    <s v="Sunday"/>
    <x v="0"/>
    <n v="0"/>
    <n v="2"/>
    <x v="19"/>
    <b v="0"/>
    <n v="2"/>
    <x v="3"/>
    <n v="2"/>
    <x v="1"/>
    <n v="0.24"/>
    <s v="Winter"/>
    <s v="Weekend"/>
    <n v="0.2424"/>
    <n v="9.9383999999999997"/>
    <n v="0.81"/>
    <n v="0.1343"/>
    <x v="0"/>
    <x v="159"/>
    <n v="108"/>
  </r>
  <r>
    <s v="708"/>
    <d v="2011-01-02T00:00:00"/>
    <s v="Sunday"/>
    <x v="0"/>
    <n v="0"/>
    <n v="2"/>
    <x v="20"/>
    <b v="0"/>
    <n v="2"/>
    <x v="3"/>
    <n v="2"/>
    <x v="1"/>
    <n v="0.22"/>
    <s v="Winter"/>
    <s v="Weekend"/>
    <n v="0.2273"/>
    <n v="9.3193000000000001"/>
    <n v="0.87"/>
    <n v="0.1343"/>
    <x v="2"/>
    <x v="94"/>
    <n v="74"/>
  </r>
  <r>
    <s v="709"/>
    <d v="2011-01-02T00:00:00"/>
    <s v="Sunday"/>
    <x v="0"/>
    <n v="0"/>
    <n v="2"/>
    <x v="21"/>
    <b v="0"/>
    <n v="2"/>
    <x v="3"/>
    <n v="2"/>
    <x v="1"/>
    <n v="0.22"/>
    <s v="Winter"/>
    <s v="Weekend"/>
    <n v="0.2273"/>
    <n v="9.3193000000000001"/>
    <n v="0.87"/>
    <n v="0.1343"/>
    <x v="3"/>
    <x v="27"/>
    <n v="64"/>
  </r>
  <r>
    <s v="710"/>
    <d v="2011-01-02T00:00:00"/>
    <s v="Sunday"/>
    <x v="0"/>
    <n v="0"/>
    <n v="2"/>
    <x v="22"/>
    <b v="0"/>
    <n v="2"/>
    <x v="3"/>
    <n v="2"/>
    <x v="1"/>
    <n v="0.22"/>
    <s v="Winter"/>
    <s v="Weekend"/>
    <n v="0.2576"/>
    <n v="10.5616"/>
    <n v="0.87"/>
    <n v="8.9599999999999999E-2"/>
    <x v="4"/>
    <x v="60"/>
    <n v="36"/>
  </r>
  <r>
    <s v="711"/>
    <d v="2011-01-02T00:00:00"/>
    <s v="Sunday"/>
    <x v="0"/>
    <n v="0"/>
    <n v="2"/>
    <x v="23"/>
    <b v="0"/>
    <n v="2"/>
    <x v="3"/>
    <n v="3"/>
    <x v="2"/>
    <n v="0.2"/>
    <s v="Winter"/>
    <s v="Weekend"/>
    <n v="0.19700000000000001"/>
    <n v="8.077"/>
    <n v="0.93"/>
    <n v="0.19400000000000001"/>
    <x v="5"/>
    <x v="89"/>
    <n v="16"/>
  </r>
  <r>
    <s v="712"/>
    <d v="2011-02-02T00:00:00"/>
    <s v="Wednesday"/>
    <x v="0"/>
    <n v="0"/>
    <n v="2"/>
    <x v="0"/>
    <b v="0"/>
    <n v="3"/>
    <x v="4"/>
    <n v="3"/>
    <x v="2"/>
    <n v="0.22"/>
    <s v="Winter"/>
    <s v="Weekday"/>
    <n v="0.2424"/>
    <n v="9.9383999999999997"/>
    <n v="0.93"/>
    <n v="0.1045"/>
    <x v="3"/>
    <x v="6"/>
    <n v="2"/>
  </r>
  <r>
    <s v="713"/>
    <d v="2011-02-02T00:00:00"/>
    <s v="Wednesday"/>
    <x v="0"/>
    <n v="0"/>
    <n v="2"/>
    <x v="1"/>
    <b v="0"/>
    <n v="3"/>
    <x v="4"/>
    <n v="3"/>
    <x v="2"/>
    <n v="0.22"/>
    <s v="Winter"/>
    <s v="Weekday"/>
    <n v="0.2273"/>
    <n v="9.3193000000000001"/>
    <n v="0.93"/>
    <n v="0.19400000000000001"/>
    <x v="3"/>
    <x v="35"/>
    <n v="3"/>
  </r>
  <r>
    <s v="714"/>
    <d v="2011-02-02T00:00:00"/>
    <s v="Wednesday"/>
    <x v="0"/>
    <n v="0"/>
    <n v="2"/>
    <x v="2"/>
    <b v="0"/>
    <n v="3"/>
    <x v="4"/>
    <n v="3"/>
    <x v="2"/>
    <n v="0.22"/>
    <s v="Winter"/>
    <s v="Weekday"/>
    <n v="0.2273"/>
    <n v="9.3193000000000001"/>
    <n v="0.93"/>
    <n v="0.1343"/>
    <x v="17"/>
    <x v="5"/>
    <n v="4"/>
  </r>
  <r>
    <s v="715"/>
    <d v="2011-02-02T00:00:00"/>
    <s v="Wednesday"/>
    <x v="0"/>
    <n v="0"/>
    <n v="2"/>
    <x v="3"/>
    <b v="0"/>
    <n v="3"/>
    <x v="4"/>
    <n v="3"/>
    <x v="2"/>
    <n v="0.22"/>
    <s v="Winter"/>
    <s v="Weekday"/>
    <n v="0.2273"/>
    <n v="9.3193000000000001"/>
    <n v="0.93"/>
    <n v="0.1343"/>
    <x v="3"/>
    <x v="4"/>
    <n v="1"/>
  </r>
  <r>
    <s v="716"/>
    <d v="2011-02-02T00:00:00"/>
    <s v="Wednesday"/>
    <x v="0"/>
    <n v="0"/>
    <n v="2"/>
    <x v="4"/>
    <b v="0"/>
    <n v="3"/>
    <x v="4"/>
    <n v="3"/>
    <x v="2"/>
    <n v="0.22"/>
    <s v="Winter"/>
    <s v="Weekday"/>
    <n v="0.21210000000000001"/>
    <n v="8.6961000000000013"/>
    <n v="0.93"/>
    <n v="0.28360000000000002"/>
    <x v="3"/>
    <x v="4"/>
    <n v="1"/>
  </r>
  <r>
    <s v="717"/>
    <d v="2011-02-02T00:00:00"/>
    <s v="Wednesday"/>
    <x v="0"/>
    <n v="0"/>
    <n v="2"/>
    <x v="5"/>
    <b v="0"/>
    <n v="3"/>
    <x v="4"/>
    <n v="3"/>
    <x v="2"/>
    <n v="0.22"/>
    <s v="Winter"/>
    <s v="Weekday"/>
    <n v="0.2424"/>
    <n v="9.9383999999999997"/>
    <n v="0.93"/>
    <n v="0.1045"/>
    <x v="3"/>
    <x v="35"/>
    <n v="3"/>
  </r>
  <r>
    <s v="718"/>
    <d v="2011-02-02T00:00:00"/>
    <s v="Wednesday"/>
    <x v="0"/>
    <n v="0"/>
    <n v="2"/>
    <x v="6"/>
    <b v="0"/>
    <n v="3"/>
    <x v="4"/>
    <n v="3"/>
    <x v="2"/>
    <n v="0.22"/>
    <s v="Winter"/>
    <s v="Weekday"/>
    <n v="0.2424"/>
    <n v="9.9383999999999997"/>
    <n v="0.93"/>
    <n v="0.1045"/>
    <x v="5"/>
    <x v="19"/>
    <n v="18"/>
  </r>
  <r>
    <s v="719"/>
    <d v="2011-02-02T00:00:00"/>
    <s v="Wednesday"/>
    <x v="0"/>
    <n v="0"/>
    <n v="2"/>
    <x v="7"/>
    <b v="0"/>
    <n v="3"/>
    <x v="4"/>
    <n v="3"/>
    <x v="2"/>
    <n v="0.22"/>
    <s v="Winter"/>
    <s v="Weekday"/>
    <n v="0.21210000000000001"/>
    <n v="8.6961000000000013"/>
    <n v="0.93"/>
    <n v="0.22389999999999999"/>
    <x v="5"/>
    <x v="41"/>
    <n v="49"/>
  </r>
  <r>
    <s v="720"/>
    <d v="2011-02-02T00:00:00"/>
    <s v="Wednesday"/>
    <x v="0"/>
    <n v="0"/>
    <n v="2"/>
    <x v="8"/>
    <b v="0"/>
    <n v="3"/>
    <x v="4"/>
    <n v="3"/>
    <x v="2"/>
    <n v="0.22"/>
    <s v="Winter"/>
    <s v="Weekday"/>
    <n v="0.21210000000000001"/>
    <n v="8.6961000000000013"/>
    <n v="0.93"/>
    <n v="0.22389999999999999"/>
    <x v="5"/>
    <x v="105"/>
    <n v="155"/>
  </r>
  <r>
    <s v="721"/>
    <d v="2011-02-02T00:00:00"/>
    <s v="Wednesday"/>
    <x v="0"/>
    <n v="0"/>
    <n v="2"/>
    <x v="9"/>
    <b v="0"/>
    <n v="3"/>
    <x v="4"/>
    <n v="2"/>
    <x v="1"/>
    <n v="0.24"/>
    <s v="Winter"/>
    <s v="Weekday"/>
    <n v="0.2576"/>
    <n v="10.5616"/>
    <n v="0.93"/>
    <n v="8.9599999999999999E-2"/>
    <x v="17"/>
    <x v="138"/>
    <n v="123"/>
  </r>
  <r>
    <s v="722"/>
    <d v="2011-02-02T00:00:00"/>
    <s v="Wednesday"/>
    <x v="0"/>
    <n v="0"/>
    <n v="2"/>
    <x v="10"/>
    <b v="0"/>
    <n v="3"/>
    <x v="4"/>
    <n v="2"/>
    <x v="1"/>
    <n v="0.22"/>
    <s v="Winter"/>
    <s v="Weekday"/>
    <n v="0.2727"/>
    <n v="11.1807"/>
    <n v="1"/>
    <n v="0"/>
    <x v="4"/>
    <x v="79"/>
    <n v="61"/>
  </r>
  <r>
    <s v="723"/>
    <d v="2011-02-02T00:00:00"/>
    <s v="Wednesday"/>
    <x v="0"/>
    <n v="0"/>
    <n v="2"/>
    <x v="11"/>
    <b v="0"/>
    <n v="3"/>
    <x v="4"/>
    <n v="2"/>
    <x v="1"/>
    <n v="0.24"/>
    <s v="Winter"/>
    <s v="Weekday"/>
    <n v="0.2273"/>
    <n v="9.3193000000000001"/>
    <n v="0.93"/>
    <n v="0.19400000000000001"/>
    <x v="2"/>
    <x v="12"/>
    <n v="52"/>
  </r>
  <r>
    <s v="724"/>
    <d v="2011-02-02T00:00:00"/>
    <s v="Wednesday"/>
    <x v="0"/>
    <n v="0"/>
    <n v="2"/>
    <x v="12"/>
    <b v="0"/>
    <n v="3"/>
    <x v="4"/>
    <n v="2"/>
    <x v="1"/>
    <n v="0.24"/>
    <s v="Winter"/>
    <s v="Weekday"/>
    <n v="0.2273"/>
    <n v="9.3193000000000001"/>
    <n v="0.93"/>
    <n v="0.22389999999999999"/>
    <x v="0"/>
    <x v="124"/>
    <n v="64"/>
  </r>
  <r>
    <s v="725"/>
    <d v="2011-02-02T00:00:00"/>
    <s v="Wednesday"/>
    <x v="0"/>
    <n v="0"/>
    <n v="2"/>
    <x v="13"/>
    <b v="0"/>
    <n v="3"/>
    <x v="4"/>
    <n v="1"/>
    <x v="0"/>
    <n v="0.34"/>
    <s v="Winter"/>
    <s v="Weekday"/>
    <n v="0.33329999999999999"/>
    <n v="13.6653"/>
    <n v="0.93"/>
    <n v="0.16420000000000001"/>
    <x v="5"/>
    <x v="64"/>
    <n v="75"/>
  </r>
  <r>
    <s v="726"/>
    <d v="2011-02-02T00:00:00"/>
    <s v="Wednesday"/>
    <x v="0"/>
    <n v="0"/>
    <n v="2"/>
    <x v="14"/>
    <b v="0"/>
    <n v="3"/>
    <x v="4"/>
    <n v="1"/>
    <x v="0"/>
    <n v="0.38"/>
    <s v="Winter"/>
    <s v="Weekday"/>
    <n v="0.39389999999999997"/>
    <n v="16.149899999999999"/>
    <n v="0.82"/>
    <n v="0.3881"/>
    <x v="4"/>
    <x v="124"/>
    <n v="63"/>
  </r>
  <r>
    <s v="727"/>
    <d v="2011-02-02T00:00:00"/>
    <s v="Wednesday"/>
    <x v="0"/>
    <n v="0"/>
    <n v="2"/>
    <x v="15"/>
    <b v="0"/>
    <n v="3"/>
    <x v="4"/>
    <n v="1"/>
    <x v="0"/>
    <n v="0.38"/>
    <s v="Winter"/>
    <s v="Weekday"/>
    <n v="0.39389999999999997"/>
    <n v="16.149899999999999"/>
    <n v="0.76"/>
    <n v="0.32840000000000003"/>
    <x v="22"/>
    <x v="43"/>
    <n v="76"/>
  </r>
  <r>
    <s v="728"/>
    <d v="2011-02-02T00:00:00"/>
    <s v="Wednesday"/>
    <x v="0"/>
    <n v="0"/>
    <n v="2"/>
    <x v="16"/>
    <b v="0"/>
    <n v="3"/>
    <x v="4"/>
    <n v="1"/>
    <x v="0"/>
    <n v="0.36"/>
    <s v="Winter"/>
    <s v="Weekday"/>
    <n v="0.33329999999999999"/>
    <n v="13.6653"/>
    <n v="0.71"/>
    <n v="0.29849999999999999"/>
    <x v="1"/>
    <x v="73"/>
    <n v="103"/>
  </r>
  <r>
    <s v="729"/>
    <d v="2011-02-02T00:00:00"/>
    <s v="Wednesday"/>
    <x v="0"/>
    <n v="0"/>
    <n v="2"/>
    <x v="17"/>
    <b v="0"/>
    <n v="3"/>
    <x v="4"/>
    <n v="1"/>
    <x v="0"/>
    <n v="0.36"/>
    <s v="Winter"/>
    <s v="Weekday"/>
    <n v="0.31819999999999998"/>
    <n v="13.046199999999999"/>
    <n v="0.53"/>
    <n v="0.52239999999999998"/>
    <x v="18"/>
    <x v="160"/>
    <n v="190"/>
  </r>
  <r>
    <s v="730"/>
    <d v="2011-02-02T00:00:00"/>
    <s v="Wednesday"/>
    <x v="0"/>
    <n v="0"/>
    <n v="2"/>
    <x v="18"/>
    <b v="0"/>
    <n v="3"/>
    <x v="4"/>
    <n v="1"/>
    <x v="0"/>
    <n v="0.34"/>
    <s v="Winter"/>
    <s v="Weekday"/>
    <n v="0.28789999999999999"/>
    <n v="11.803899999999999"/>
    <n v="0.42"/>
    <n v="0.55220000000000002"/>
    <x v="18"/>
    <x v="161"/>
    <n v="182"/>
  </r>
  <r>
    <s v="731"/>
    <d v="2011-02-02T00:00:00"/>
    <s v="Wednesday"/>
    <x v="0"/>
    <n v="0"/>
    <n v="2"/>
    <x v="19"/>
    <b v="0"/>
    <n v="3"/>
    <x v="4"/>
    <n v="1"/>
    <x v="0"/>
    <n v="0.28000000000000003"/>
    <s v="Winter"/>
    <s v="Weekday"/>
    <n v="0.2424"/>
    <n v="9.9383999999999997"/>
    <n v="0.45"/>
    <n v="0.49249999999999999"/>
    <x v="0"/>
    <x v="152"/>
    <n v="91"/>
  </r>
  <r>
    <s v="732"/>
    <d v="2011-02-02T00:00:00"/>
    <s v="Wednesday"/>
    <x v="0"/>
    <n v="0"/>
    <n v="2"/>
    <x v="20"/>
    <b v="0"/>
    <n v="3"/>
    <x v="4"/>
    <n v="1"/>
    <x v="0"/>
    <n v="0.24"/>
    <s v="Winter"/>
    <s v="Weekday"/>
    <n v="0.19700000000000001"/>
    <n v="8.077"/>
    <n v="0.48"/>
    <n v="0.55220000000000002"/>
    <x v="17"/>
    <x v="13"/>
    <n v="75"/>
  </r>
  <r>
    <s v="733"/>
    <d v="2011-02-02T00:00:00"/>
    <s v="Wednesday"/>
    <x v="0"/>
    <n v="0"/>
    <n v="2"/>
    <x v="21"/>
    <b v="0"/>
    <n v="3"/>
    <x v="4"/>
    <n v="1"/>
    <x v="0"/>
    <n v="0.22"/>
    <s v="Winter"/>
    <s v="Weekday"/>
    <n v="0.19700000000000001"/>
    <n v="8.077"/>
    <n v="0.47"/>
    <n v="0.32840000000000003"/>
    <x v="5"/>
    <x v="133"/>
    <n v="63"/>
  </r>
  <r>
    <s v="734"/>
    <d v="2011-02-02T00:00:00"/>
    <s v="Wednesday"/>
    <x v="0"/>
    <n v="0"/>
    <n v="2"/>
    <x v="22"/>
    <b v="0"/>
    <n v="3"/>
    <x v="4"/>
    <n v="1"/>
    <x v="0"/>
    <n v="0.22"/>
    <s v="Winter"/>
    <s v="Weekday"/>
    <n v="0.21210000000000001"/>
    <n v="8.6961000000000013"/>
    <n v="0.44"/>
    <n v="0.25369999999999998"/>
    <x v="2"/>
    <x v="96"/>
    <n v="40"/>
  </r>
  <r>
    <s v="735"/>
    <d v="2011-02-02T00:00:00"/>
    <s v="Wednesday"/>
    <x v="0"/>
    <n v="0"/>
    <n v="2"/>
    <x v="23"/>
    <b v="0"/>
    <n v="3"/>
    <x v="4"/>
    <n v="1"/>
    <x v="0"/>
    <n v="0.2"/>
    <s v="Winter"/>
    <s v="Weekday"/>
    <n v="0.16669999999999999"/>
    <n v="6.8346999999999998"/>
    <n v="0.44"/>
    <n v="0.44779999999999998"/>
    <x v="0"/>
    <x v="31"/>
    <n v="32"/>
  </r>
  <r>
    <s v="736"/>
    <d v="2011-03-02T00:00:00"/>
    <s v="Wednesday"/>
    <x v="0"/>
    <n v="0"/>
    <n v="2"/>
    <x v="0"/>
    <b v="0"/>
    <n v="4"/>
    <x v="5"/>
    <n v="1"/>
    <x v="0"/>
    <n v="0.2"/>
    <s v="Winter"/>
    <s v="Weekday"/>
    <n v="0.16669999999999999"/>
    <n v="6.8346999999999998"/>
    <n v="0.4"/>
    <n v="0.44779999999999998"/>
    <x v="5"/>
    <x v="48"/>
    <n v="12"/>
  </r>
  <r>
    <s v="737"/>
    <d v="2011-03-02T00:00:00"/>
    <s v="Wednesday"/>
    <x v="0"/>
    <n v="0"/>
    <n v="2"/>
    <x v="1"/>
    <b v="0"/>
    <n v="4"/>
    <x v="5"/>
    <n v="1"/>
    <x v="0"/>
    <n v="0.2"/>
    <s v="Winter"/>
    <s v="Weekday"/>
    <n v="0.1515"/>
    <n v="6.2115"/>
    <n v="0.44"/>
    <n v="0.52239999999999998"/>
    <x v="3"/>
    <x v="34"/>
    <n v="5"/>
  </r>
  <r>
    <s v="738"/>
    <d v="2011-03-02T00:00:00"/>
    <s v="Wednesday"/>
    <x v="0"/>
    <n v="0"/>
    <n v="2"/>
    <x v="2"/>
    <b v="0"/>
    <n v="4"/>
    <x v="5"/>
    <n v="1"/>
    <x v="0"/>
    <n v="0.18"/>
    <s v="Winter"/>
    <s v="Weekday"/>
    <n v="0.16669999999999999"/>
    <n v="6.8346999999999998"/>
    <n v="0.43"/>
    <n v="0.25369999999999998"/>
    <x v="3"/>
    <x v="6"/>
    <n v="2"/>
  </r>
  <r>
    <s v="739"/>
    <d v="2011-03-02T00:00:00"/>
    <s v="Wednesday"/>
    <x v="0"/>
    <n v="0"/>
    <n v="2"/>
    <x v="3"/>
    <b v="0"/>
    <n v="4"/>
    <x v="5"/>
    <n v="1"/>
    <x v="0"/>
    <n v="0.18"/>
    <s v="Winter"/>
    <s v="Weekday"/>
    <n v="0.16669999999999999"/>
    <n v="6.8346999999999998"/>
    <n v="0.43"/>
    <n v="0.25369999999999998"/>
    <x v="3"/>
    <x v="4"/>
    <n v="1"/>
  </r>
  <r>
    <s v="740"/>
    <d v="2011-03-02T00:00:00"/>
    <s v="Wednesday"/>
    <x v="0"/>
    <n v="0"/>
    <n v="2"/>
    <x v="5"/>
    <b v="0"/>
    <n v="4"/>
    <x v="5"/>
    <n v="1"/>
    <x v="0"/>
    <n v="0.16"/>
    <s v="Winter"/>
    <s v="Weekday"/>
    <n v="0.13639999999999999"/>
    <n v="5.5923999999999996"/>
    <n v="0.5"/>
    <n v="0.29849999999999999"/>
    <x v="3"/>
    <x v="6"/>
    <n v="2"/>
  </r>
  <r>
    <s v="741"/>
    <d v="2011-03-02T00:00:00"/>
    <s v="Wednesday"/>
    <x v="0"/>
    <n v="0"/>
    <n v="2"/>
    <x v="6"/>
    <b v="0"/>
    <n v="4"/>
    <x v="5"/>
    <n v="1"/>
    <x v="0"/>
    <n v="0.16"/>
    <s v="Winter"/>
    <s v="Weekday"/>
    <n v="0.13639999999999999"/>
    <n v="5.5923999999999996"/>
    <n v="0.43"/>
    <n v="0.35820000000000002"/>
    <x v="3"/>
    <x v="87"/>
    <n v="39"/>
  </r>
  <r>
    <s v="742"/>
    <d v="2011-03-02T00:00:00"/>
    <s v="Wednesday"/>
    <x v="0"/>
    <n v="0"/>
    <n v="2"/>
    <x v="7"/>
    <b v="0"/>
    <n v="4"/>
    <x v="5"/>
    <n v="1"/>
    <x v="0"/>
    <n v="0.14000000000000001"/>
    <s v="Winter"/>
    <s v="Weekday"/>
    <n v="0.1212"/>
    <n v="4.9691999999999998"/>
    <n v="0.5"/>
    <n v="0.32840000000000003"/>
    <x v="5"/>
    <x v="132"/>
    <n v="87"/>
  </r>
  <r>
    <s v="743"/>
    <d v="2011-03-02T00:00:00"/>
    <s v="Wednesday"/>
    <x v="0"/>
    <n v="0"/>
    <n v="2"/>
    <x v="8"/>
    <b v="0"/>
    <n v="4"/>
    <x v="5"/>
    <n v="1"/>
    <x v="0"/>
    <n v="0.14000000000000001"/>
    <s v="Winter"/>
    <s v="Weekday"/>
    <n v="0.1212"/>
    <n v="4.9691999999999998"/>
    <n v="0.5"/>
    <n v="0.35820000000000002"/>
    <x v="17"/>
    <x v="103"/>
    <n v="188"/>
  </r>
  <r>
    <s v="744"/>
    <d v="2011-03-02T00:00:00"/>
    <s v="Wednesday"/>
    <x v="0"/>
    <n v="0"/>
    <n v="2"/>
    <x v="9"/>
    <b v="0"/>
    <n v="4"/>
    <x v="5"/>
    <n v="1"/>
    <x v="0"/>
    <n v="0.16"/>
    <s v="Winter"/>
    <s v="Weekday"/>
    <n v="0.13639999999999999"/>
    <n v="5.5923999999999996"/>
    <n v="0.47"/>
    <n v="0.29849999999999999"/>
    <x v="15"/>
    <x v="69"/>
    <n v="133"/>
  </r>
  <r>
    <s v="745"/>
    <d v="2011-03-02T00:00:00"/>
    <s v="Wednesday"/>
    <x v="0"/>
    <n v="0"/>
    <n v="2"/>
    <x v="10"/>
    <b v="0"/>
    <n v="4"/>
    <x v="5"/>
    <n v="1"/>
    <x v="0"/>
    <n v="0.18"/>
    <s v="Winter"/>
    <s v="Weekday"/>
    <n v="0.1515"/>
    <n v="6.2115"/>
    <n v="0.43"/>
    <n v="0.32840000000000003"/>
    <x v="4"/>
    <x v="54"/>
    <n v="52"/>
  </r>
  <r>
    <s v="746"/>
    <d v="2011-03-02T00:00:00"/>
    <s v="Wednesday"/>
    <x v="0"/>
    <n v="0"/>
    <n v="2"/>
    <x v="11"/>
    <b v="0"/>
    <n v="4"/>
    <x v="5"/>
    <n v="1"/>
    <x v="0"/>
    <n v="0.18"/>
    <s v="Winter"/>
    <s v="Weekday"/>
    <n v="0.13639999999999999"/>
    <n v="5.5923999999999996"/>
    <n v="0.43"/>
    <n v="0.44779999999999998"/>
    <x v="14"/>
    <x v="11"/>
    <n v="64"/>
  </r>
  <r>
    <s v="747"/>
    <d v="2011-03-02T00:00:00"/>
    <s v="Wednesday"/>
    <x v="0"/>
    <n v="0"/>
    <n v="2"/>
    <x v="12"/>
    <b v="0"/>
    <n v="4"/>
    <x v="5"/>
    <n v="1"/>
    <x v="0"/>
    <n v="0.2"/>
    <s v="Winter"/>
    <s v="Weekday"/>
    <n v="0.18179999999999999"/>
    <n v="7.4537999999999993"/>
    <n v="0.4"/>
    <n v="0.35820000000000002"/>
    <x v="4"/>
    <x v="28"/>
    <n v="69"/>
  </r>
  <r>
    <s v="748"/>
    <d v="2011-03-02T00:00:00"/>
    <s v="Wednesday"/>
    <x v="0"/>
    <n v="0"/>
    <n v="2"/>
    <x v="13"/>
    <b v="0"/>
    <n v="4"/>
    <x v="5"/>
    <n v="1"/>
    <x v="0"/>
    <n v="0.2"/>
    <s v="Winter"/>
    <s v="Weekday"/>
    <n v="0.16669999999999999"/>
    <n v="6.8346999999999998"/>
    <n v="0.4"/>
    <n v="0.41789999999999999"/>
    <x v="17"/>
    <x v="12"/>
    <n v="51"/>
  </r>
  <r>
    <s v="749"/>
    <d v="2011-03-02T00:00:00"/>
    <s v="Wednesday"/>
    <x v="0"/>
    <n v="0"/>
    <n v="2"/>
    <x v="14"/>
    <b v="0"/>
    <n v="4"/>
    <x v="5"/>
    <n v="1"/>
    <x v="0"/>
    <n v="0.22"/>
    <s v="Winter"/>
    <s v="Weekday"/>
    <n v="0.19700000000000001"/>
    <n v="8.077"/>
    <n v="0.37"/>
    <n v="0.3881"/>
    <x v="17"/>
    <x v="30"/>
    <n v="47"/>
  </r>
  <r>
    <s v="750"/>
    <d v="2011-03-02T00:00:00"/>
    <s v="Wednesday"/>
    <x v="0"/>
    <n v="0"/>
    <n v="2"/>
    <x v="15"/>
    <b v="0"/>
    <n v="4"/>
    <x v="5"/>
    <n v="1"/>
    <x v="0"/>
    <n v="0.22"/>
    <s v="Winter"/>
    <s v="Weekday"/>
    <n v="0.19700000000000001"/>
    <n v="8.077"/>
    <n v="0.37"/>
    <n v="0.32840000000000003"/>
    <x v="17"/>
    <x v="90"/>
    <n v="60"/>
  </r>
  <r>
    <s v="751"/>
    <d v="2011-03-02T00:00:00"/>
    <s v="Wednesday"/>
    <x v="0"/>
    <n v="0"/>
    <n v="2"/>
    <x v="16"/>
    <b v="0"/>
    <n v="4"/>
    <x v="5"/>
    <n v="1"/>
    <x v="0"/>
    <n v="0.22"/>
    <s v="Winter"/>
    <s v="Weekday"/>
    <n v="0.21210000000000001"/>
    <n v="8.6961000000000013"/>
    <n v="0.37"/>
    <n v="0.25369999999999998"/>
    <x v="2"/>
    <x v="26"/>
    <n v="78"/>
  </r>
  <r>
    <s v="752"/>
    <d v="2011-03-02T00:00:00"/>
    <s v="Wednesday"/>
    <x v="0"/>
    <n v="0"/>
    <n v="2"/>
    <x v="17"/>
    <b v="0"/>
    <n v="4"/>
    <x v="5"/>
    <n v="1"/>
    <x v="0"/>
    <n v="0.2"/>
    <s v="Winter"/>
    <s v="Weekday"/>
    <n v="0.19700000000000001"/>
    <n v="8.077"/>
    <n v="0.4"/>
    <n v="0.19400000000000001"/>
    <x v="2"/>
    <x v="162"/>
    <n v="175"/>
  </r>
  <r>
    <s v="753"/>
    <d v="2011-03-02T00:00:00"/>
    <s v="Wednesday"/>
    <x v="0"/>
    <n v="0"/>
    <n v="2"/>
    <x v="18"/>
    <b v="0"/>
    <n v="4"/>
    <x v="5"/>
    <n v="1"/>
    <x v="0"/>
    <n v="0.2"/>
    <s v="Winter"/>
    <s v="Weekday"/>
    <n v="0.21210000000000001"/>
    <n v="8.6961000000000013"/>
    <n v="0.4"/>
    <n v="0.16420000000000001"/>
    <x v="4"/>
    <x v="142"/>
    <n v="147"/>
  </r>
  <r>
    <s v="754"/>
    <d v="2011-03-02T00:00:00"/>
    <s v="Wednesday"/>
    <x v="0"/>
    <n v="0"/>
    <n v="2"/>
    <x v="19"/>
    <b v="0"/>
    <n v="4"/>
    <x v="5"/>
    <n v="1"/>
    <x v="0"/>
    <n v="0.2"/>
    <s v="Winter"/>
    <s v="Weekday"/>
    <n v="0.2576"/>
    <n v="10.5616"/>
    <n v="0.4"/>
    <n v="0"/>
    <x v="17"/>
    <x v="50"/>
    <n v="96"/>
  </r>
  <r>
    <s v="755"/>
    <d v="2011-03-02T00:00:00"/>
    <s v="Wednesday"/>
    <x v="0"/>
    <n v="0"/>
    <n v="2"/>
    <x v="20"/>
    <b v="0"/>
    <n v="4"/>
    <x v="5"/>
    <n v="1"/>
    <x v="0"/>
    <n v="0.2"/>
    <s v="Winter"/>
    <s v="Weekday"/>
    <n v="0.2273"/>
    <n v="9.3193000000000001"/>
    <n v="0.47"/>
    <n v="8.9599999999999999E-2"/>
    <x v="5"/>
    <x v="123"/>
    <n v="109"/>
  </r>
  <r>
    <s v="756"/>
    <d v="2011-03-02T00:00:00"/>
    <s v="Wednesday"/>
    <x v="0"/>
    <n v="0"/>
    <n v="2"/>
    <x v="21"/>
    <b v="0"/>
    <n v="4"/>
    <x v="5"/>
    <n v="1"/>
    <x v="0"/>
    <n v="0.18"/>
    <s v="Winter"/>
    <s v="Weekday"/>
    <n v="0.21210000000000001"/>
    <n v="8.6961000000000013"/>
    <n v="0.55000000000000004"/>
    <n v="0.1045"/>
    <x v="5"/>
    <x v="42"/>
    <n v="54"/>
  </r>
  <r>
    <s v="757"/>
    <d v="2011-03-02T00:00:00"/>
    <s v="Wednesday"/>
    <x v="0"/>
    <n v="0"/>
    <n v="2"/>
    <x v="22"/>
    <b v="0"/>
    <n v="4"/>
    <x v="5"/>
    <n v="1"/>
    <x v="0"/>
    <n v="0.18"/>
    <s v="Winter"/>
    <s v="Weekday"/>
    <n v="0.21210000000000001"/>
    <n v="8.6961000000000013"/>
    <n v="0.51"/>
    <n v="8.9599999999999999E-2"/>
    <x v="4"/>
    <x v="87"/>
    <n v="41"/>
  </r>
  <r>
    <s v="758"/>
    <d v="2011-03-02T00:00:00"/>
    <s v="Wednesday"/>
    <x v="0"/>
    <n v="0"/>
    <n v="2"/>
    <x v="23"/>
    <b v="0"/>
    <n v="4"/>
    <x v="5"/>
    <n v="1"/>
    <x v="0"/>
    <n v="0.2"/>
    <s v="Winter"/>
    <s v="Weekday"/>
    <n v="0.2273"/>
    <n v="9.3193000000000001"/>
    <n v="0.47"/>
    <n v="0.1045"/>
    <x v="17"/>
    <x v="60"/>
    <n v="38"/>
  </r>
  <r>
    <s v="759"/>
    <d v="2011-04-02T00:00:00"/>
    <s v="Saturday"/>
    <x v="0"/>
    <n v="0"/>
    <n v="2"/>
    <x v="0"/>
    <b v="0"/>
    <n v="5"/>
    <x v="6"/>
    <n v="2"/>
    <x v="1"/>
    <n v="0.2"/>
    <s v="Winter"/>
    <s v="Weekend"/>
    <n v="0.2576"/>
    <n v="10.5616"/>
    <n v="0.44"/>
    <n v="0"/>
    <x v="0"/>
    <x v="3"/>
    <n v="13"/>
  </r>
  <r>
    <s v="760"/>
    <d v="2011-04-02T00:00:00"/>
    <s v="Saturday"/>
    <x v="0"/>
    <n v="0"/>
    <n v="2"/>
    <x v="1"/>
    <b v="0"/>
    <n v="5"/>
    <x v="6"/>
    <n v="2"/>
    <x v="1"/>
    <n v="0.16"/>
    <s v="Winter"/>
    <s v="Weekend"/>
    <n v="0.2273"/>
    <n v="9.3193000000000001"/>
    <n v="0.59"/>
    <n v="0"/>
    <x v="3"/>
    <x v="7"/>
    <n v="7"/>
  </r>
  <r>
    <s v="761"/>
    <d v="2011-04-02T00:00:00"/>
    <s v="Saturday"/>
    <x v="0"/>
    <n v="0"/>
    <n v="2"/>
    <x v="2"/>
    <b v="0"/>
    <n v="5"/>
    <x v="6"/>
    <n v="2"/>
    <x v="1"/>
    <n v="0.14000000000000001"/>
    <s v="Winter"/>
    <s v="Weekend"/>
    <n v="0.16669999999999999"/>
    <n v="6.8346999999999998"/>
    <n v="0.63"/>
    <n v="0.1045"/>
    <x v="3"/>
    <x v="4"/>
    <n v="1"/>
  </r>
  <r>
    <s v="762"/>
    <d v="2011-04-02T00:00:00"/>
    <s v="Saturday"/>
    <x v="0"/>
    <n v="0"/>
    <n v="2"/>
    <x v="3"/>
    <b v="0"/>
    <n v="5"/>
    <x v="6"/>
    <n v="2"/>
    <x v="1"/>
    <n v="0.14000000000000001"/>
    <s v="Winter"/>
    <s v="Weekend"/>
    <n v="0.16669999999999999"/>
    <n v="6.8346999999999998"/>
    <n v="0.63"/>
    <n v="0.1045"/>
    <x v="3"/>
    <x v="4"/>
    <n v="1"/>
  </r>
  <r>
    <s v="763"/>
    <d v="2011-04-02T00:00:00"/>
    <s v="Saturday"/>
    <x v="0"/>
    <n v="0"/>
    <n v="2"/>
    <x v="5"/>
    <b v="0"/>
    <n v="5"/>
    <x v="6"/>
    <n v="2"/>
    <x v="1"/>
    <n v="0.14000000000000001"/>
    <s v="Winter"/>
    <s v="Weekend"/>
    <n v="0.1515"/>
    <n v="6.2115"/>
    <n v="0.63"/>
    <n v="0.1343"/>
    <x v="3"/>
    <x v="7"/>
    <n v="7"/>
  </r>
  <r>
    <s v="764"/>
    <d v="2011-04-02T00:00:00"/>
    <s v="Saturday"/>
    <x v="0"/>
    <n v="0"/>
    <n v="2"/>
    <x v="6"/>
    <b v="0"/>
    <n v="5"/>
    <x v="6"/>
    <n v="2"/>
    <x v="1"/>
    <n v="0.16"/>
    <s v="Winter"/>
    <s v="Weekend"/>
    <n v="0.2273"/>
    <n v="9.3193000000000001"/>
    <n v="0.55000000000000004"/>
    <n v="0"/>
    <x v="4"/>
    <x v="16"/>
    <n v="28"/>
  </r>
  <r>
    <s v="765"/>
    <d v="2011-04-02T00:00:00"/>
    <s v="Saturday"/>
    <x v="0"/>
    <n v="0"/>
    <n v="2"/>
    <x v="7"/>
    <b v="0"/>
    <n v="5"/>
    <x v="6"/>
    <n v="1"/>
    <x v="0"/>
    <n v="0.14000000000000001"/>
    <s v="Winter"/>
    <s v="Weekend"/>
    <n v="0.21210000000000001"/>
    <n v="8.6961000000000013"/>
    <n v="0.59"/>
    <n v="0"/>
    <x v="3"/>
    <x v="61"/>
    <n v="87"/>
  </r>
  <r>
    <s v="766"/>
    <d v="2011-04-02T00:00:00"/>
    <s v="Saturday"/>
    <x v="0"/>
    <n v="0"/>
    <n v="2"/>
    <x v="8"/>
    <b v="0"/>
    <n v="5"/>
    <x v="6"/>
    <n v="1"/>
    <x v="0"/>
    <n v="0.14000000000000001"/>
    <s v="Winter"/>
    <s v="Weekend"/>
    <n v="0.1515"/>
    <n v="6.2115"/>
    <n v="0.74"/>
    <n v="0.1343"/>
    <x v="0"/>
    <x v="163"/>
    <n v="220"/>
  </r>
  <r>
    <s v="767"/>
    <d v="2011-04-02T00:00:00"/>
    <s v="Saturday"/>
    <x v="0"/>
    <n v="0"/>
    <n v="2"/>
    <x v="9"/>
    <b v="0"/>
    <n v="5"/>
    <x v="6"/>
    <n v="2"/>
    <x v="1"/>
    <n v="0.16"/>
    <s v="Winter"/>
    <s v="Weekend"/>
    <n v="0.18179999999999999"/>
    <n v="7.4537999999999993"/>
    <n v="0.8"/>
    <n v="0.1343"/>
    <x v="0"/>
    <x v="125"/>
    <n v="127"/>
  </r>
  <r>
    <s v="768"/>
    <d v="2011-04-02T00:00:00"/>
    <s v="Saturday"/>
    <x v="0"/>
    <n v="0"/>
    <n v="2"/>
    <x v="10"/>
    <b v="0"/>
    <n v="5"/>
    <x v="6"/>
    <n v="2"/>
    <x v="1"/>
    <n v="0.2"/>
    <s v="Winter"/>
    <s v="Weekend"/>
    <n v="0.21210000000000001"/>
    <n v="8.6961000000000013"/>
    <n v="0.51"/>
    <n v="0.1343"/>
    <x v="2"/>
    <x v="24"/>
    <n v="51"/>
  </r>
  <r>
    <s v="769"/>
    <d v="2011-04-02T00:00:00"/>
    <s v="Saturday"/>
    <x v="0"/>
    <n v="0"/>
    <n v="2"/>
    <x v="11"/>
    <b v="0"/>
    <n v="5"/>
    <x v="6"/>
    <n v="1"/>
    <x v="0"/>
    <n v="0.22"/>
    <s v="Winter"/>
    <s v="Weekend"/>
    <n v="0.2273"/>
    <n v="9.3193000000000001"/>
    <n v="0.51"/>
    <n v="0.16420000000000001"/>
    <x v="0"/>
    <x v="124"/>
    <n v="64"/>
  </r>
  <r>
    <s v="770"/>
    <d v="2011-04-02T00:00:00"/>
    <s v="Saturday"/>
    <x v="0"/>
    <n v="0"/>
    <n v="2"/>
    <x v="12"/>
    <b v="0"/>
    <n v="5"/>
    <x v="6"/>
    <n v="2"/>
    <x v="1"/>
    <n v="0.24"/>
    <s v="Winter"/>
    <s v="Weekend"/>
    <n v="0.2424"/>
    <n v="9.9383999999999997"/>
    <n v="0.48"/>
    <n v="0.16420000000000001"/>
    <x v="1"/>
    <x v="78"/>
    <n v="86"/>
  </r>
  <r>
    <s v="771"/>
    <d v="2011-04-02T00:00:00"/>
    <s v="Saturday"/>
    <x v="0"/>
    <n v="0"/>
    <n v="2"/>
    <x v="13"/>
    <b v="0"/>
    <n v="5"/>
    <x v="6"/>
    <n v="2"/>
    <x v="1"/>
    <n v="0.26"/>
    <s v="Winter"/>
    <s v="Weekend"/>
    <n v="0.2576"/>
    <n v="10.5616"/>
    <n v="0.5"/>
    <n v="0.22389999999999999"/>
    <x v="14"/>
    <x v="26"/>
    <n v="82"/>
  </r>
  <r>
    <s v="772"/>
    <d v="2011-04-02T00:00:00"/>
    <s v="Saturday"/>
    <x v="0"/>
    <n v="0"/>
    <n v="2"/>
    <x v="14"/>
    <b v="0"/>
    <n v="5"/>
    <x v="6"/>
    <n v="2"/>
    <x v="1"/>
    <n v="0.28000000000000003"/>
    <s v="Winter"/>
    <s v="Weekend"/>
    <n v="0.2727"/>
    <n v="11.1807"/>
    <n v="0.45"/>
    <n v="0.16420000000000001"/>
    <x v="13"/>
    <x v="83"/>
    <n v="91"/>
  </r>
  <r>
    <s v="773"/>
    <d v="2011-04-02T00:00:00"/>
    <s v="Saturday"/>
    <x v="0"/>
    <n v="0"/>
    <n v="2"/>
    <x v="15"/>
    <b v="0"/>
    <n v="5"/>
    <x v="6"/>
    <n v="2"/>
    <x v="1"/>
    <n v="0.28000000000000003"/>
    <s v="Winter"/>
    <s v="Weekend"/>
    <n v="0.2727"/>
    <n v="11.1807"/>
    <n v="0.48"/>
    <n v="0.25369999999999998"/>
    <x v="14"/>
    <x v="38"/>
    <n v="90"/>
  </r>
  <r>
    <s v="774"/>
    <d v="2011-04-02T00:00:00"/>
    <s v="Saturday"/>
    <x v="0"/>
    <n v="0"/>
    <n v="2"/>
    <x v="16"/>
    <b v="0"/>
    <n v="5"/>
    <x v="6"/>
    <n v="2"/>
    <x v="1"/>
    <n v="0.3"/>
    <s v="Winter"/>
    <s v="Weekend"/>
    <n v="0.28789999999999999"/>
    <n v="11.803899999999999"/>
    <n v="0.42"/>
    <n v="0.22389999999999999"/>
    <x v="1"/>
    <x v="164"/>
    <n v="99"/>
  </r>
  <r>
    <s v="775"/>
    <d v="2011-04-02T00:00:00"/>
    <s v="Saturday"/>
    <x v="0"/>
    <n v="0"/>
    <n v="2"/>
    <x v="17"/>
    <b v="0"/>
    <n v="5"/>
    <x v="6"/>
    <n v="2"/>
    <x v="1"/>
    <n v="0.26"/>
    <s v="Winter"/>
    <s v="Weekend"/>
    <n v="0.2727"/>
    <n v="11.1807"/>
    <n v="0.56000000000000005"/>
    <n v="0.1343"/>
    <x v="22"/>
    <x v="165"/>
    <n v="205"/>
  </r>
  <r>
    <s v="776"/>
    <d v="2011-04-02T00:00:00"/>
    <s v="Saturday"/>
    <x v="0"/>
    <n v="0"/>
    <n v="2"/>
    <x v="18"/>
    <b v="0"/>
    <n v="5"/>
    <x v="6"/>
    <n v="2"/>
    <x v="1"/>
    <n v="0.24"/>
    <s v="Winter"/>
    <s v="Weekend"/>
    <n v="0.2576"/>
    <n v="10.5616"/>
    <n v="0.6"/>
    <n v="0.1045"/>
    <x v="0"/>
    <x v="166"/>
    <n v="155"/>
  </r>
  <r>
    <s v="777"/>
    <d v="2011-04-02T00:00:00"/>
    <s v="Saturday"/>
    <x v="0"/>
    <n v="0"/>
    <n v="2"/>
    <x v="19"/>
    <b v="0"/>
    <n v="5"/>
    <x v="6"/>
    <n v="2"/>
    <x v="1"/>
    <n v="0.24"/>
    <s v="Winter"/>
    <s v="Weekend"/>
    <n v="0.2424"/>
    <n v="9.9383999999999997"/>
    <n v="0.65"/>
    <n v="0.1343"/>
    <x v="5"/>
    <x v="46"/>
    <n v="103"/>
  </r>
  <r>
    <s v="778"/>
    <d v="2011-04-02T00:00:00"/>
    <s v="Saturday"/>
    <x v="0"/>
    <n v="0"/>
    <n v="2"/>
    <x v="20"/>
    <b v="0"/>
    <n v="5"/>
    <x v="6"/>
    <n v="2"/>
    <x v="1"/>
    <n v="0.24"/>
    <s v="Winter"/>
    <s v="Weekend"/>
    <n v="0.2424"/>
    <n v="9.9383999999999997"/>
    <n v="0.65"/>
    <n v="0.16420000000000001"/>
    <x v="4"/>
    <x v="94"/>
    <n v="71"/>
  </r>
  <r>
    <s v="779"/>
    <d v="2011-04-02T00:00:00"/>
    <s v="Saturday"/>
    <x v="0"/>
    <n v="0"/>
    <n v="2"/>
    <x v="21"/>
    <b v="0"/>
    <n v="5"/>
    <x v="6"/>
    <n v="2"/>
    <x v="1"/>
    <n v="0.24"/>
    <s v="Winter"/>
    <s v="Weekend"/>
    <n v="0.2424"/>
    <n v="9.9383999999999997"/>
    <n v="0.7"/>
    <n v="0.16420000000000001"/>
    <x v="4"/>
    <x v="40"/>
    <n v="43"/>
  </r>
  <r>
    <s v="780"/>
    <d v="2011-04-02T00:00:00"/>
    <s v="Saturday"/>
    <x v="0"/>
    <n v="0"/>
    <n v="2"/>
    <x v="22"/>
    <b v="0"/>
    <n v="5"/>
    <x v="6"/>
    <n v="2"/>
    <x v="1"/>
    <n v="0.24"/>
    <s v="Winter"/>
    <s v="Weekend"/>
    <n v="0.2424"/>
    <n v="9.9383999999999997"/>
    <n v="0.65"/>
    <n v="0.16420000000000001"/>
    <x v="5"/>
    <x v="108"/>
    <n v="46"/>
  </r>
  <r>
    <s v="781"/>
    <d v="2011-04-02T00:00:00"/>
    <s v="Saturday"/>
    <x v="0"/>
    <n v="0"/>
    <n v="2"/>
    <x v="23"/>
    <b v="0"/>
    <n v="5"/>
    <x v="6"/>
    <n v="2"/>
    <x v="1"/>
    <n v="0.24"/>
    <s v="Winter"/>
    <s v="Weekend"/>
    <n v="0.2424"/>
    <n v="9.9383999999999997"/>
    <n v="0.7"/>
    <n v="0.1343"/>
    <x v="5"/>
    <x v="10"/>
    <n v="31"/>
  </r>
  <r>
    <s v="782"/>
    <d v="2011-05-02T00:00:00"/>
    <s v="Monday"/>
    <x v="0"/>
    <n v="0"/>
    <n v="2"/>
    <x v="0"/>
    <b v="0"/>
    <n v="6"/>
    <x v="0"/>
    <n v="2"/>
    <x v="1"/>
    <n v="0.24"/>
    <s v="Winter"/>
    <s v="Weekday"/>
    <n v="0.2424"/>
    <n v="9.9383999999999997"/>
    <n v="0.7"/>
    <n v="0.16420000000000001"/>
    <x v="0"/>
    <x v="49"/>
    <n v="39"/>
  </r>
  <r>
    <s v="783"/>
    <d v="2011-05-02T00:00:00"/>
    <s v="Monday"/>
    <x v="0"/>
    <n v="0"/>
    <n v="2"/>
    <x v="1"/>
    <b v="0"/>
    <n v="6"/>
    <x v="0"/>
    <n v="2"/>
    <x v="1"/>
    <n v="0.24"/>
    <s v="Winter"/>
    <s v="Weekday"/>
    <n v="0.2424"/>
    <n v="9.9383999999999997"/>
    <n v="0.65"/>
    <n v="0.16420000000000001"/>
    <x v="5"/>
    <x v="19"/>
    <n v="18"/>
  </r>
  <r>
    <s v="784"/>
    <d v="2011-05-02T00:00:00"/>
    <s v="Monday"/>
    <x v="0"/>
    <n v="0"/>
    <n v="2"/>
    <x v="2"/>
    <b v="0"/>
    <n v="6"/>
    <x v="0"/>
    <n v="2"/>
    <x v="1"/>
    <n v="0.24"/>
    <s v="Winter"/>
    <s v="Weekday"/>
    <n v="0.2424"/>
    <n v="9.9383999999999997"/>
    <n v="0.75"/>
    <n v="0.16420000000000001"/>
    <x v="2"/>
    <x v="98"/>
    <n v="17"/>
  </r>
  <r>
    <s v="785"/>
    <d v="2011-05-02T00:00:00"/>
    <s v="Monday"/>
    <x v="0"/>
    <n v="0"/>
    <n v="2"/>
    <x v="3"/>
    <b v="0"/>
    <n v="6"/>
    <x v="0"/>
    <n v="2"/>
    <x v="1"/>
    <n v="0.24"/>
    <s v="Winter"/>
    <s v="Weekday"/>
    <n v="0.2424"/>
    <n v="9.9383999999999997"/>
    <n v="0.75"/>
    <n v="0.16420000000000001"/>
    <x v="5"/>
    <x v="3"/>
    <n v="11"/>
  </r>
  <r>
    <s v="786"/>
    <d v="2011-05-02T00:00:00"/>
    <s v="Monday"/>
    <x v="0"/>
    <n v="0"/>
    <n v="2"/>
    <x v="4"/>
    <b v="0"/>
    <n v="6"/>
    <x v="0"/>
    <n v="3"/>
    <x v="2"/>
    <n v="0.22"/>
    <s v="Winter"/>
    <s v="Weekday"/>
    <n v="0.2273"/>
    <n v="9.3193000000000001"/>
    <n v="0.93"/>
    <n v="0.1343"/>
    <x v="3"/>
    <x v="21"/>
    <n v="8"/>
  </r>
  <r>
    <s v="787"/>
    <d v="2011-05-02T00:00:00"/>
    <s v="Monday"/>
    <x v="0"/>
    <n v="0"/>
    <n v="2"/>
    <x v="5"/>
    <b v="0"/>
    <n v="6"/>
    <x v="0"/>
    <n v="3"/>
    <x v="2"/>
    <n v="0.2"/>
    <s v="Winter"/>
    <s v="Weekday"/>
    <n v="0.2273"/>
    <n v="9.3193000000000001"/>
    <n v="1"/>
    <n v="8.9599999999999999E-2"/>
    <x v="3"/>
    <x v="33"/>
    <n v="9"/>
  </r>
  <r>
    <s v="788"/>
    <d v="2011-05-02T00:00:00"/>
    <s v="Monday"/>
    <x v="0"/>
    <n v="0"/>
    <n v="2"/>
    <x v="6"/>
    <b v="0"/>
    <n v="6"/>
    <x v="0"/>
    <n v="3"/>
    <x v="2"/>
    <n v="0.2"/>
    <s v="Winter"/>
    <s v="Weekday"/>
    <n v="0.2576"/>
    <n v="10.5616"/>
    <n v="1"/>
    <n v="0"/>
    <x v="3"/>
    <x v="22"/>
    <n v="4"/>
  </r>
  <r>
    <s v="789"/>
    <d v="2011-05-02T00:00:00"/>
    <s v="Monday"/>
    <x v="0"/>
    <n v="0"/>
    <n v="2"/>
    <x v="7"/>
    <b v="0"/>
    <n v="6"/>
    <x v="0"/>
    <n v="3"/>
    <x v="2"/>
    <n v="0.22"/>
    <s v="Winter"/>
    <s v="Weekday"/>
    <n v="0.2576"/>
    <n v="10.5616"/>
    <n v="0.93"/>
    <n v="8.9599999999999999E-2"/>
    <x v="3"/>
    <x v="22"/>
    <n v="4"/>
  </r>
  <r>
    <s v="790"/>
    <d v="2011-05-02T00:00:00"/>
    <s v="Monday"/>
    <x v="0"/>
    <n v="0"/>
    <n v="2"/>
    <x v="8"/>
    <b v="0"/>
    <n v="6"/>
    <x v="0"/>
    <n v="3"/>
    <x v="2"/>
    <n v="0.2"/>
    <s v="Winter"/>
    <s v="Weekday"/>
    <n v="0.2273"/>
    <n v="9.3193000000000001"/>
    <n v="1"/>
    <n v="8.9599999999999999E-2"/>
    <x v="3"/>
    <x v="3"/>
    <n v="10"/>
  </r>
  <r>
    <s v="791"/>
    <d v="2011-05-02T00:00:00"/>
    <s v="Monday"/>
    <x v="0"/>
    <n v="0"/>
    <n v="2"/>
    <x v="9"/>
    <b v="0"/>
    <n v="6"/>
    <x v="0"/>
    <n v="3"/>
    <x v="2"/>
    <n v="0.2"/>
    <s v="Winter"/>
    <s v="Weekday"/>
    <n v="0.2273"/>
    <n v="9.3193000000000001"/>
    <n v="1"/>
    <n v="8.9599999999999999E-2"/>
    <x v="0"/>
    <x v="19"/>
    <n v="20"/>
  </r>
  <r>
    <s v="792"/>
    <d v="2011-05-02T00:00:00"/>
    <s v="Monday"/>
    <x v="0"/>
    <n v="0"/>
    <n v="2"/>
    <x v="10"/>
    <b v="0"/>
    <n v="6"/>
    <x v="0"/>
    <n v="3"/>
    <x v="2"/>
    <n v="0.2"/>
    <s v="Winter"/>
    <s v="Weekday"/>
    <n v="0.21210000000000001"/>
    <n v="8.6961000000000013"/>
    <n v="1"/>
    <n v="0.1343"/>
    <x v="0"/>
    <x v="17"/>
    <n v="34"/>
  </r>
  <r>
    <s v="793"/>
    <d v="2011-05-02T00:00:00"/>
    <s v="Monday"/>
    <x v="0"/>
    <n v="0"/>
    <n v="2"/>
    <x v="11"/>
    <b v="0"/>
    <n v="6"/>
    <x v="0"/>
    <n v="3"/>
    <x v="2"/>
    <n v="0.22"/>
    <s v="Winter"/>
    <s v="Weekday"/>
    <n v="0.2273"/>
    <n v="9.3193000000000001"/>
    <n v="1"/>
    <n v="0.1343"/>
    <x v="5"/>
    <x v="24"/>
    <n v="47"/>
  </r>
  <r>
    <s v="794"/>
    <d v="2011-05-02T00:00:00"/>
    <s v="Monday"/>
    <x v="0"/>
    <n v="0"/>
    <n v="2"/>
    <x v="12"/>
    <b v="0"/>
    <n v="6"/>
    <x v="0"/>
    <n v="3"/>
    <x v="2"/>
    <n v="0.22"/>
    <s v="Winter"/>
    <s v="Weekday"/>
    <n v="0.2273"/>
    <n v="9.3193000000000001"/>
    <n v="1"/>
    <n v="0.16420000000000001"/>
    <x v="22"/>
    <x v="76"/>
    <n v="52"/>
  </r>
  <r>
    <s v="795"/>
    <d v="2011-05-02T00:00:00"/>
    <s v="Monday"/>
    <x v="0"/>
    <n v="0"/>
    <n v="2"/>
    <x v="13"/>
    <b v="0"/>
    <n v="6"/>
    <x v="0"/>
    <n v="3"/>
    <x v="2"/>
    <n v="0.22"/>
    <s v="Winter"/>
    <s v="Weekday"/>
    <n v="0.2273"/>
    <n v="9.3193000000000001"/>
    <n v="1"/>
    <n v="0.16420000000000001"/>
    <x v="22"/>
    <x v="133"/>
    <n v="72"/>
  </r>
  <r>
    <s v="796"/>
    <d v="2011-05-02T00:00:00"/>
    <s v="Monday"/>
    <x v="0"/>
    <n v="0"/>
    <n v="2"/>
    <x v="14"/>
    <b v="0"/>
    <n v="6"/>
    <x v="0"/>
    <n v="3"/>
    <x v="2"/>
    <n v="0.22"/>
    <s v="Winter"/>
    <s v="Weekday"/>
    <n v="0.2727"/>
    <n v="11.1807"/>
    <n v="1"/>
    <n v="0"/>
    <x v="2"/>
    <x v="54"/>
    <n v="55"/>
  </r>
  <r>
    <s v="797"/>
    <d v="2011-05-02T00:00:00"/>
    <s v="Monday"/>
    <x v="0"/>
    <n v="0"/>
    <n v="2"/>
    <x v="15"/>
    <b v="0"/>
    <n v="6"/>
    <x v="0"/>
    <n v="3"/>
    <x v="2"/>
    <n v="0.22"/>
    <s v="Winter"/>
    <s v="Weekday"/>
    <n v="0.2727"/>
    <n v="11.1807"/>
    <n v="1"/>
    <n v="0"/>
    <x v="16"/>
    <x v="47"/>
    <n v="60"/>
  </r>
  <r>
    <s v="798"/>
    <d v="2011-05-02T00:00:00"/>
    <s v="Monday"/>
    <x v="0"/>
    <n v="0"/>
    <n v="2"/>
    <x v="16"/>
    <b v="0"/>
    <n v="6"/>
    <x v="0"/>
    <n v="3"/>
    <x v="2"/>
    <n v="0.22"/>
    <s v="Winter"/>
    <s v="Weekday"/>
    <n v="0.2273"/>
    <n v="9.3193000000000001"/>
    <n v="1"/>
    <n v="0.1343"/>
    <x v="1"/>
    <x v="36"/>
    <n v="71"/>
  </r>
  <r>
    <s v="799"/>
    <d v="2011-05-02T00:00:00"/>
    <s v="Monday"/>
    <x v="0"/>
    <n v="0"/>
    <n v="2"/>
    <x v="17"/>
    <b v="0"/>
    <n v="6"/>
    <x v="0"/>
    <n v="2"/>
    <x v="1"/>
    <n v="0.24"/>
    <s v="Winter"/>
    <s v="Weekday"/>
    <n v="0.21210000000000001"/>
    <n v="8.6961000000000013"/>
    <n v="1"/>
    <n v="0.28360000000000002"/>
    <x v="24"/>
    <x v="27"/>
    <n v="78"/>
  </r>
  <r>
    <s v="800"/>
    <d v="2011-05-02T00:00:00"/>
    <s v="Monday"/>
    <x v="0"/>
    <n v="0"/>
    <n v="2"/>
    <x v="18"/>
    <b v="0"/>
    <n v="6"/>
    <x v="0"/>
    <n v="2"/>
    <x v="1"/>
    <n v="0.28000000000000003"/>
    <s v="Winter"/>
    <s v="Weekday"/>
    <n v="0.2424"/>
    <n v="9.9383999999999997"/>
    <n v="0.93"/>
    <n v="0.44779999999999998"/>
    <x v="4"/>
    <x v="38"/>
    <n v="83"/>
  </r>
  <r>
    <s v="801"/>
    <d v="2011-05-02T00:00:00"/>
    <s v="Monday"/>
    <x v="0"/>
    <n v="0"/>
    <n v="2"/>
    <x v="19"/>
    <b v="0"/>
    <n v="6"/>
    <x v="0"/>
    <n v="2"/>
    <x v="1"/>
    <n v="0.28000000000000003"/>
    <s v="Winter"/>
    <s v="Weekday"/>
    <n v="0.2424"/>
    <n v="9.9383999999999997"/>
    <n v="0.93"/>
    <n v="0.44779999999999998"/>
    <x v="15"/>
    <x v="78"/>
    <n v="84"/>
  </r>
  <r>
    <s v="802"/>
    <d v="2011-05-02T00:00:00"/>
    <s v="Monday"/>
    <x v="0"/>
    <n v="0"/>
    <n v="2"/>
    <x v="20"/>
    <b v="0"/>
    <n v="6"/>
    <x v="0"/>
    <n v="1"/>
    <x v="0"/>
    <n v="0.3"/>
    <s v="Winter"/>
    <s v="Weekday"/>
    <n v="0.28789999999999999"/>
    <n v="11.803899999999999"/>
    <n v="0.87"/>
    <n v="0.25369999999999998"/>
    <x v="2"/>
    <x v="27"/>
    <n v="69"/>
  </r>
  <r>
    <s v="803"/>
    <d v="2011-05-02T00:00:00"/>
    <s v="Monday"/>
    <x v="0"/>
    <n v="0"/>
    <n v="2"/>
    <x v="21"/>
    <b v="0"/>
    <n v="6"/>
    <x v="0"/>
    <n v="1"/>
    <x v="0"/>
    <n v="0.26"/>
    <s v="Winter"/>
    <s v="Weekday"/>
    <n v="0.2576"/>
    <n v="10.5616"/>
    <n v="1"/>
    <n v="0.19400000000000001"/>
    <x v="0"/>
    <x v="42"/>
    <n v="56"/>
  </r>
  <r>
    <s v="804"/>
    <d v="2011-05-02T00:00:00"/>
    <s v="Monday"/>
    <x v="0"/>
    <n v="0"/>
    <n v="2"/>
    <x v="22"/>
    <b v="0"/>
    <n v="6"/>
    <x v="0"/>
    <n v="1"/>
    <x v="0"/>
    <n v="0.26"/>
    <s v="Winter"/>
    <s v="Weekday"/>
    <n v="0.2727"/>
    <n v="11.1807"/>
    <n v="0.93"/>
    <n v="0.1343"/>
    <x v="4"/>
    <x v="30"/>
    <n v="45"/>
  </r>
  <r>
    <s v="805"/>
    <d v="2011-05-02T00:00:00"/>
    <s v="Monday"/>
    <x v="0"/>
    <n v="0"/>
    <n v="2"/>
    <x v="23"/>
    <b v="0"/>
    <n v="6"/>
    <x v="0"/>
    <n v="1"/>
    <x v="0"/>
    <n v="0.26"/>
    <s v="Winter"/>
    <s v="Weekday"/>
    <n v="0.2576"/>
    <n v="10.5616"/>
    <n v="0.93"/>
    <n v="0.22389999999999999"/>
    <x v="18"/>
    <x v="15"/>
    <n v="59"/>
  </r>
  <r>
    <s v="806"/>
    <d v="2011-06-02T00:00:00"/>
    <s v="Thursday"/>
    <x v="0"/>
    <n v="0"/>
    <n v="2"/>
    <x v="0"/>
    <b v="0"/>
    <n v="0"/>
    <x v="1"/>
    <n v="1"/>
    <x v="0"/>
    <n v="0.26"/>
    <s v="Winter"/>
    <s v="Weekday"/>
    <n v="0.2576"/>
    <n v="10.5616"/>
    <n v="0.7"/>
    <n v="0.19400000000000001"/>
    <x v="4"/>
    <x v="53"/>
    <n v="39"/>
  </r>
  <r>
    <s v="807"/>
    <d v="2011-06-02T00:00:00"/>
    <s v="Thursday"/>
    <x v="0"/>
    <n v="0"/>
    <n v="2"/>
    <x v="1"/>
    <b v="0"/>
    <n v="0"/>
    <x v="1"/>
    <n v="1"/>
    <x v="0"/>
    <n v="0.26"/>
    <s v="Winter"/>
    <s v="Weekday"/>
    <n v="0.2273"/>
    <n v="9.3193000000000001"/>
    <n v="0.65"/>
    <n v="0.41789999999999999"/>
    <x v="17"/>
    <x v="71"/>
    <n v="44"/>
  </r>
  <r>
    <s v="808"/>
    <d v="2011-06-02T00:00:00"/>
    <s v="Thursday"/>
    <x v="0"/>
    <n v="0"/>
    <n v="2"/>
    <x v="2"/>
    <b v="0"/>
    <n v="0"/>
    <x v="1"/>
    <n v="1"/>
    <x v="0"/>
    <n v="0.26"/>
    <s v="Winter"/>
    <s v="Weekday"/>
    <n v="0.2273"/>
    <n v="9.3193000000000001"/>
    <n v="0.6"/>
    <n v="0.32840000000000003"/>
    <x v="3"/>
    <x v="32"/>
    <n v="20"/>
  </r>
  <r>
    <s v="809"/>
    <d v="2011-06-02T00:00:00"/>
    <s v="Thursday"/>
    <x v="0"/>
    <n v="0"/>
    <n v="2"/>
    <x v="3"/>
    <b v="0"/>
    <n v="0"/>
    <x v="1"/>
    <n v="1"/>
    <x v="0"/>
    <n v="0.26"/>
    <s v="Winter"/>
    <s v="Weekday"/>
    <n v="0.28789999999999999"/>
    <n v="11.803899999999999"/>
    <n v="0.6"/>
    <n v="8.9599999999999999E-2"/>
    <x v="0"/>
    <x v="3"/>
    <n v="13"/>
  </r>
  <r>
    <s v="810"/>
    <d v="2011-06-02T00:00:00"/>
    <s v="Thursday"/>
    <x v="0"/>
    <n v="0"/>
    <n v="2"/>
    <x v="4"/>
    <b v="0"/>
    <n v="0"/>
    <x v="1"/>
    <n v="1"/>
    <x v="0"/>
    <n v="0.26"/>
    <s v="Winter"/>
    <s v="Weekday"/>
    <n v="0.2273"/>
    <n v="9.3193000000000001"/>
    <n v="0.6"/>
    <n v="0.35820000000000002"/>
    <x v="3"/>
    <x v="6"/>
    <n v="2"/>
  </r>
  <r>
    <s v="811"/>
    <d v="2011-06-02T00:00:00"/>
    <s v="Thursday"/>
    <x v="0"/>
    <n v="0"/>
    <n v="2"/>
    <x v="5"/>
    <b v="0"/>
    <n v="0"/>
    <x v="1"/>
    <n v="1"/>
    <x v="0"/>
    <n v="0.26"/>
    <s v="Winter"/>
    <s v="Weekday"/>
    <n v="0.2576"/>
    <n v="10.5616"/>
    <n v="0.6"/>
    <n v="0.22389999999999999"/>
    <x v="3"/>
    <x v="4"/>
    <n v="1"/>
  </r>
  <r>
    <s v="812"/>
    <d v="2011-06-02T00:00:00"/>
    <s v="Thursday"/>
    <x v="0"/>
    <n v="0"/>
    <n v="2"/>
    <x v="6"/>
    <b v="0"/>
    <n v="0"/>
    <x v="1"/>
    <n v="1"/>
    <x v="0"/>
    <n v="0.26"/>
    <s v="Winter"/>
    <s v="Weekday"/>
    <n v="0.2576"/>
    <n v="10.5616"/>
    <n v="0.6"/>
    <n v="0.22389999999999999"/>
    <x v="3"/>
    <x v="4"/>
    <n v="1"/>
  </r>
  <r>
    <s v="813"/>
    <d v="2011-06-02T00:00:00"/>
    <s v="Thursday"/>
    <x v="0"/>
    <n v="0"/>
    <n v="2"/>
    <x v="7"/>
    <b v="0"/>
    <n v="0"/>
    <x v="1"/>
    <n v="1"/>
    <x v="0"/>
    <n v="0.24"/>
    <s v="Winter"/>
    <s v="Weekday"/>
    <n v="0.2424"/>
    <n v="9.9383999999999997"/>
    <n v="0.65"/>
    <n v="0.16420000000000001"/>
    <x v="3"/>
    <x v="21"/>
    <n v="8"/>
  </r>
  <r>
    <s v="814"/>
    <d v="2011-06-02T00:00:00"/>
    <s v="Thursday"/>
    <x v="0"/>
    <n v="0"/>
    <n v="2"/>
    <x v="8"/>
    <b v="0"/>
    <n v="0"/>
    <x v="1"/>
    <n v="1"/>
    <x v="0"/>
    <n v="0.24"/>
    <s v="Winter"/>
    <s v="Weekday"/>
    <n v="0.2576"/>
    <n v="10.5616"/>
    <n v="0.65"/>
    <n v="0.1045"/>
    <x v="4"/>
    <x v="144"/>
    <n v="23"/>
  </r>
  <r>
    <s v="815"/>
    <d v="2011-06-02T00:00:00"/>
    <s v="Thursday"/>
    <x v="0"/>
    <n v="0"/>
    <n v="2"/>
    <x v="9"/>
    <b v="0"/>
    <n v="0"/>
    <x v="1"/>
    <n v="1"/>
    <x v="0"/>
    <n v="0.28000000000000003"/>
    <s v="Winter"/>
    <s v="Weekday"/>
    <n v="0.28789999999999999"/>
    <n v="11.803899999999999"/>
    <n v="0.56000000000000005"/>
    <n v="0.1045"/>
    <x v="18"/>
    <x v="101"/>
    <n v="45"/>
  </r>
  <r>
    <s v="816"/>
    <d v="2011-06-02T00:00:00"/>
    <s v="Thursday"/>
    <x v="0"/>
    <n v="0"/>
    <n v="2"/>
    <x v="10"/>
    <b v="0"/>
    <n v="0"/>
    <x v="1"/>
    <n v="1"/>
    <x v="0"/>
    <n v="0.3"/>
    <s v="Winter"/>
    <s v="Weekday"/>
    <n v="0.28789999999999999"/>
    <n v="11.803899999999999"/>
    <n v="0.52"/>
    <n v="0.25369999999999998"/>
    <x v="13"/>
    <x v="64"/>
    <n v="89"/>
  </r>
  <r>
    <s v="817"/>
    <d v="2011-06-02T00:00:00"/>
    <s v="Thursday"/>
    <x v="0"/>
    <n v="0"/>
    <n v="2"/>
    <x v="11"/>
    <b v="0"/>
    <n v="0"/>
    <x v="1"/>
    <n v="1"/>
    <x v="0"/>
    <n v="0.32"/>
    <s v="Winter"/>
    <s v="Weekday"/>
    <n v="0.30299999999999999"/>
    <n v="12.423"/>
    <n v="0.49"/>
    <n v="0.25369999999999998"/>
    <x v="32"/>
    <x v="121"/>
    <n v="117"/>
  </r>
  <r>
    <s v="818"/>
    <d v="2011-06-02T00:00:00"/>
    <s v="Thursday"/>
    <x v="0"/>
    <n v="0"/>
    <n v="2"/>
    <x v="12"/>
    <b v="0"/>
    <n v="0"/>
    <x v="1"/>
    <n v="1"/>
    <x v="0"/>
    <n v="0.34"/>
    <s v="Winter"/>
    <s v="Weekday"/>
    <n v="0.33329999999999999"/>
    <n v="13.6653"/>
    <n v="0.46"/>
    <n v="0"/>
    <x v="33"/>
    <x v="167"/>
    <n v="174"/>
  </r>
  <r>
    <s v="819"/>
    <d v="2011-06-02T00:00:00"/>
    <s v="Thursday"/>
    <x v="0"/>
    <n v="0"/>
    <n v="2"/>
    <x v="13"/>
    <b v="0"/>
    <n v="0"/>
    <x v="1"/>
    <n v="1"/>
    <x v="0"/>
    <n v="0.34"/>
    <s v="Winter"/>
    <s v="Weekday"/>
    <n v="0.36359999999999998"/>
    <n v="14.907599999999999"/>
    <n v="0.46"/>
    <n v="0"/>
    <x v="9"/>
    <x v="113"/>
    <n v="182"/>
  </r>
  <r>
    <s v="820"/>
    <d v="2011-06-02T00:00:00"/>
    <s v="Thursday"/>
    <x v="0"/>
    <n v="0"/>
    <n v="2"/>
    <x v="14"/>
    <b v="0"/>
    <n v="0"/>
    <x v="1"/>
    <n v="1"/>
    <x v="0"/>
    <n v="0.34"/>
    <s v="Winter"/>
    <s v="Weekday"/>
    <n v="0.34849999999999998"/>
    <n v="14.288499999999999"/>
    <n v="0.46"/>
    <n v="8.9599999999999999E-2"/>
    <x v="9"/>
    <x v="156"/>
    <n v="161"/>
  </r>
  <r>
    <s v="821"/>
    <d v="2011-06-02T00:00:00"/>
    <s v="Thursday"/>
    <x v="0"/>
    <n v="0"/>
    <n v="2"/>
    <x v="15"/>
    <b v="0"/>
    <n v="0"/>
    <x v="1"/>
    <n v="1"/>
    <x v="0"/>
    <n v="0.34"/>
    <s v="Winter"/>
    <s v="Weekday"/>
    <n v="0.34849999999999998"/>
    <n v="14.288499999999999"/>
    <n v="0.46"/>
    <n v="8.9599999999999999E-2"/>
    <x v="34"/>
    <x v="110"/>
    <n v="182"/>
  </r>
  <r>
    <s v="822"/>
    <d v="2011-06-02T00:00:00"/>
    <s v="Thursday"/>
    <x v="0"/>
    <n v="0"/>
    <n v="2"/>
    <x v="16"/>
    <b v="0"/>
    <n v="0"/>
    <x v="1"/>
    <n v="1"/>
    <x v="0"/>
    <n v="0.34"/>
    <s v="Winter"/>
    <s v="Weekday"/>
    <n v="0.34849999999999998"/>
    <n v="14.288499999999999"/>
    <n v="0.49"/>
    <n v="0.1045"/>
    <x v="35"/>
    <x v="168"/>
    <n v="157"/>
  </r>
  <r>
    <s v="823"/>
    <d v="2011-06-02T00:00:00"/>
    <s v="Thursday"/>
    <x v="0"/>
    <n v="0"/>
    <n v="2"/>
    <x v="17"/>
    <b v="0"/>
    <n v="0"/>
    <x v="1"/>
    <n v="1"/>
    <x v="0"/>
    <n v="0.34"/>
    <s v="Winter"/>
    <s v="Weekday"/>
    <n v="0.36359999999999998"/>
    <n v="14.907599999999999"/>
    <n v="0.46"/>
    <n v="0"/>
    <x v="31"/>
    <x v="106"/>
    <n v="121"/>
  </r>
  <r>
    <s v="824"/>
    <d v="2011-06-02T00:00:00"/>
    <s v="Thursday"/>
    <x v="0"/>
    <n v="0"/>
    <n v="2"/>
    <x v="18"/>
    <b v="0"/>
    <n v="0"/>
    <x v="1"/>
    <n v="1"/>
    <x v="0"/>
    <n v="0.3"/>
    <s v="Winter"/>
    <s v="Weekday"/>
    <n v="0.30299999999999999"/>
    <n v="12.423"/>
    <n v="0.56000000000000005"/>
    <n v="0.16420000000000001"/>
    <x v="23"/>
    <x v="65"/>
    <n v="78"/>
  </r>
  <r>
    <s v="825"/>
    <d v="2011-06-02T00:00:00"/>
    <s v="Thursday"/>
    <x v="0"/>
    <n v="0"/>
    <n v="2"/>
    <x v="19"/>
    <b v="0"/>
    <n v="0"/>
    <x v="1"/>
    <n v="1"/>
    <x v="0"/>
    <n v="0.28000000000000003"/>
    <s v="Winter"/>
    <s v="Weekday"/>
    <n v="0.28789999999999999"/>
    <n v="11.803899999999999"/>
    <n v="0.61"/>
    <n v="0.1343"/>
    <x v="5"/>
    <x v="32"/>
    <n v="21"/>
  </r>
  <r>
    <s v="826"/>
    <d v="2011-06-02T00:00:00"/>
    <s v="Thursday"/>
    <x v="0"/>
    <n v="0"/>
    <n v="2"/>
    <x v="20"/>
    <b v="0"/>
    <n v="0"/>
    <x v="1"/>
    <n v="1"/>
    <x v="0"/>
    <n v="0.28000000000000003"/>
    <s v="Winter"/>
    <s v="Weekday"/>
    <n v="0.28789999999999999"/>
    <n v="11.803899999999999"/>
    <n v="0.61"/>
    <n v="0.1045"/>
    <x v="2"/>
    <x v="144"/>
    <n v="26"/>
  </r>
  <r>
    <s v="827"/>
    <d v="2011-06-02T00:00:00"/>
    <s v="Thursday"/>
    <x v="0"/>
    <n v="0"/>
    <n v="2"/>
    <x v="21"/>
    <b v="0"/>
    <n v="0"/>
    <x v="1"/>
    <n v="1"/>
    <x v="0"/>
    <n v="0.26"/>
    <s v="Winter"/>
    <s v="Weekday"/>
    <n v="0.30299999999999999"/>
    <n v="12.423"/>
    <n v="0.6"/>
    <n v="0"/>
    <x v="2"/>
    <x v="97"/>
    <n v="27"/>
  </r>
  <r>
    <s v="828"/>
    <d v="2011-06-02T00:00:00"/>
    <s v="Thursday"/>
    <x v="0"/>
    <n v="0"/>
    <n v="2"/>
    <x v="22"/>
    <b v="0"/>
    <n v="0"/>
    <x v="1"/>
    <n v="1"/>
    <x v="0"/>
    <n v="0.26"/>
    <s v="Winter"/>
    <s v="Weekday"/>
    <n v="0.30299999999999999"/>
    <n v="12.423"/>
    <n v="0.6"/>
    <n v="0"/>
    <x v="2"/>
    <x v="77"/>
    <n v="62"/>
  </r>
  <r>
    <s v="829"/>
    <d v="2011-06-02T00:00:00"/>
    <s v="Thursday"/>
    <x v="0"/>
    <n v="0"/>
    <n v="2"/>
    <x v="23"/>
    <b v="0"/>
    <n v="0"/>
    <x v="1"/>
    <n v="1"/>
    <x v="0"/>
    <n v="0.24"/>
    <s v="Winter"/>
    <s v="Weekday"/>
    <n v="0.28789999999999999"/>
    <n v="11.803899999999999"/>
    <n v="0.65"/>
    <n v="0"/>
    <x v="17"/>
    <x v="16"/>
    <n v="30"/>
  </r>
  <r>
    <s v="830"/>
    <d v="2011-07-02T00:00:00"/>
    <s v="Saturday"/>
    <x v="0"/>
    <n v="0"/>
    <n v="2"/>
    <x v="0"/>
    <b v="0"/>
    <n v="1"/>
    <x v="2"/>
    <n v="1"/>
    <x v="0"/>
    <n v="0.24"/>
    <s v="Winter"/>
    <s v="Weekend"/>
    <n v="0.28789999999999999"/>
    <n v="11.803899999999999"/>
    <n v="0.65"/>
    <n v="0"/>
    <x v="5"/>
    <x v="88"/>
    <n v="15"/>
  </r>
  <r>
    <s v="831"/>
    <d v="2011-07-02T00:00:00"/>
    <s v="Saturday"/>
    <x v="0"/>
    <n v="0"/>
    <n v="2"/>
    <x v="1"/>
    <b v="0"/>
    <n v="1"/>
    <x v="2"/>
    <n v="1"/>
    <x v="0"/>
    <n v="0.22"/>
    <s v="Winter"/>
    <s v="Weekend"/>
    <n v="0.2727"/>
    <n v="11.1807"/>
    <n v="0.75"/>
    <n v="0"/>
    <x v="5"/>
    <x v="22"/>
    <n v="5"/>
  </r>
  <r>
    <s v="832"/>
    <d v="2011-07-02T00:00:00"/>
    <s v="Saturday"/>
    <x v="0"/>
    <n v="0"/>
    <n v="2"/>
    <x v="2"/>
    <b v="0"/>
    <n v="1"/>
    <x v="2"/>
    <n v="1"/>
    <x v="0"/>
    <n v="0.2"/>
    <s v="Winter"/>
    <s v="Weekend"/>
    <n v="0.2576"/>
    <n v="10.5616"/>
    <n v="0.8"/>
    <n v="0"/>
    <x v="3"/>
    <x v="35"/>
    <n v="3"/>
  </r>
  <r>
    <s v="833"/>
    <d v="2011-07-02T00:00:00"/>
    <s v="Saturday"/>
    <x v="0"/>
    <n v="0"/>
    <n v="2"/>
    <x v="3"/>
    <b v="0"/>
    <n v="1"/>
    <x v="2"/>
    <n v="1"/>
    <x v="0"/>
    <n v="0.2"/>
    <s v="Winter"/>
    <s v="Weekend"/>
    <n v="0.2576"/>
    <n v="10.5616"/>
    <n v="0.86"/>
    <n v="0"/>
    <x v="3"/>
    <x v="4"/>
    <n v="1"/>
  </r>
  <r>
    <s v="834"/>
    <d v="2011-07-02T00:00:00"/>
    <s v="Saturday"/>
    <x v="0"/>
    <n v="0"/>
    <n v="2"/>
    <x v="4"/>
    <b v="0"/>
    <n v="1"/>
    <x v="2"/>
    <n v="1"/>
    <x v="0"/>
    <n v="0.2"/>
    <s v="Winter"/>
    <s v="Weekend"/>
    <n v="0.2576"/>
    <n v="10.5616"/>
    <n v="0.86"/>
    <n v="0"/>
    <x v="5"/>
    <x v="4"/>
    <n v="2"/>
  </r>
  <r>
    <s v="835"/>
    <d v="2011-07-02T00:00:00"/>
    <s v="Saturday"/>
    <x v="0"/>
    <n v="0"/>
    <n v="2"/>
    <x v="5"/>
    <b v="0"/>
    <n v="1"/>
    <x v="2"/>
    <n v="1"/>
    <x v="0"/>
    <n v="0.2"/>
    <s v="Winter"/>
    <s v="Weekend"/>
    <n v="0.2576"/>
    <n v="10.5616"/>
    <n v="0.86"/>
    <n v="0"/>
    <x v="5"/>
    <x v="33"/>
    <n v="10"/>
  </r>
  <r>
    <s v="836"/>
    <d v="2011-07-02T00:00:00"/>
    <s v="Saturday"/>
    <x v="0"/>
    <n v="0"/>
    <n v="2"/>
    <x v="6"/>
    <b v="0"/>
    <n v="1"/>
    <x v="2"/>
    <n v="1"/>
    <x v="0"/>
    <n v="0.18"/>
    <s v="Winter"/>
    <s v="Weekend"/>
    <n v="0.2424"/>
    <n v="9.9383999999999997"/>
    <n v="0.93"/>
    <n v="0"/>
    <x v="5"/>
    <x v="31"/>
    <n v="30"/>
  </r>
  <r>
    <s v="837"/>
    <d v="2011-07-02T00:00:00"/>
    <s v="Saturday"/>
    <x v="0"/>
    <n v="0"/>
    <n v="2"/>
    <x v="7"/>
    <b v="0"/>
    <n v="1"/>
    <x v="2"/>
    <n v="1"/>
    <x v="0"/>
    <n v="0.18"/>
    <s v="Winter"/>
    <s v="Weekend"/>
    <n v="0.2424"/>
    <n v="9.9383999999999997"/>
    <n v="0.86"/>
    <n v="0"/>
    <x v="15"/>
    <x v="121"/>
    <n v="95"/>
  </r>
  <r>
    <s v="838"/>
    <d v="2011-07-02T00:00:00"/>
    <s v="Saturday"/>
    <x v="0"/>
    <n v="0"/>
    <n v="2"/>
    <x v="8"/>
    <b v="0"/>
    <n v="1"/>
    <x v="2"/>
    <n v="2"/>
    <x v="1"/>
    <n v="0.16"/>
    <s v="Winter"/>
    <s v="Weekend"/>
    <n v="0.2273"/>
    <n v="9.3193000000000001"/>
    <n v="1"/>
    <n v="0"/>
    <x v="18"/>
    <x v="169"/>
    <n v="230"/>
  </r>
  <r>
    <s v="839"/>
    <d v="2011-07-02T00:00:00"/>
    <s v="Saturday"/>
    <x v="0"/>
    <n v="0"/>
    <n v="2"/>
    <x v="9"/>
    <b v="0"/>
    <n v="1"/>
    <x v="2"/>
    <n v="1"/>
    <x v="0"/>
    <n v="0.22"/>
    <s v="Winter"/>
    <s v="Weekend"/>
    <n v="0.2727"/>
    <n v="11.1807"/>
    <n v="0.8"/>
    <n v="0"/>
    <x v="0"/>
    <x v="168"/>
    <n v="118"/>
  </r>
  <r>
    <s v="840"/>
    <d v="2011-07-02T00:00:00"/>
    <s v="Saturday"/>
    <x v="0"/>
    <n v="0"/>
    <n v="2"/>
    <x v="10"/>
    <b v="0"/>
    <n v="1"/>
    <x v="2"/>
    <n v="1"/>
    <x v="0"/>
    <n v="0.24"/>
    <s v="Winter"/>
    <s v="Weekend"/>
    <n v="0.2576"/>
    <n v="10.5616"/>
    <n v="0.75"/>
    <n v="0.1045"/>
    <x v="15"/>
    <x v="47"/>
    <n v="55"/>
  </r>
  <r>
    <s v="841"/>
    <d v="2011-07-02T00:00:00"/>
    <s v="Saturday"/>
    <x v="0"/>
    <n v="0"/>
    <n v="2"/>
    <x v="11"/>
    <b v="0"/>
    <n v="1"/>
    <x v="2"/>
    <n v="1"/>
    <x v="0"/>
    <n v="0.3"/>
    <s v="Winter"/>
    <s v="Weekend"/>
    <n v="0.31819999999999998"/>
    <n v="13.046199999999999"/>
    <n v="0.65"/>
    <n v="8.9599999999999999E-2"/>
    <x v="16"/>
    <x v="49"/>
    <n v="47"/>
  </r>
  <r>
    <s v="842"/>
    <d v="2011-07-02T00:00:00"/>
    <s v="Saturday"/>
    <x v="0"/>
    <n v="0"/>
    <n v="2"/>
    <x v="12"/>
    <b v="0"/>
    <n v="1"/>
    <x v="2"/>
    <n v="2"/>
    <x v="1"/>
    <n v="0.32"/>
    <s v="Winter"/>
    <s v="Weekend"/>
    <n v="0.34849999999999998"/>
    <n v="14.288499999999999"/>
    <n v="0.62"/>
    <n v="0"/>
    <x v="18"/>
    <x v="79"/>
    <n v="66"/>
  </r>
  <r>
    <s v="843"/>
    <d v="2011-07-02T00:00:00"/>
    <s v="Saturday"/>
    <x v="0"/>
    <n v="0"/>
    <n v="2"/>
    <x v="13"/>
    <b v="0"/>
    <n v="1"/>
    <x v="2"/>
    <n v="2"/>
    <x v="1"/>
    <n v="0.36"/>
    <s v="Winter"/>
    <s v="Weekend"/>
    <n v="0.36359999999999998"/>
    <n v="14.907599999999999"/>
    <n v="0.56999999999999995"/>
    <n v="8.9599999999999999E-2"/>
    <x v="22"/>
    <x v="25"/>
    <n v="64"/>
  </r>
  <r>
    <s v="844"/>
    <d v="2011-07-02T00:00:00"/>
    <s v="Saturday"/>
    <x v="0"/>
    <n v="0"/>
    <n v="2"/>
    <x v="14"/>
    <b v="0"/>
    <n v="1"/>
    <x v="2"/>
    <n v="2"/>
    <x v="1"/>
    <n v="0.36"/>
    <s v="Winter"/>
    <s v="Weekend"/>
    <n v="0.36359999999999998"/>
    <n v="14.907599999999999"/>
    <n v="0.56999999999999995"/>
    <n v="8.9599999999999999E-2"/>
    <x v="1"/>
    <x v="15"/>
    <n v="60"/>
  </r>
  <r>
    <s v="845"/>
    <d v="2011-07-02T00:00:00"/>
    <s v="Saturday"/>
    <x v="0"/>
    <n v="0"/>
    <n v="2"/>
    <x v="15"/>
    <b v="0"/>
    <n v="1"/>
    <x v="2"/>
    <n v="2"/>
    <x v="1"/>
    <n v="0.38"/>
    <s v="Winter"/>
    <s v="Weekend"/>
    <n v="0.39389999999999997"/>
    <n v="16.149899999999999"/>
    <n v="0.54"/>
    <n v="8.9599999999999999E-2"/>
    <x v="17"/>
    <x v="24"/>
    <n v="50"/>
  </r>
  <r>
    <s v="846"/>
    <d v="2011-07-02T00:00:00"/>
    <s v="Saturday"/>
    <x v="0"/>
    <n v="0"/>
    <n v="2"/>
    <x v="16"/>
    <b v="0"/>
    <n v="1"/>
    <x v="2"/>
    <n v="2"/>
    <x v="1"/>
    <n v="0.36"/>
    <s v="Winter"/>
    <s v="Weekend"/>
    <n v="0.34849999999999998"/>
    <n v="14.288499999999999"/>
    <n v="0.56999999999999995"/>
    <n v="0.1343"/>
    <x v="19"/>
    <x v="52"/>
    <n v="114"/>
  </r>
  <r>
    <s v="847"/>
    <d v="2011-07-02T00:00:00"/>
    <s v="Saturday"/>
    <x v="0"/>
    <n v="0"/>
    <n v="2"/>
    <x v="17"/>
    <b v="0"/>
    <n v="1"/>
    <x v="2"/>
    <n v="2"/>
    <x v="1"/>
    <n v="0.32"/>
    <s v="Winter"/>
    <s v="Weekend"/>
    <n v="0.31819999999999998"/>
    <n v="13.046199999999999"/>
    <n v="0.7"/>
    <n v="0.16420000000000001"/>
    <x v="14"/>
    <x v="134"/>
    <n v="216"/>
  </r>
  <r>
    <s v="848"/>
    <d v="2011-07-02T00:00:00"/>
    <s v="Saturday"/>
    <x v="0"/>
    <n v="0"/>
    <n v="2"/>
    <x v="18"/>
    <b v="0"/>
    <n v="1"/>
    <x v="2"/>
    <n v="2"/>
    <x v="1"/>
    <n v="0.34"/>
    <s v="Winter"/>
    <s v="Weekend"/>
    <n v="0.33329999999999999"/>
    <n v="13.6653"/>
    <n v="0.66"/>
    <n v="0.1343"/>
    <x v="2"/>
    <x v="162"/>
    <n v="175"/>
  </r>
  <r>
    <s v="849"/>
    <d v="2011-07-02T00:00:00"/>
    <s v="Saturday"/>
    <x v="0"/>
    <n v="0"/>
    <n v="2"/>
    <x v="19"/>
    <b v="0"/>
    <n v="1"/>
    <x v="2"/>
    <n v="2"/>
    <x v="1"/>
    <n v="0.32"/>
    <s v="Winter"/>
    <s v="Weekend"/>
    <n v="0.34849999999999998"/>
    <n v="14.288499999999999"/>
    <n v="0.7"/>
    <n v="0"/>
    <x v="2"/>
    <x v="170"/>
    <n v="128"/>
  </r>
  <r>
    <s v="850"/>
    <d v="2011-07-02T00:00:00"/>
    <s v="Saturday"/>
    <x v="0"/>
    <n v="0"/>
    <n v="2"/>
    <x v="20"/>
    <b v="0"/>
    <n v="1"/>
    <x v="2"/>
    <n v="2"/>
    <x v="1"/>
    <n v="0.32"/>
    <s v="Winter"/>
    <s v="Weekend"/>
    <n v="0.33329999999999999"/>
    <n v="13.6653"/>
    <n v="0.7"/>
    <n v="0.1045"/>
    <x v="15"/>
    <x v="70"/>
    <n v="88"/>
  </r>
  <r>
    <s v="851"/>
    <d v="2011-07-02T00:00:00"/>
    <s v="Saturday"/>
    <x v="0"/>
    <n v="0"/>
    <n v="2"/>
    <x v="21"/>
    <b v="0"/>
    <n v="1"/>
    <x v="2"/>
    <n v="1"/>
    <x v="0"/>
    <n v="0.32"/>
    <s v="Winter"/>
    <s v="Weekend"/>
    <n v="0.34849999999999998"/>
    <n v="14.288499999999999"/>
    <n v="0.7"/>
    <n v="0"/>
    <x v="0"/>
    <x v="102"/>
    <n v="78"/>
  </r>
  <r>
    <s v="852"/>
    <d v="2011-07-02T00:00:00"/>
    <s v="Saturday"/>
    <x v="0"/>
    <n v="0"/>
    <n v="2"/>
    <x v="22"/>
    <b v="0"/>
    <n v="1"/>
    <x v="2"/>
    <n v="1"/>
    <x v="0"/>
    <n v="0.28000000000000003"/>
    <s v="Winter"/>
    <s v="Weekend"/>
    <n v="0.30299999999999999"/>
    <n v="12.423"/>
    <n v="0.81"/>
    <n v="8.9599999999999999E-2"/>
    <x v="0"/>
    <x v="60"/>
    <n v="37"/>
  </r>
  <r>
    <s v="853"/>
    <d v="2011-07-02T00:00:00"/>
    <s v="Saturday"/>
    <x v="0"/>
    <n v="0"/>
    <n v="2"/>
    <x v="23"/>
    <b v="0"/>
    <n v="1"/>
    <x v="2"/>
    <n v="2"/>
    <x v="1"/>
    <n v="0.3"/>
    <s v="Winter"/>
    <s v="Weekend"/>
    <n v="0.33329999999999999"/>
    <n v="13.6653"/>
    <n v="0.81"/>
    <n v="0"/>
    <x v="15"/>
    <x v="23"/>
    <n v="25"/>
  </r>
  <r>
    <s v="854"/>
    <d v="2011-08-02T00:00:00"/>
    <s v="Tuesday"/>
    <x v="0"/>
    <n v="0"/>
    <n v="2"/>
    <x v="0"/>
    <b v="0"/>
    <n v="2"/>
    <x v="3"/>
    <n v="2"/>
    <x v="1"/>
    <n v="0.28000000000000003"/>
    <s v="Winter"/>
    <s v="Weekday"/>
    <n v="0.31819999999999998"/>
    <n v="13.046199999999999"/>
    <n v="0.87"/>
    <n v="0"/>
    <x v="17"/>
    <x v="8"/>
    <n v="10"/>
  </r>
  <r>
    <s v="855"/>
    <d v="2011-08-02T00:00:00"/>
    <s v="Tuesday"/>
    <x v="0"/>
    <n v="0"/>
    <n v="2"/>
    <x v="1"/>
    <b v="0"/>
    <n v="2"/>
    <x v="3"/>
    <n v="2"/>
    <x v="1"/>
    <n v="0.28000000000000003"/>
    <s v="Winter"/>
    <s v="Weekday"/>
    <n v="0.31819999999999998"/>
    <n v="13.046199999999999"/>
    <n v="0.87"/>
    <n v="0"/>
    <x v="3"/>
    <x v="22"/>
    <n v="4"/>
  </r>
  <r>
    <s v="856"/>
    <d v="2011-08-02T00:00:00"/>
    <s v="Tuesday"/>
    <x v="0"/>
    <n v="0"/>
    <n v="2"/>
    <x v="2"/>
    <b v="0"/>
    <n v="2"/>
    <x v="3"/>
    <n v="2"/>
    <x v="1"/>
    <n v="0.26"/>
    <s v="Winter"/>
    <s v="Weekday"/>
    <n v="0.2727"/>
    <n v="11.1807"/>
    <n v="0.93"/>
    <n v="0.1045"/>
    <x v="5"/>
    <x v="4"/>
    <n v="2"/>
  </r>
  <r>
    <s v="857"/>
    <d v="2011-08-02T00:00:00"/>
    <s v="Tuesday"/>
    <x v="0"/>
    <n v="0"/>
    <n v="2"/>
    <x v="3"/>
    <b v="0"/>
    <n v="2"/>
    <x v="3"/>
    <n v="3"/>
    <x v="2"/>
    <n v="0.28000000000000003"/>
    <s v="Winter"/>
    <s v="Weekday"/>
    <n v="0.2727"/>
    <n v="11.1807"/>
    <n v="0.93"/>
    <n v="0.16420000000000001"/>
    <x v="3"/>
    <x v="4"/>
    <n v="1"/>
  </r>
  <r>
    <s v="858"/>
    <d v="2011-08-02T00:00:00"/>
    <s v="Tuesday"/>
    <x v="0"/>
    <n v="0"/>
    <n v="2"/>
    <x v="4"/>
    <b v="0"/>
    <n v="2"/>
    <x v="3"/>
    <n v="1"/>
    <x v="0"/>
    <n v="0.26"/>
    <s v="Winter"/>
    <s v="Weekday"/>
    <n v="0.2576"/>
    <n v="10.5616"/>
    <n v="0.93"/>
    <n v="0.16420000000000001"/>
    <x v="3"/>
    <x v="35"/>
    <n v="3"/>
  </r>
  <r>
    <s v="859"/>
    <d v="2011-08-02T00:00:00"/>
    <s v="Tuesday"/>
    <x v="0"/>
    <n v="0"/>
    <n v="2"/>
    <x v="5"/>
    <b v="0"/>
    <n v="2"/>
    <x v="3"/>
    <n v="1"/>
    <x v="0"/>
    <n v="0.26"/>
    <s v="Winter"/>
    <s v="Weekday"/>
    <n v="0.2273"/>
    <n v="9.3193000000000001"/>
    <n v="0.81"/>
    <n v="0.32840000000000003"/>
    <x v="3"/>
    <x v="6"/>
    <n v="2"/>
  </r>
  <r>
    <s v="860"/>
    <d v="2011-08-02T00:00:00"/>
    <s v="Tuesday"/>
    <x v="0"/>
    <n v="0"/>
    <n v="2"/>
    <x v="6"/>
    <b v="0"/>
    <n v="2"/>
    <x v="3"/>
    <n v="1"/>
    <x v="0"/>
    <n v="0.26"/>
    <s v="Winter"/>
    <s v="Weekday"/>
    <n v="0.2273"/>
    <n v="9.3193000000000001"/>
    <n v="0.7"/>
    <n v="0.32840000000000003"/>
    <x v="3"/>
    <x v="87"/>
    <n v="39"/>
  </r>
  <r>
    <s v="861"/>
    <d v="2011-08-02T00:00:00"/>
    <s v="Tuesday"/>
    <x v="0"/>
    <n v="0"/>
    <n v="2"/>
    <x v="7"/>
    <b v="0"/>
    <n v="2"/>
    <x v="3"/>
    <n v="1"/>
    <x v="0"/>
    <n v="0.24"/>
    <s v="Winter"/>
    <s v="Weekday"/>
    <n v="0.19700000000000001"/>
    <n v="8.077"/>
    <n v="0.65"/>
    <n v="0.41789999999999999"/>
    <x v="0"/>
    <x v="106"/>
    <n v="100"/>
  </r>
  <r>
    <s v="862"/>
    <d v="2011-08-02T00:00:00"/>
    <s v="Tuesday"/>
    <x v="0"/>
    <n v="0"/>
    <n v="2"/>
    <x v="8"/>
    <b v="0"/>
    <n v="2"/>
    <x v="3"/>
    <n v="1"/>
    <x v="0"/>
    <n v="0.24"/>
    <s v="Winter"/>
    <s v="Weekday"/>
    <n v="0.19700000000000001"/>
    <n v="8.077"/>
    <n v="0.56000000000000005"/>
    <n v="0.49249999999999999"/>
    <x v="18"/>
    <x v="171"/>
    <n v="243"/>
  </r>
  <r>
    <s v="863"/>
    <d v="2011-08-02T00:00:00"/>
    <s v="Tuesday"/>
    <x v="0"/>
    <n v="0"/>
    <n v="2"/>
    <x v="9"/>
    <b v="0"/>
    <n v="2"/>
    <x v="3"/>
    <n v="1"/>
    <x v="0"/>
    <n v="0.24"/>
    <s v="Winter"/>
    <s v="Weekday"/>
    <n v="0.19700000000000001"/>
    <n v="8.077"/>
    <n v="0.52"/>
    <n v="0.49249999999999999"/>
    <x v="18"/>
    <x v="172"/>
    <n v="135"/>
  </r>
  <r>
    <s v="864"/>
    <d v="2011-08-02T00:00:00"/>
    <s v="Tuesday"/>
    <x v="0"/>
    <n v="0"/>
    <n v="2"/>
    <x v="10"/>
    <b v="0"/>
    <n v="2"/>
    <x v="3"/>
    <n v="1"/>
    <x v="0"/>
    <n v="0.22"/>
    <s v="Winter"/>
    <s v="Weekday"/>
    <n v="0.18179999999999999"/>
    <n v="7.4537999999999993"/>
    <n v="0.47"/>
    <n v="0.55220000000000002"/>
    <x v="17"/>
    <x v="100"/>
    <n v="48"/>
  </r>
  <r>
    <s v="865"/>
    <d v="2011-08-02T00:00:00"/>
    <s v="Tuesday"/>
    <x v="0"/>
    <n v="0"/>
    <n v="2"/>
    <x v="11"/>
    <b v="0"/>
    <n v="2"/>
    <x v="3"/>
    <n v="1"/>
    <x v="0"/>
    <n v="0.22"/>
    <s v="Winter"/>
    <s v="Weekday"/>
    <n v="0.18179999999999999"/>
    <n v="7.4537999999999993"/>
    <n v="0.47"/>
    <n v="0.4627"/>
    <x v="5"/>
    <x v="47"/>
    <n v="50"/>
  </r>
  <r>
    <s v="866"/>
    <d v="2011-08-02T00:00:00"/>
    <s v="Tuesday"/>
    <x v="0"/>
    <n v="0"/>
    <n v="2"/>
    <x v="12"/>
    <b v="0"/>
    <n v="2"/>
    <x v="3"/>
    <n v="1"/>
    <x v="0"/>
    <n v="0.24"/>
    <s v="Winter"/>
    <s v="Weekday"/>
    <n v="0.19700000000000001"/>
    <n v="8.077"/>
    <n v="0.38"/>
    <n v="0.49249999999999999"/>
    <x v="4"/>
    <x v="36"/>
    <n v="65"/>
  </r>
  <r>
    <s v="867"/>
    <d v="2011-08-02T00:00:00"/>
    <s v="Tuesday"/>
    <x v="0"/>
    <n v="0"/>
    <n v="2"/>
    <x v="13"/>
    <b v="0"/>
    <n v="2"/>
    <x v="3"/>
    <n v="2"/>
    <x v="1"/>
    <n v="0.24"/>
    <s v="Winter"/>
    <s v="Weekday"/>
    <n v="0.19700000000000001"/>
    <n v="8.077"/>
    <n v="0.32"/>
    <n v="0.44779999999999998"/>
    <x v="4"/>
    <x v="41"/>
    <n v="50"/>
  </r>
  <r>
    <s v="868"/>
    <d v="2011-08-02T00:00:00"/>
    <s v="Tuesday"/>
    <x v="0"/>
    <n v="0"/>
    <n v="2"/>
    <x v="14"/>
    <b v="0"/>
    <n v="2"/>
    <x v="3"/>
    <n v="1"/>
    <x v="0"/>
    <n v="0.22"/>
    <s v="Winter"/>
    <s v="Weekday"/>
    <n v="0.19700000000000001"/>
    <n v="8.077"/>
    <n v="0.37"/>
    <n v="0.41789999999999999"/>
    <x v="0"/>
    <x v="124"/>
    <n v="64"/>
  </r>
  <r>
    <s v="869"/>
    <d v="2011-08-02T00:00:00"/>
    <s v="Tuesday"/>
    <x v="0"/>
    <n v="0"/>
    <n v="2"/>
    <x v="15"/>
    <b v="0"/>
    <n v="2"/>
    <x v="3"/>
    <n v="1"/>
    <x v="0"/>
    <n v="0.22"/>
    <s v="Winter"/>
    <s v="Weekday"/>
    <n v="0.19700000000000001"/>
    <n v="8.077"/>
    <n v="0.35"/>
    <n v="0.3881"/>
    <x v="15"/>
    <x v="108"/>
    <n v="51"/>
  </r>
  <r>
    <s v="870"/>
    <d v="2011-08-02T00:00:00"/>
    <s v="Tuesday"/>
    <x v="0"/>
    <n v="0"/>
    <n v="2"/>
    <x v="16"/>
    <b v="0"/>
    <n v="2"/>
    <x v="3"/>
    <n v="1"/>
    <x v="0"/>
    <n v="0.22"/>
    <s v="Winter"/>
    <s v="Weekday"/>
    <n v="0.18179999999999999"/>
    <n v="7.4537999999999993"/>
    <n v="0.35"/>
    <n v="0.52239999999999998"/>
    <x v="17"/>
    <x v="55"/>
    <n v="83"/>
  </r>
  <r>
    <s v="871"/>
    <d v="2011-08-02T00:00:00"/>
    <s v="Tuesday"/>
    <x v="0"/>
    <n v="0"/>
    <n v="2"/>
    <x v="17"/>
    <b v="0"/>
    <n v="2"/>
    <x v="3"/>
    <n v="1"/>
    <x v="0"/>
    <n v="0.22"/>
    <s v="Winter"/>
    <s v="Weekday"/>
    <n v="0.18179999999999999"/>
    <n v="7.4537999999999993"/>
    <n v="0.32"/>
    <n v="0.58209999999999995"/>
    <x v="17"/>
    <x v="157"/>
    <n v="176"/>
  </r>
  <r>
    <s v="872"/>
    <d v="2011-08-02T00:00:00"/>
    <s v="Tuesday"/>
    <x v="0"/>
    <n v="0"/>
    <n v="2"/>
    <x v="18"/>
    <b v="0"/>
    <n v="2"/>
    <x v="3"/>
    <n v="1"/>
    <x v="0"/>
    <n v="0.2"/>
    <s v="Winter"/>
    <s v="Weekday"/>
    <n v="0.18179999999999999"/>
    <n v="7.4537999999999993"/>
    <n v="0.32"/>
    <n v="0.3881"/>
    <x v="5"/>
    <x v="137"/>
    <n v="152"/>
  </r>
  <r>
    <s v="873"/>
    <d v="2011-08-02T00:00:00"/>
    <s v="Tuesday"/>
    <x v="0"/>
    <n v="0"/>
    <n v="2"/>
    <x v="19"/>
    <b v="0"/>
    <n v="2"/>
    <x v="3"/>
    <n v="1"/>
    <x v="0"/>
    <n v="0.16"/>
    <s v="Winter"/>
    <s v="Weekday"/>
    <n v="0.1212"/>
    <n v="4.9691999999999998"/>
    <n v="0.4"/>
    <n v="0.4627"/>
    <x v="5"/>
    <x v="129"/>
    <n v="101"/>
  </r>
  <r>
    <s v="874"/>
    <d v="2011-08-02T00:00:00"/>
    <s v="Tuesday"/>
    <x v="0"/>
    <n v="0"/>
    <n v="2"/>
    <x v="20"/>
    <b v="0"/>
    <n v="2"/>
    <x v="3"/>
    <n v="1"/>
    <x v="0"/>
    <n v="0.16"/>
    <s v="Winter"/>
    <s v="Weekday"/>
    <n v="0.13639999999999999"/>
    <n v="5.5923999999999996"/>
    <n v="0.4"/>
    <n v="0.32840000000000003"/>
    <x v="0"/>
    <x v="42"/>
    <n v="56"/>
  </r>
  <r>
    <s v="875"/>
    <d v="2011-08-02T00:00:00"/>
    <s v="Tuesday"/>
    <x v="0"/>
    <n v="0"/>
    <n v="2"/>
    <x v="21"/>
    <b v="0"/>
    <n v="2"/>
    <x v="3"/>
    <n v="1"/>
    <x v="0"/>
    <n v="0.14000000000000001"/>
    <s v="Winter"/>
    <s v="Weekday"/>
    <n v="0.1061"/>
    <n v="4.3501000000000003"/>
    <n v="0.33"/>
    <n v="0.4627"/>
    <x v="1"/>
    <x v="24"/>
    <n v="54"/>
  </r>
  <r>
    <s v="876"/>
    <d v="2011-08-02T00:00:00"/>
    <s v="Tuesday"/>
    <x v="0"/>
    <n v="0"/>
    <n v="2"/>
    <x v="22"/>
    <b v="0"/>
    <n v="2"/>
    <x v="3"/>
    <n v="1"/>
    <x v="0"/>
    <n v="0.12"/>
    <s v="Winter"/>
    <s v="Weekday"/>
    <n v="0.1061"/>
    <n v="4.3501000000000003"/>
    <n v="0.33"/>
    <n v="0.35820000000000002"/>
    <x v="3"/>
    <x v="31"/>
    <n v="29"/>
  </r>
  <r>
    <s v="877"/>
    <d v="2011-08-02T00:00:00"/>
    <s v="Tuesday"/>
    <x v="0"/>
    <n v="0"/>
    <n v="2"/>
    <x v="23"/>
    <b v="0"/>
    <n v="2"/>
    <x v="3"/>
    <n v="1"/>
    <x v="0"/>
    <n v="0.12"/>
    <s v="Winter"/>
    <s v="Weekday"/>
    <n v="0.1061"/>
    <n v="4.3501000000000003"/>
    <n v="0.33"/>
    <n v="0.32840000000000003"/>
    <x v="0"/>
    <x v="33"/>
    <n v="12"/>
  </r>
  <r>
    <s v="878"/>
    <d v="2011-09-02T00:00:00"/>
    <s v="Friday"/>
    <x v="0"/>
    <n v="0"/>
    <n v="2"/>
    <x v="0"/>
    <b v="0"/>
    <n v="3"/>
    <x v="4"/>
    <n v="1"/>
    <x v="0"/>
    <n v="0.1"/>
    <s v="Winter"/>
    <s v="Weekday"/>
    <n v="7.5800000000000006E-2"/>
    <n v="3.1078000000000001"/>
    <n v="0.36"/>
    <n v="0.35820000000000002"/>
    <x v="3"/>
    <x v="19"/>
    <n v="17"/>
  </r>
  <r>
    <s v="879"/>
    <d v="2011-09-02T00:00:00"/>
    <s v="Friday"/>
    <x v="0"/>
    <n v="0"/>
    <n v="2"/>
    <x v="1"/>
    <b v="0"/>
    <n v="3"/>
    <x v="4"/>
    <n v="1"/>
    <x v="0"/>
    <n v="0.1"/>
    <s v="Winter"/>
    <s v="Weekday"/>
    <n v="0.1061"/>
    <n v="4.3501000000000003"/>
    <n v="0.36"/>
    <n v="0.22389999999999999"/>
    <x v="3"/>
    <x v="7"/>
    <n v="7"/>
  </r>
  <r>
    <s v="880"/>
    <d v="2011-09-02T00:00:00"/>
    <s v="Friday"/>
    <x v="0"/>
    <n v="0"/>
    <n v="2"/>
    <x v="2"/>
    <b v="0"/>
    <n v="3"/>
    <x v="4"/>
    <n v="1"/>
    <x v="0"/>
    <n v="0.08"/>
    <s v="Winter"/>
    <s v="Weekday"/>
    <n v="7.5800000000000006E-2"/>
    <n v="3.1078000000000001"/>
    <n v="0.38"/>
    <n v="0.28360000000000002"/>
    <x v="5"/>
    <x v="6"/>
    <n v="3"/>
  </r>
  <r>
    <s v="881"/>
    <d v="2011-09-02T00:00:00"/>
    <s v="Friday"/>
    <x v="0"/>
    <n v="0"/>
    <n v="2"/>
    <x v="3"/>
    <b v="0"/>
    <n v="3"/>
    <x v="4"/>
    <n v="1"/>
    <x v="0"/>
    <n v="0.06"/>
    <s v="Winter"/>
    <s v="Weekday"/>
    <n v="7.5800000000000006E-2"/>
    <n v="3.1078000000000001"/>
    <n v="0.45"/>
    <n v="0.1343"/>
    <x v="3"/>
    <x v="6"/>
    <n v="2"/>
  </r>
  <r>
    <s v="882"/>
    <d v="2011-09-02T00:00:00"/>
    <s v="Friday"/>
    <x v="0"/>
    <n v="0"/>
    <n v="2"/>
    <x v="5"/>
    <b v="0"/>
    <n v="3"/>
    <x v="4"/>
    <n v="1"/>
    <x v="0"/>
    <n v="0.06"/>
    <s v="Winter"/>
    <s v="Weekday"/>
    <n v="0.1061"/>
    <n v="4.3501000000000003"/>
    <n v="0.45"/>
    <n v="0.1045"/>
    <x v="3"/>
    <x v="7"/>
    <n v="7"/>
  </r>
  <r>
    <s v="883"/>
    <d v="2011-09-02T00:00:00"/>
    <s v="Friday"/>
    <x v="0"/>
    <n v="0"/>
    <n v="2"/>
    <x v="6"/>
    <b v="0"/>
    <n v="3"/>
    <x v="4"/>
    <n v="1"/>
    <x v="0"/>
    <n v="0.06"/>
    <s v="Winter"/>
    <s v="Weekday"/>
    <n v="0.1515"/>
    <n v="6.2115"/>
    <n v="0.45"/>
    <n v="0"/>
    <x v="3"/>
    <x v="30"/>
    <n v="43"/>
  </r>
  <r>
    <s v="884"/>
    <d v="2011-09-02T00:00:00"/>
    <s v="Friday"/>
    <x v="0"/>
    <n v="0"/>
    <n v="2"/>
    <x v="7"/>
    <b v="0"/>
    <n v="3"/>
    <x v="4"/>
    <n v="1"/>
    <x v="0"/>
    <n v="0.06"/>
    <s v="Winter"/>
    <s v="Weekday"/>
    <n v="0.1061"/>
    <n v="4.3501000000000003"/>
    <n v="0.49"/>
    <n v="0.1045"/>
    <x v="17"/>
    <x v="73"/>
    <n v="99"/>
  </r>
  <r>
    <s v="885"/>
    <d v="2011-09-02T00:00:00"/>
    <s v="Friday"/>
    <x v="0"/>
    <n v="0"/>
    <n v="2"/>
    <x v="8"/>
    <b v="0"/>
    <n v="3"/>
    <x v="4"/>
    <n v="1"/>
    <x v="0"/>
    <n v="0.1"/>
    <s v="Winter"/>
    <s v="Weekday"/>
    <n v="0.13639999999999999"/>
    <n v="5.5923999999999996"/>
    <n v="0.42"/>
    <n v="0"/>
    <x v="5"/>
    <x v="173"/>
    <n v="199"/>
  </r>
  <r>
    <s v="886"/>
    <d v="2011-09-02T00:00:00"/>
    <s v="Friday"/>
    <x v="0"/>
    <n v="0"/>
    <n v="2"/>
    <x v="9"/>
    <b v="0"/>
    <n v="3"/>
    <x v="4"/>
    <n v="1"/>
    <x v="0"/>
    <n v="0.12"/>
    <s v="Winter"/>
    <s v="Weekday"/>
    <n v="0.13639999999999999"/>
    <n v="5.5923999999999996"/>
    <n v="0.39"/>
    <n v="0.16420000000000001"/>
    <x v="17"/>
    <x v="138"/>
    <n v="123"/>
  </r>
  <r>
    <s v="887"/>
    <d v="2011-09-02T00:00:00"/>
    <s v="Friday"/>
    <x v="0"/>
    <n v="0"/>
    <n v="2"/>
    <x v="10"/>
    <b v="0"/>
    <n v="3"/>
    <x v="4"/>
    <n v="1"/>
    <x v="0"/>
    <n v="0.14000000000000001"/>
    <s v="Winter"/>
    <s v="Weekday"/>
    <n v="0.18179999999999999"/>
    <n v="7.4537999999999993"/>
    <n v="0.36"/>
    <n v="0"/>
    <x v="1"/>
    <x v="82"/>
    <n v="59"/>
  </r>
  <r>
    <s v="888"/>
    <d v="2011-09-02T00:00:00"/>
    <s v="Friday"/>
    <x v="0"/>
    <n v="0"/>
    <n v="2"/>
    <x v="11"/>
    <b v="0"/>
    <n v="3"/>
    <x v="4"/>
    <n v="2"/>
    <x v="1"/>
    <n v="0.14000000000000001"/>
    <s v="Winter"/>
    <s v="Weekday"/>
    <n v="0.1515"/>
    <n v="6.2115"/>
    <n v="0.43"/>
    <n v="0.16420000000000001"/>
    <x v="5"/>
    <x v="71"/>
    <n v="41"/>
  </r>
  <r>
    <s v="889"/>
    <d v="2011-09-02T00:00:00"/>
    <s v="Friday"/>
    <x v="0"/>
    <n v="0"/>
    <n v="2"/>
    <x v="12"/>
    <b v="0"/>
    <n v="3"/>
    <x v="4"/>
    <n v="2"/>
    <x v="1"/>
    <n v="0.18"/>
    <s v="Winter"/>
    <s v="Weekday"/>
    <n v="0.18179999999999999"/>
    <n v="7.4537999999999993"/>
    <n v="0.4"/>
    <n v="0.22389999999999999"/>
    <x v="17"/>
    <x v="77"/>
    <n v="61"/>
  </r>
  <r>
    <s v="890"/>
    <d v="2011-09-02T00:00:00"/>
    <s v="Friday"/>
    <x v="0"/>
    <n v="0"/>
    <n v="2"/>
    <x v="13"/>
    <b v="0"/>
    <n v="3"/>
    <x v="4"/>
    <n v="1"/>
    <x v="0"/>
    <n v="0.18"/>
    <s v="Winter"/>
    <s v="Weekday"/>
    <n v="0.16669999999999999"/>
    <n v="6.8346999999999998"/>
    <n v="0.4"/>
    <n v="0.25369999999999998"/>
    <x v="4"/>
    <x v="28"/>
    <n v="69"/>
  </r>
  <r>
    <s v="891"/>
    <d v="2011-09-02T00:00:00"/>
    <s v="Friday"/>
    <x v="0"/>
    <n v="0"/>
    <n v="2"/>
    <x v="14"/>
    <b v="0"/>
    <n v="3"/>
    <x v="4"/>
    <n v="1"/>
    <x v="0"/>
    <n v="0.2"/>
    <s v="Winter"/>
    <s v="Weekday"/>
    <n v="0.18179999999999999"/>
    <n v="7.4537999999999993"/>
    <n v="0.34"/>
    <n v="0.29849999999999999"/>
    <x v="4"/>
    <x v="90"/>
    <n v="58"/>
  </r>
  <r>
    <s v="892"/>
    <d v="2011-09-02T00:00:00"/>
    <s v="Friday"/>
    <x v="0"/>
    <n v="0"/>
    <n v="2"/>
    <x v="15"/>
    <b v="0"/>
    <n v="3"/>
    <x v="4"/>
    <n v="2"/>
    <x v="1"/>
    <n v="0.2"/>
    <s v="Winter"/>
    <s v="Weekday"/>
    <n v="0.18179999999999999"/>
    <n v="7.4537999999999993"/>
    <n v="0.34"/>
    <n v="0.28360000000000002"/>
    <x v="0"/>
    <x v="124"/>
    <n v="64"/>
  </r>
  <r>
    <s v="893"/>
    <d v="2011-09-02T00:00:00"/>
    <s v="Friday"/>
    <x v="0"/>
    <n v="0"/>
    <n v="2"/>
    <x v="16"/>
    <b v="0"/>
    <n v="3"/>
    <x v="4"/>
    <n v="2"/>
    <x v="1"/>
    <n v="0.2"/>
    <s v="Winter"/>
    <s v="Weekday"/>
    <n v="0.19700000000000001"/>
    <n v="8.077"/>
    <n v="0.37"/>
    <n v="0.25369999999999998"/>
    <x v="18"/>
    <x v="109"/>
    <n v="79"/>
  </r>
  <r>
    <s v="894"/>
    <d v="2011-09-02T00:00:00"/>
    <s v="Friday"/>
    <x v="0"/>
    <n v="0"/>
    <n v="2"/>
    <x v="17"/>
    <b v="0"/>
    <n v="3"/>
    <x v="4"/>
    <n v="2"/>
    <x v="1"/>
    <n v="0.2"/>
    <s v="Winter"/>
    <s v="Weekday"/>
    <n v="0.19700000000000001"/>
    <n v="8.077"/>
    <n v="0.34"/>
    <n v="0.25369999999999998"/>
    <x v="14"/>
    <x v="174"/>
    <n v="166"/>
  </r>
  <r>
    <s v="895"/>
    <d v="2011-09-02T00:00:00"/>
    <s v="Friday"/>
    <x v="0"/>
    <n v="0"/>
    <n v="2"/>
    <x v="18"/>
    <b v="0"/>
    <n v="3"/>
    <x v="4"/>
    <n v="2"/>
    <x v="1"/>
    <n v="0.18"/>
    <s v="Winter"/>
    <s v="Weekday"/>
    <n v="0.16669999999999999"/>
    <n v="6.8346999999999998"/>
    <n v="0.47"/>
    <n v="0.29849999999999999"/>
    <x v="4"/>
    <x v="175"/>
    <n v="170"/>
  </r>
  <r>
    <s v="896"/>
    <d v="2011-09-02T00:00:00"/>
    <s v="Friday"/>
    <x v="0"/>
    <n v="0"/>
    <n v="2"/>
    <x v="19"/>
    <b v="0"/>
    <n v="3"/>
    <x v="4"/>
    <n v="3"/>
    <x v="2"/>
    <n v="0.14000000000000001"/>
    <s v="Winter"/>
    <s v="Weekday"/>
    <n v="0.1212"/>
    <n v="4.9691999999999998"/>
    <n v="0.86"/>
    <n v="0.25369999999999998"/>
    <x v="5"/>
    <x v="61"/>
    <n v="88"/>
  </r>
  <r>
    <s v="897"/>
    <d v="2011-09-02T00:00:00"/>
    <s v="Friday"/>
    <x v="0"/>
    <n v="0"/>
    <n v="2"/>
    <x v="20"/>
    <b v="0"/>
    <n v="3"/>
    <x v="4"/>
    <n v="3"/>
    <x v="2"/>
    <n v="0.14000000000000001"/>
    <s v="Winter"/>
    <s v="Weekday"/>
    <n v="0.1515"/>
    <n v="6.2115"/>
    <n v="0.86"/>
    <n v="0.16420000000000001"/>
    <x v="3"/>
    <x v="151"/>
    <n v="84"/>
  </r>
  <r>
    <s v="898"/>
    <d v="2011-09-02T00:00:00"/>
    <s v="Friday"/>
    <x v="0"/>
    <n v="0"/>
    <n v="2"/>
    <x v="21"/>
    <b v="0"/>
    <n v="3"/>
    <x v="4"/>
    <n v="2"/>
    <x v="1"/>
    <n v="0.14000000000000001"/>
    <s v="Winter"/>
    <s v="Weekday"/>
    <n v="0.1515"/>
    <n v="6.2115"/>
    <n v="0.86"/>
    <n v="0.16420000000000001"/>
    <x v="3"/>
    <x v="93"/>
    <n v="83"/>
  </r>
  <r>
    <s v="899"/>
    <d v="2011-09-02T00:00:00"/>
    <s v="Friday"/>
    <x v="0"/>
    <n v="0"/>
    <n v="2"/>
    <x v="22"/>
    <b v="0"/>
    <n v="3"/>
    <x v="4"/>
    <n v="3"/>
    <x v="2"/>
    <n v="0.16"/>
    <s v="Winter"/>
    <s v="Weekday"/>
    <n v="0.16669999999999999"/>
    <n v="6.8346999999999998"/>
    <n v="0.8"/>
    <n v="0.16420000000000001"/>
    <x v="17"/>
    <x v="76"/>
    <n v="46"/>
  </r>
  <r>
    <s v="900"/>
    <d v="2011-09-02T00:00:00"/>
    <s v="Friday"/>
    <x v="0"/>
    <n v="0"/>
    <n v="2"/>
    <x v="23"/>
    <b v="0"/>
    <n v="3"/>
    <x v="4"/>
    <n v="3"/>
    <x v="2"/>
    <n v="0.16"/>
    <s v="Winter"/>
    <s v="Weekday"/>
    <n v="0.1515"/>
    <n v="6.2115"/>
    <n v="0.8"/>
    <n v="0.19400000000000001"/>
    <x v="3"/>
    <x v="53"/>
    <n v="37"/>
  </r>
  <r>
    <s v="901"/>
    <d v="2011-10-02T00:00:00"/>
    <s v="Sunday"/>
    <x v="0"/>
    <n v="0"/>
    <n v="2"/>
    <x v="0"/>
    <b v="0"/>
    <n v="4"/>
    <x v="5"/>
    <n v="3"/>
    <x v="2"/>
    <n v="0.14000000000000001"/>
    <s v="Winter"/>
    <s v="Weekend"/>
    <n v="0.13639999999999999"/>
    <n v="5.5923999999999996"/>
    <n v="0.86"/>
    <n v="0.19400000000000001"/>
    <x v="3"/>
    <x v="20"/>
    <n v="16"/>
  </r>
  <r>
    <s v="902"/>
    <d v="2011-10-02T00:00:00"/>
    <s v="Sunday"/>
    <x v="0"/>
    <n v="0"/>
    <n v="2"/>
    <x v="1"/>
    <b v="0"/>
    <n v="4"/>
    <x v="5"/>
    <n v="3"/>
    <x v="2"/>
    <n v="0.14000000000000001"/>
    <s v="Winter"/>
    <s v="Weekend"/>
    <n v="0.1515"/>
    <n v="6.2115"/>
    <n v="0.8"/>
    <n v="0.1343"/>
    <x v="3"/>
    <x v="7"/>
    <n v="7"/>
  </r>
  <r>
    <s v="903"/>
    <d v="2011-10-02T00:00:00"/>
    <s v="Sunday"/>
    <x v="0"/>
    <n v="0"/>
    <n v="2"/>
    <x v="2"/>
    <b v="0"/>
    <n v="4"/>
    <x v="5"/>
    <n v="3"/>
    <x v="2"/>
    <n v="0.14000000000000001"/>
    <s v="Winter"/>
    <s v="Weekend"/>
    <n v="0.1515"/>
    <n v="6.2115"/>
    <n v="0.8"/>
    <n v="0.1343"/>
    <x v="3"/>
    <x v="35"/>
    <n v="3"/>
  </r>
  <r>
    <s v="904"/>
    <d v="2011-10-02T00:00:00"/>
    <s v="Sunday"/>
    <x v="0"/>
    <n v="0"/>
    <n v="2"/>
    <x v="4"/>
    <b v="0"/>
    <n v="4"/>
    <x v="5"/>
    <n v="2"/>
    <x v="1"/>
    <n v="0.14000000000000001"/>
    <s v="Winter"/>
    <s v="Weekend"/>
    <n v="0.13639999999999999"/>
    <n v="5.5923999999999996"/>
    <n v="0.59"/>
    <n v="0.22389999999999999"/>
    <x v="3"/>
    <x v="4"/>
    <n v="1"/>
  </r>
  <r>
    <s v="905"/>
    <d v="2011-10-02T00:00:00"/>
    <s v="Sunday"/>
    <x v="0"/>
    <n v="0"/>
    <n v="2"/>
    <x v="5"/>
    <b v="0"/>
    <n v="4"/>
    <x v="5"/>
    <n v="2"/>
    <x v="1"/>
    <n v="0.12"/>
    <s v="Winter"/>
    <s v="Weekend"/>
    <n v="0.1212"/>
    <n v="4.9691999999999998"/>
    <n v="0.5"/>
    <n v="0.22389999999999999"/>
    <x v="3"/>
    <x v="8"/>
    <n v="6"/>
  </r>
  <r>
    <s v="906"/>
    <d v="2011-10-02T00:00:00"/>
    <s v="Sunday"/>
    <x v="0"/>
    <n v="0"/>
    <n v="2"/>
    <x v="6"/>
    <b v="0"/>
    <n v="4"/>
    <x v="5"/>
    <n v="2"/>
    <x v="1"/>
    <n v="0.12"/>
    <s v="Winter"/>
    <s v="Weekend"/>
    <n v="0.1212"/>
    <n v="4.9691999999999998"/>
    <n v="0.54"/>
    <n v="0.28360000000000002"/>
    <x v="3"/>
    <x v="16"/>
    <n v="26"/>
  </r>
  <r>
    <s v="907"/>
    <d v="2011-10-02T00:00:00"/>
    <s v="Sunday"/>
    <x v="0"/>
    <n v="0"/>
    <n v="2"/>
    <x v="7"/>
    <b v="0"/>
    <n v="4"/>
    <x v="5"/>
    <n v="1"/>
    <x v="0"/>
    <n v="0.1"/>
    <s v="Winter"/>
    <s v="Weekend"/>
    <n v="7.5800000000000006E-2"/>
    <n v="3.1078000000000001"/>
    <n v="0.5"/>
    <n v="0.41789999999999999"/>
    <x v="3"/>
    <x v="176"/>
    <n v="99"/>
  </r>
  <r>
    <s v="908"/>
    <d v="2011-10-02T00:00:00"/>
    <s v="Sunday"/>
    <x v="0"/>
    <n v="0"/>
    <n v="2"/>
    <x v="8"/>
    <b v="0"/>
    <n v="4"/>
    <x v="5"/>
    <n v="1"/>
    <x v="0"/>
    <n v="0.1"/>
    <s v="Winter"/>
    <s v="Weekend"/>
    <n v="7.5800000000000006E-2"/>
    <n v="3.1078000000000001"/>
    <n v="0.49"/>
    <n v="0.32840000000000003"/>
    <x v="2"/>
    <x v="177"/>
    <n v="178"/>
  </r>
  <r>
    <s v="909"/>
    <d v="2011-10-02T00:00:00"/>
    <s v="Sunday"/>
    <x v="0"/>
    <n v="0"/>
    <n v="2"/>
    <x v="9"/>
    <b v="0"/>
    <n v="4"/>
    <x v="5"/>
    <n v="1"/>
    <x v="0"/>
    <n v="0.12"/>
    <s v="Winter"/>
    <s v="Weekend"/>
    <n v="0.1061"/>
    <n v="4.3501000000000003"/>
    <n v="0.42"/>
    <n v="0.35820000000000002"/>
    <x v="5"/>
    <x v="178"/>
    <n v="122"/>
  </r>
  <r>
    <s v="910"/>
    <d v="2011-10-02T00:00:00"/>
    <s v="Sunday"/>
    <x v="0"/>
    <n v="0"/>
    <n v="2"/>
    <x v="10"/>
    <b v="0"/>
    <n v="4"/>
    <x v="5"/>
    <n v="1"/>
    <x v="0"/>
    <n v="0.12"/>
    <s v="Winter"/>
    <s v="Weekend"/>
    <n v="0.1061"/>
    <n v="4.3501000000000003"/>
    <n v="0.42"/>
    <n v="0.29849999999999999"/>
    <x v="5"/>
    <x v="60"/>
    <n v="35"/>
  </r>
  <r>
    <s v="911"/>
    <d v="2011-10-02T00:00:00"/>
    <s v="Sunday"/>
    <x v="0"/>
    <n v="0"/>
    <n v="2"/>
    <x v="11"/>
    <b v="0"/>
    <n v="4"/>
    <x v="5"/>
    <n v="1"/>
    <x v="0"/>
    <n v="0.14000000000000001"/>
    <s v="Winter"/>
    <s v="Weekend"/>
    <n v="0.1212"/>
    <n v="4.9691999999999998"/>
    <n v="0.39"/>
    <n v="0.35820000000000002"/>
    <x v="5"/>
    <x v="100"/>
    <n v="45"/>
  </r>
  <r>
    <s v="912"/>
    <d v="2011-10-02T00:00:00"/>
    <s v="Sunday"/>
    <x v="0"/>
    <n v="0"/>
    <n v="2"/>
    <x v="12"/>
    <b v="0"/>
    <n v="4"/>
    <x v="5"/>
    <n v="1"/>
    <x v="0"/>
    <n v="0.16"/>
    <s v="Winter"/>
    <s v="Weekend"/>
    <n v="0.13639999999999999"/>
    <n v="5.5923999999999996"/>
    <n v="0.34"/>
    <n v="0.3881"/>
    <x v="17"/>
    <x v="65"/>
    <n v="69"/>
  </r>
  <r>
    <s v="913"/>
    <d v="2011-10-02T00:00:00"/>
    <s v="Sunday"/>
    <x v="0"/>
    <n v="0"/>
    <n v="2"/>
    <x v="13"/>
    <b v="0"/>
    <n v="4"/>
    <x v="5"/>
    <n v="1"/>
    <x v="0"/>
    <n v="0.18"/>
    <s v="Winter"/>
    <s v="Weekend"/>
    <n v="0.16669999999999999"/>
    <n v="6.8346999999999998"/>
    <n v="0.28999999999999998"/>
    <n v="0.29849999999999999"/>
    <x v="0"/>
    <x v="79"/>
    <n v="62"/>
  </r>
  <r>
    <s v="914"/>
    <d v="2011-10-02T00:00:00"/>
    <s v="Sunday"/>
    <x v="0"/>
    <n v="0"/>
    <n v="2"/>
    <x v="14"/>
    <b v="0"/>
    <n v="4"/>
    <x v="5"/>
    <n v="1"/>
    <x v="0"/>
    <n v="0.2"/>
    <s v="Winter"/>
    <s v="Weekend"/>
    <n v="0.18179999999999999"/>
    <n v="7.4537999999999993"/>
    <n v="0.27"/>
    <n v="0.28360000000000002"/>
    <x v="15"/>
    <x v="76"/>
    <n v="48"/>
  </r>
  <r>
    <s v="915"/>
    <d v="2011-10-02T00:00:00"/>
    <s v="Sunday"/>
    <x v="0"/>
    <n v="0"/>
    <n v="2"/>
    <x v="15"/>
    <b v="0"/>
    <n v="4"/>
    <x v="5"/>
    <n v="1"/>
    <x v="0"/>
    <n v="0.2"/>
    <s v="Winter"/>
    <s v="Weekend"/>
    <n v="0.19700000000000001"/>
    <n v="8.077"/>
    <n v="0.25"/>
    <n v="0.25369999999999998"/>
    <x v="3"/>
    <x v="54"/>
    <n v="50"/>
  </r>
  <r>
    <s v="916"/>
    <d v="2011-10-02T00:00:00"/>
    <s v="Sunday"/>
    <x v="0"/>
    <n v="0"/>
    <n v="2"/>
    <x v="16"/>
    <b v="0"/>
    <n v="4"/>
    <x v="5"/>
    <n v="1"/>
    <x v="0"/>
    <n v="0.2"/>
    <s v="Winter"/>
    <s v="Weekend"/>
    <n v="0.18179999999999999"/>
    <n v="7.4537999999999993"/>
    <n v="0.27"/>
    <n v="0.29849999999999999"/>
    <x v="17"/>
    <x v="83"/>
    <n v="80"/>
  </r>
  <r>
    <s v="917"/>
    <d v="2011-10-02T00:00:00"/>
    <s v="Sunday"/>
    <x v="0"/>
    <n v="0"/>
    <n v="2"/>
    <x v="17"/>
    <b v="0"/>
    <n v="4"/>
    <x v="5"/>
    <n v="1"/>
    <x v="0"/>
    <n v="0.18"/>
    <s v="Winter"/>
    <s v="Weekend"/>
    <n v="0.18179999999999999"/>
    <n v="7.4537999999999993"/>
    <n v="0.26"/>
    <n v="0.19400000000000001"/>
    <x v="15"/>
    <x v="136"/>
    <n v="165"/>
  </r>
  <r>
    <s v="918"/>
    <d v="2011-10-02T00:00:00"/>
    <s v="Sunday"/>
    <x v="0"/>
    <n v="0"/>
    <n v="2"/>
    <x v="18"/>
    <b v="0"/>
    <n v="4"/>
    <x v="5"/>
    <n v="1"/>
    <x v="0"/>
    <n v="0.16"/>
    <s v="Winter"/>
    <s v="Weekend"/>
    <n v="0.18179999999999999"/>
    <n v="7.4537999999999993"/>
    <n v="0.28000000000000003"/>
    <n v="0.1343"/>
    <x v="0"/>
    <x v="174"/>
    <n v="160"/>
  </r>
  <r>
    <s v="919"/>
    <d v="2011-10-02T00:00:00"/>
    <s v="Sunday"/>
    <x v="0"/>
    <n v="0"/>
    <n v="2"/>
    <x v="19"/>
    <b v="0"/>
    <n v="4"/>
    <x v="5"/>
    <n v="1"/>
    <x v="0"/>
    <n v="0.14000000000000001"/>
    <s v="Winter"/>
    <s v="Weekend"/>
    <n v="0.16669999999999999"/>
    <n v="6.8346999999999998"/>
    <n v="0.28000000000000003"/>
    <n v="0.1045"/>
    <x v="4"/>
    <x v="59"/>
    <n v="112"/>
  </r>
  <r>
    <s v="920"/>
    <d v="2011-10-02T00:00:00"/>
    <s v="Sunday"/>
    <x v="0"/>
    <n v="0"/>
    <n v="2"/>
    <x v="20"/>
    <b v="0"/>
    <n v="4"/>
    <x v="5"/>
    <n v="1"/>
    <x v="0"/>
    <n v="0.14000000000000001"/>
    <s v="Winter"/>
    <s v="Weekend"/>
    <n v="0.18179999999999999"/>
    <n v="7.4537999999999993"/>
    <n v="0.31"/>
    <n v="8.9599999999999999E-2"/>
    <x v="17"/>
    <x v="139"/>
    <n v="97"/>
  </r>
  <r>
    <s v="921"/>
    <d v="2011-10-02T00:00:00"/>
    <s v="Sunday"/>
    <x v="0"/>
    <n v="0"/>
    <n v="2"/>
    <x v="21"/>
    <b v="0"/>
    <n v="4"/>
    <x v="5"/>
    <n v="1"/>
    <x v="0"/>
    <n v="0.14000000000000001"/>
    <s v="Winter"/>
    <s v="Weekend"/>
    <n v="0.21210000000000001"/>
    <n v="8.6961000000000013"/>
    <n v="0.39"/>
    <n v="0"/>
    <x v="4"/>
    <x v="14"/>
    <n v="72"/>
  </r>
  <r>
    <s v="922"/>
    <d v="2011-10-02T00:00:00"/>
    <s v="Sunday"/>
    <x v="0"/>
    <n v="0"/>
    <n v="2"/>
    <x v="22"/>
    <b v="0"/>
    <n v="4"/>
    <x v="5"/>
    <n v="1"/>
    <x v="0"/>
    <n v="0.12"/>
    <s v="Winter"/>
    <s v="Weekend"/>
    <n v="0.19700000000000001"/>
    <n v="8.077"/>
    <n v="0.39"/>
    <n v="0"/>
    <x v="17"/>
    <x v="12"/>
    <n v="51"/>
  </r>
  <r>
    <s v="923"/>
    <d v="2011-10-02T00:00:00"/>
    <s v="Sunday"/>
    <x v="0"/>
    <n v="0"/>
    <n v="2"/>
    <x v="23"/>
    <b v="0"/>
    <n v="4"/>
    <x v="5"/>
    <n v="1"/>
    <x v="0"/>
    <n v="0.12"/>
    <s v="Winter"/>
    <s v="Weekend"/>
    <n v="0.1515"/>
    <n v="6.2115"/>
    <n v="0.42"/>
    <n v="0.1045"/>
    <x v="5"/>
    <x v="39"/>
    <n v="34"/>
  </r>
  <r>
    <s v="924"/>
    <d v="2011-11-02T00:00:00"/>
    <s v="Wednesday"/>
    <x v="0"/>
    <n v="0"/>
    <n v="2"/>
    <x v="0"/>
    <b v="0"/>
    <n v="5"/>
    <x v="6"/>
    <n v="1"/>
    <x v="0"/>
    <n v="0.1"/>
    <s v="Winter"/>
    <s v="Weekday"/>
    <n v="0.13639999999999999"/>
    <n v="5.5923999999999996"/>
    <n v="0.49"/>
    <n v="0.1045"/>
    <x v="4"/>
    <x v="98"/>
    <n v="14"/>
  </r>
  <r>
    <s v="925"/>
    <d v="2011-11-02T00:00:00"/>
    <s v="Wednesday"/>
    <x v="0"/>
    <n v="0"/>
    <n v="2"/>
    <x v="1"/>
    <b v="0"/>
    <n v="5"/>
    <x v="6"/>
    <n v="1"/>
    <x v="0"/>
    <n v="0.1"/>
    <s v="Winter"/>
    <s v="Weekday"/>
    <n v="0.13639999999999999"/>
    <n v="5.5923999999999996"/>
    <n v="0.54"/>
    <n v="8.9599999999999999E-2"/>
    <x v="5"/>
    <x v="8"/>
    <n v="7"/>
  </r>
  <r>
    <s v="926"/>
    <d v="2011-11-02T00:00:00"/>
    <s v="Wednesday"/>
    <x v="0"/>
    <n v="0"/>
    <n v="2"/>
    <x v="2"/>
    <b v="0"/>
    <n v="5"/>
    <x v="6"/>
    <n v="1"/>
    <x v="0"/>
    <n v="0.1"/>
    <s v="Winter"/>
    <s v="Weekday"/>
    <n v="0.13639999999999999"/>
    <n v="5.5923999999999996"/>
    <n v="0.54"/>
    <n v="8.9599999999999999E-2"/>
    <x v="3"/>
    <x v="35"/>
    <n v="3"/>
  </r>
  <r>
    <s v="927"/>
    <d v="2011-11-02T00:00:00"/>
    <s v="Wednesday"/>
    <x v="0"/>
    <n v="0"/>
    <n v="2"/>
    <x v="5"/>
    <b v="0"/>
    <n v="5"/>
    <x v="6"/>
    <n v="1"/>
    <x v="0"/>
    <n v="0.08"/>
    <s v="Winter"/>
    <s v="Weekday"/>
    <n v="0.1212"/>
    <n v="4.9691999999999998"/>
    <n v="0.63"/>
    <n v="8.9599999999999999E-2"/>
    <x v="3"/>
    <x v="22"/>
    <n v="4"/>
  </r>
  <r>
    <s v="928"/>
    <d v="2011-11-02T00:00:00"/>
    <s v="Wednesday"/>
    <x v="0"/>
    <n v="0"/>
    <n v="2"/>
    <x v="6"/>
    <b v="0"/>
    <n v="5"/>
    <x v="6"/>
    <n v="1"/>
    <x v="0"/>
    <n v="0.1"/>
    <s v="Winter"/>
    <s v="Weekday"/>
    <n v="0.18179999999999999"/>
    <n v="7.4537999999999993"/>
    <n v="0.68"/>
    <n v="0"/>
    <x v="5"/>
    <x v="140"/>
    <n v="24"/>
  </r>
  <r>
    <s v="929"/>
    <d v="2011-11-02T00:00:00"/>
    <s v="Wednesday"/>
    <x v="0"/>
    <n v="0"/>
    <n v="2"/>
    <x v="7"/>
    <b v="0"/>
    <n v="5"/>
    <x v="6"/>
    <n v="1"/>
    <x v="0"/>
    <n v="0.08"/>
    <s v="Winter"/>
    <s v="Weekday"/>
    <n v="0.16669999999999999"/>
    <n v="6.8346999999999998"/>
    <n v="0.73"/>
    <n v="0"/>
    <x v="5"/>
    <x v="26"/>
    <n v="74"/>
  </r>
  <r>
    <s v="930"/>
    <d v="2011-11-02T00:00:00"/>
    <s v="Wednesday"/>
    <x v="0"/>
    <n v="0"/>
    <n v="2"/>
    <x v="8"/>
    <b v="0"/>
    <n v="5"/>
    <x v="6"/>
    <n v="1"/>
    <x v="0"/>
    <n v="0.1"/>
    <s v="Winter"/>
    <s v="Weekday"/>
    <n v="0.1212"/>
    <n v="4.9691999999999998"/>
    <n v="0.74"/>
    <n v="0.16420000000000001"/>
    <x v="17"/>
    <x v="179"/>
    <n v="216"/>
  </r>
  <r>
    <s v="931"/>
    <d v="2011-11-02T00:00:00"/>
    <s v="Wednesday"/>
    <x v="0"/>
    <n v="0"/>
    <n v="2"/>
    <x v="9"/>
    <b v="0"/>
    <n v="5"/>
    <x v="6"/>
    <n v="1"/>
    <x v="0"/>
    <n v="0.12"/>
    <s v="Winter"/>
    <s v="Weekday"/>
    <n v="0.1212"/>
    <n v="4.9691999999999998"/>
    <n v="0.74"/>
    <n v="0.22389999999999999"/>
    <x v="1"/>
    <x v="126"/>
    <n v="140"/>
  </r>
  <r>
    <s v="932"/>
    <d v="2011-11-02T00:00:00"/>
    <s v="Wednesday"/>
    <x v="0"/>
    <n v="0"/>
    <n v="2"/>
    <x v="10"/>
    <b v="0"/>
    <n v="5"/>
    <x v="6"/>
    <n v="1"/>
    <x v="0"/>
    <n v="0.14000000000000001"/>
    <s v="Winter"/>
    <s v="Weekday"/>
    <n v="0.13639999999999999"/>
    <n v="5.5923999999999996"/>
    <n v="0.69"/>
    <n v="0.19400000000000001"/>
    <x v="2"/>
    <x v="87"/>
    <n v="44"/>
  </r>
  <r>
    <s v="933"/>
    <d v="2011-11-02T00:00:00"/>
    <s v="Wednesday"/>
    <x v="0"/>
    <n v="0"/>
    <n v="2"/>
    <x v="11"/>
    <b v="0"/>
    <n v="5"/>
    <x v="6"/>
    <n v="1"/>
    <x v="0"/>
    <n v="0.22"/>
    <s v="Winter"/>
    <s v="Weekday"/>
    <n v="0.2273"/>
    <n v="9.3193000000000001"/>
    <n v="0.47"/>
    <n v="0.1343"/>
    <x v="6"/>
    <x v="15"/>
    <n v="64"/>
  </r>
  <r>
    <s v="934"/>
    <d v="2011-11-02T00:00:00"/>
    <s v="Wednesday"/>
    <x v="0"/>
    <n v="0"/>
    <n v="2"/>
    <x v="12"/>
    <b v="0"/>
    <n v="5"/>
    <x v="6"/>
    <n v="1"/>
    <x v="0"/>
    <n v="0.22"/>
    <s v="Winter"/>
    <s v="Weekday"/>
    <n v="0.2273"/>
    <n v="9.3193000000000001"/>
    <n v="0.47"/>
    <n v="0.1343"/>
    <x v="18"/>
    <x v="27"/>
    <n v="71"/>
  </r>
  <r>
    <s v="935"/>
    <d v="2011-11-02T00:00:00"/>
    <s v="Wednesday"/>
    <x v="0"/>
    <n v="0"/>
    <n v="2"/>
    <x v="13"/>
    <b v="0"/>
    <n v="5"/>
    <x v="6"/>
    <n v="1"/>
    <x v="0"/>
    <n v="0.24"/>
    <s v="Winter"/>
    <s v="Weekday"/>
    <n v="0.2273"/>
    <n v="9.3193000000000001"/>
    <n v="0.35"/>
    <n v="0.19400000000000001"/>
    <x v="27"/>
    <x v="121"/>
    <n v="110"/>
  </r>
  <r>
    <s v="936"/>
    <d v="2011-11-02T00:00:00"/>
    <s v="Wednesday"/>
    <x v="0"/>
    <n v="0"/>
    <n v="2"/>
    <x v="14"/>
    <b v="0"/>
    <n v="5"/>
    <x v="6"/>
    <n v="1"/>
    <x v="0"/>
    <n v="0.3"/>
    <s v="Winter"/>
    <s v="Weekday"/>
    <n v="0.28789999999999999"/>
    <n v="11.803899999999999"/>
    <n v="0.26"/>
    <n v="0.25369999999999998"/>
    <x v="26"/>
    <x v="28"/>
    <n v="84"/>
  </r>
  <r>
    <s v="937"/>
    <d v="2011-11-02T00:00:00"/>
    <s v="Wednesday"/>
    <x v="0"/>
    <n v="0"/>
    <n v="2"/>
    <x v="15"/>
    <b v="0"/>
    <n v="5"/>
    <x v="6"/>
    <n v="1"/>
    <x v="0"/>
    <n v="0.32"/>
    <s v="Winter"/>
    <s v="Weekday"/>
    <n v="0.31819999999999998"/>
    <n v="13.046199999999999"/>
    <n v="0.21"/>
    <n v="0.16420000000000001"/>
    <x v="6"/>
    <x v="133"/>
    <n v="74"/>
  </r>
  <r>
    <s v="938"/>
    <d v="2011-11-02T00:00:00"/>
    <s v="Wednesday"/>
    <x v="0"/>
    <n v="0"/>
    <n v="2"/>
    <x v="16"/>
    <b v="0"/>
    <n v="5"/>
    <x v="6"/>
    <n v="1"/>
    <x v="0"/>
    <n v="0.3"/>
    <s v="Winter"/>
    <s v="Weekday"/>
    <n v="0.28789999999999999"/>
    <n v="11.803899999999999"/>
    <n v="0.28000000000000003"/>
    <n v="0.19400000000000001"/>
    <x v="24"/>
    <x v="180"/>
    <n v="125"/>
  </r>
  <r>
    <s v="939"/>
    <d v="2011-11-02T00:00:00"/>
    <s v="Wednesday"/>
    <x v="0"/>
    <n v="0"/>
    <n v="2"/>
    <x v="17"/>
    <b v="0"/>
    <n v="5"/>
    <x v="6"/>
    <n v="1"/>
    <x v="0"/>
    <n v="0.3"/>
    <s v="Winter"/>
    <s v="Weekday"/>
    <n v="0.33329999999999999"/>
    <n v="13.6653"/>
    <n v="0.24"/>
    <n v="0"/>
    <x v="25"/>
    <x v="181"/>
    <n v="211"/>
  </r>
  <r>
    <s v="940"/>
    <d v="2011-11-02T00:00:00"/>
    <s v="Wednesday"/>
    <x v="0"/>
    <n v="0"/>
    <n v="2"/>
    <x v="18"/>
    <b v="0"/>
    <n v="5"/>
    <x v="6"/>
    <n v="1"/>
    <x v="0"/>
    <n v="0.28000000000000003"/>
    <s v="Winter"/>
    <s v="Weekday"/>
    <n v="0.31819999999999998"/>
    <n v="13.046199999999999"/>
    <n v="0.28000000000000003"/>
    <n v="0"/>
    <x v="14"/>
    <x v="158"/>
    <n v="174"/>
  </r>
  <r>
    <s v="941"/>
    <d v="2011-11-02T00:00:00"/>
    <s v="Wednesday"/>
    <x v="0"/>
    <n v="0"/>
    <n v="2"/>
    <x v="19"/>
    <b v="0"/>
    <n v="5"/>
    <x v="6"/>
    <n v="1"/>
    <x v="0"/>
    <n v="0.26"/>
    <s v="Winter"/>
    <s v="Weekday"/>
    <n v="0.30299999999999999"/>
    <n v="12.423"/>
    <n v="0.33"/>
    <n v="0"/>
    <x v="18"/>
    <x v="111"/>
    <n v="101"/>
  </r>
  <r>
    <s v="942"/>
    <d v="2011-11-02T00:00:00"/>
    <s v="Wednesday"/>
    <x v="0"/>
    <n v="0"/>
    <n v="2"/>
    <x v="20"/>
    <b v="0"/>
    <n v="5"/>
    <x v="6"/>
    <n v="1"/>
    <x v="0"/>
    <n v="0.22"/>
    <s v="Winter"/>
    <s v="Weekday"/>
    <n v="0.2273"/>
    <n v="9.3193000000000001"/>
    <n v="0.55000000000000004"/>
    <n v="0.1343"/>
    <x v="4"/>
    <x v="124"/>
    <n v="63"/>
  </r>
  <r>
    <s v="943"/>
    <d v="2011-11-02T00:00:00"/>
    <s v="Wednesday"/>
    <x v="0"/>
    <n v="0"/>
    <n v="2"/>
    <x v="21"/>
    <b v="0"/>
    <n v="5"/>
    <x v="6"/>
    <n v="1"/>
    <x v="0"/>
    <n v="0.2"/>
    <s v="Winter"/>
    <s v="Weekday"/>
    <n v="0.21210000000000001"/>
    <n v="8.6961000000000013"/>
    <n v="0.59"/>
    <n v="0.1343"/>
    <x v="5"/>
    <x v="24"/>
    <n v="47"/>
  </r>
  <r>
    <s v="944"/>
    <d v="2011-11-02T00:00:00"/>
    <s v="Wednesday"/>
    <x v="0"/>
    <n v="0"/>
    <n v="2"/>
    <x v="22"/>
    <b v="0"/>
    <n v="5"/>
    <x v="6"/>
    <n v="1"/>
    <x v="0"/>
    <n v="0.2"/>
    <s v="Winter"/>
    <s v="Weekday"/>
    <n v="0.2273"/>
    <n v="9.3193000000000001"/>
    <n v="0.64"/>
    <n v="8.9599999999999999E-2"/>
    <x v="4"/>
    <x v="40"/>
    <n v="43"/>
  </r>
  <r>
    <s v="945"/>
    <d v="2011-11-02T00:00:00"/>
    <s v="Wednesday"/>
    <x v="0"/>
    <n v="0"/>
    <n v="2"/>
    <x v="23"/>
    <b v="0"/>
    <n v="5"/>
    <x v="6"/>
    <n v="1"/>
    <x v="0"/>
    <n v="0.18"/>
    <s v="Winter"/>
    <s v="Weekday"/>
    <n v="0.2424"/>
    <n v="9.9383999999999997"/>
    <n v="0.69"/>
    <n v="0"/>
    <x v="2"/>
    <x v="41"/>
    <n v="53"/>
  </r>
  <r>
    <s v="946"/>
    <d v="2011-12-02T00:00:00"/>
    <s v="Friday"/>
    <x v="0"/>
    <n v="0"/>
    <n v="2"/>
    <x v="0"/>
    <b v="0"/>
    <n v="6"/>
    <x v="0"/>
    <n v="1"/>
    <x v="0"/>
    <n v="0.16"/>
    <s v="Winter"/>
    <s v="Weekday"/>
    <n v="0.19700000000000001"/>
    <n v="8.077"/>
    <n v="0.69"/>
    <n v="8.9599999999999999E-2"/>
    <x v="0"/>
    <x v="2"/>
    <n v="30"/>
  </r>
  <r>
    <s v="947"/>
    <d v="2011-12-02T00:00:00"/>
    <s v="Friday"/>
    <x v="0"/>
    <n v="0"/>
    <n v="2"/>
    <x v="1"/>
    <b v="0"/>
    <n v="6"/>
    <x v="0"/>
    <n v="1"/>
    <x v="0"/>
    <n v="0.14000000000000001"/>
    <s v="Winter"/>
    <s v="Weekday"/>
    <n v="0.21210000000000001"/>
    <n v="8.6961000000000013"/>
    <n v="0.86"/>
    <n v="0"/>
    <x v="4"/>
    <x v="97"/>
    <n v="24"/>
  </r>
  <r>
    <s v="948"/>
    <d v="2011-12-02T00:00:00"/>
    <s v="Friday"/>
    <x v="0"/>
    <n v="0"/>
    <n v="2"/>
    <x v="2"/>
    <b v="0"/>
    <n v="6"/>
    <x v="0"/>
    <n v="1"/>
    <x v="0"/>
    <n v="0.14000000000000001"/>
    <s v="Winter"/>
    <s v="Weekday"/>
    <n v="0.21210000000000001"/>
    <n v="8.6961000000000013"/>
    <n v="0.8"/>
    <n v="0"/>
    <x v="4"/>
    <x v="0"/>
    <n v="15"/>
  </r>
  <r>
    <s v="949"/>
    <d v="2011-12-02T00:00:00"/>
    <s v="Friday"/>
    <x v="0"/>
    <n v="0"/>
    <n v="2"/>
    <x v="3"/>
    <b v="0"/>
    <n v="6"/>
    <x v="0"/>
    <n v="1"/>
    <x v="0"/>
    <n v="0.12"/>
    <s v="Winter"/>
    <s v="Weekday"/>
    <n v="0.19700000000000001"/>
    <n v="8.077"/>
    <n v="0.8"/>
    <n v="0"/>
    <x v="0"/>
    <x v="7"/>
    <n v="10"/>
  </r>
  <r>
    <s v="950"/>
    <d v="2011-12-02T00:00:00"/>
    <s v="Friday"/>
    <x v="0"/>
    <n v="0"/>
    <n v="2"/>
    <x v="4"/>
    <b v="0"/>
    <n v="6"/>
    <x v="0"/>
    <n v="1"/>
    <x v="0"/>
    <n v="0.12"/>
    <s v="Winter"/>
    <s v="Weekday"/>
    <n v="0.16669999999999999"/>
    <n v="6.8346999999999998"/>
    <n v="0.74"/>
    <n v="8.9599999999999999E-2"/>
    <x v="3"/>
    <x v="22"/>
    <n v="4"/>
  </r>
  <r>
    <s v="951"/>
    <d v="2011-12-02T00:00:00"/>
    <s v="Friday"/>
    <x v="0"/>
    <n v="0"/>
    <n v="2"/>
    <x v="5"/>
    <b v="0"/>
    <n v="6"/>
    <x v="0"/>
    <n v="1"/>
    <x v="0"/>
    <n v="0.12"/>
    <s v="Winter"/>
    <s v="Weekday"/>
    <n v="0.16669999999999999"/>
    <n v="6.8346999999999998"/>
    <n v="0.74"/>
    <n v="8.9599999999999999E-2"/>
    <x v="3"/>
    <x v="4"/>
    <n v="1"/>
  </r>
  <r>
    <s v="952"/>
    <d v="2011-12-02T00:00:00"/>
    <s v="Friday"/>
    <x v="0"/>
    <n v="0"/>
    <n v="2"/>
    <x v="6"/>
    <b v="0"/>
    <n v="6"/>
    <x v="0"/>
    <n v="1"/>
    <x v="0"/>
    <n v="0.12"/>
    <s v="Winter"/>
    <s v="Weekday"/>
    <n v="0.13639999999999999"/>
    <n v="5.5923999999999996"/>
    <n v="0.93"/>
    <n v="0.19400000000000001"/>
    <x v="5"/>
    <x v="4"/>
    <n v="2"/>
  </r>
  <r>
    <s v="953"/>
    <d v="2011-12-02T00:00:00"/>
    <s v="Friday"/>
    <x v="0"/>
    <n v="0"/>
    <n v="2"/>
    <x v="7"/>
    <b v="0"/>
    <n v="6"/>
    <x v="0"/>
    <n v="1"/>
    <x v="0"/>
    <n v="0.12"/>
    <s v="Winter"/>
    <s v="Weekday"/>
    <n v="0.1515"/>
    <n v="6.2115"/>
    <n v="0.8"/>
    <n v="0.1045"/>
    <x v="4"/>
    <x v="33"/>
    <n v="11"/>
  </r>
  <r>
    <s v="954"/>
    <d v="2011-12-02T00:00:00"/>
    <s v="Friday"/>
    <x v="0"/>
    <n v="0"/>
    <n v="2"/>
    <x v="8"/>
    <b v="0"/>
    <n v="6"/>
    <x v="0"/>
    <n v="1"/>
    <x v="0"/>
    <n v="0.14000000000000001"/>
    <s v="Winter"/>
    <s v="Weekday"/>
    <n v="0.1515"/>
    <n v="6.2115"/>
    <n v="0.86"/>
    <n v="0.1343"/>
    <x v="4"/>
    <x v="95"/>
    <n v="30"/>
  </r>
  <r>
    <s v="955"/>
    <d v="2011-12-02T00:00:00"/>
    <s v="Friday"/>
    <x v="0"/>
    <n v="0"/>
    <n v="2"/>
    <x v="9"/>
    <b v="0"/>
    <n v="6"/>
    <x v="0"/>
    <n v="1"/>
    <x v="0"/>
    <n v="0.16"/>
    <s v="Winter"/>
    <s v="Weekday"/>
    <n v="0.18179999999999999"/>
    <n v="7.4537999999999993"/>
    <n v="0.64"/>
    <n v="0.1343"/>
    <x v="2"/>
    <x v="101"/>
    <n v="43"/>
  </r>
  <r>
    <s v="956"/>
    <d v="2011-12-02T00:00:00"/>
    <s v="Friday"/>
    <x v="0"/>
    <n v="0"/>
    <n v="2"/>
    <x v="10"/>
    <b v="0"/>
    <n v="6"/>
    <x v="0"/>
    <n v="1"/>
    <x v="0"/>
    <n v="0.22"/>
    <s v="Winter"/>
    <s v="Weekday"/>
    <n v="0.21210000000000001"/>
    <n v="8.6961000000000013"/>
    <n v="0.41"/>
    <n v="0.25369999999999998"/>
    <x v="23"/>
    <x v="13"/>
    <n v="84"/>
  </r>
  <r>
    <s v="957"/>
    <d v="2011-12-02T00:00:00"/>
    <s v="Friday"/>
    <x v="0"/>
    <n v="0"/>
    <n v="2"/>
    <x v="11"/>
    <b v="0"/>
    <n v="6"/>
    <x v="0"/>
    <n v="1"/>
    <x v="0"/>
    <n v="0.3"/>
    <s v="Winter"/>
    <s v="Weekday"/>
    <n v="0.2727"/>
    <n v="11.1807"/>
    <n v="0.28000000000000003"/>
    <n v="0.32840000000000003"/>
    <x v="36"/>
    <x v="151"/>
    <n v="114"/>
  </r>
  <r>
    <s v="958"/>
    <d v="2011-12-02T00:00:00"/>
    <s v="Friday"/>
    <x v="0"/>
    <n v="0"/>
    <n v="2"/>
    <x v="12"/>
    <b v="0"/>
    <n v="6"/>
    <x v="0"/>
    <n v="1"/>
    <x v="0"/>
    <n v="0.3"/>
    <s v="Winter"/>
    <s v="Weekday"/>
    <n v="0.2727"/>
    <n v="11.1807"/>
    <n v="0.39"/>
    <n v="0.4627"/>
    <x v="37"/>
    <x v="139"/>
    <n v="120"/>
  </r>
  <r>
    <s v="959"/>
    <d v="2011-12-02T00:00:00"/>
    <s v="Friday"/>
    <x v="0"/>
    <n v="0"/>
    <n v="2"/>
    <x v="13"/>
    <b v="0"/>
    <n v="6"/>
    <x v="0"/>
    <n v="1"/>
    <x v="0"/>
    <n v="0.3"/>
    <s v="Winter"/>
    <s v="Weekday"/>
    <n v="0.2727"/>
    <n v="11.1807"/>
    <n v="0.39"/>
    <n v="0.41789999999999999"/>
    <x v="38"/>
    <x v="145"/>
    <n v="135"/>
  </r>
  <r>
    <s v="960"/>
    <d v="2011-12-02T00:00:00"/>
    <s v="Friday"/>
    <x v="0"/>
    <n v="0"/>
    <n v="2"/>
    <x v="14"/>
    <b v="0"/>
    <n v="6"/>
    <x v="0"/>
    <n v="1"/>
    <x v="0"/>
    <n v="0.34"/>
    <s v="Winter"/>
    <s v="Weekday"/>
    <n v="0.31819999999999998"/>
    <n v="13.046199999999999"/>
    <n v="0.31"/>
    <n v="0.28360000000000002"/>
    <x v="36"/>
    <x v="92"/>
    <n v="120"/>
  </r>
  <r>
    <s v="961"/>
    <d v="2011-12-02T00:00:00"/>
    <s v="Friday"/>
    <x v="0"/>
    <n v="0"/>
    <n v="2"/>
    <x v="15"/>
    <b v="0"/>
    <n v="6"/>
    <x v="0"/>
    <n v="1"/>
    <x v="0"/>
    <n v="0.34"/>
    <s v="Winter"/>
    <s v="Weekday"/>
    <n v="0.30299999999999999"/>
    <n v="12.423"/>
    <n v="0.28999999999999998"/>
    <n v="0.41789999999999999"/>
    <x v="9"/>
    <x v="69"/>
    <n v="174"/>
  </r>
  <r>
    <s v="962"/>
    <d v="2011-12-02T00:00:00"/>
    <s v="Friday"/>
    <x v="0"/>
    <n v="0"/>
    <n v="2"/>
    <x v="16"/>
    <b v="0"/>
    <n v="6"/>
    <x v="0"/>
    <n v="1"/>
    <x v="0"/>
    <n v="0.34"/>
    <s v="Winter"/>
    <s v="Weekday"/>
    <n v="0.30299999999999999"/>
    <n v="12.423"/>
    <n v="0.28999999999999998"/>
    <n v="0.41789999999999999"/>
    <x v="35"/>
    <x v="145"/>
    <n v="145"/>
  </r>
  <r>
    <s v="963"/>
    <d v="2011-12-02T00:00:00"/>
    <s v="Friday"/>
    <x v="0"/>
    <n v="0"/>
    <n v="2"/>
    <x v="17"/>
    <b v="0"/>
    <n v="6"/>
    <x v="0"/>
    <n v="1"/>
    <x v="0"/>
    <n v="0.32"/>
    <s v="Winter"/>
    <s v="Weekday"/>
    <n v="0.28789999999999999"/>
    <n v="11.803899999999999"/>
    <n v="0.31"/>
    <n v="0.52239999999999998"/>
    <x v="31"/>
    <x v="182"/>
    <n v="137"/>
  </r>
  <r>
    <s v="964"/>
    <d v="2011-12-02T00:00:00"/>
    <s v="Friday"/>
    <x v="0"/>
    <n v="0"/>
    <n v="2"/>
    <x v="18"/>
    <b v="0"/>
    <n v="6"/>
    <x v="0"/>
    <n v="1"/>
    <x v="0"/>
    <n v="0.28000000000000003"/>
    <s v="Winter"/>
    <s v="Weekday"/>
    <n v="0.2576"/>
    <n v="10.5616"/>
    <n v="0.38"/>
    <n v="0.32840000000000003"/>
    <x v="17"/>
    <x v="91"/>
    <n v="64"/>
  </r>
  <r>
    <s v="965"/>
    <d v="2011-12-02T00:00:00"/>
    <s v="Friday"/>
    <x v="0"/>
    <n v="0"/>
    <n v="2"/>
    <x v="19"/>
    <b v="0"/>
    <n v="6"/>
    <x v="0"/>
    <n v="1"/>
    <x v="0"/>
    <n v="0.28000000000000003"/>
    <s v="Winter"/>
    <s v="Weekday"/>
    <n v="0.2727"/>
    <n v="11.1807"/>
    <n v="0.38"/>
    <n v="0.16420000000000001"/>
    <x v="4"/>
    <x v="87"/>
    <n v="41"/>
  </r>
  <r>
    <s v="966"/>
    <d v="2011-12-02T00:00:00"/>
    <s v="Friday"/>
    <x v="0"/>
    <n v="0"/>
    <n v="2"/>
    <x v="20"/>
    <b v="0"/>
    <n v="6"/>
    <x v="0"/>
    <n v="1"/>
    <x v="0"/>
    <n v="0.26"/>
    <s v="Winter"/>
    <s v="Weekday"/>
    <n v="0.2576"/>
    <n v="10.5616"/>
    <n v="0.41"/>
    <n v="0.22389999999999999"/>
    <x v="5"/>
    <x v="87"/>
    <n v="40"/>
  </r>
  <r>
    <s v="967"/>
    <d v="2011-12-02T00:00:00"/>
    <s v="Friday"/>
    <x v="0"/>
    <n v="0"/>
    <n v="2"/>
    <x v="21"/>
    <b v="0"/>
    <n v="6"/>
    <x v="0"/>
    <n v="1"/>
    <x v="0"/>
    <n v="0.26"/>
    <s v="Winter"/>
    <s v="Weekday"/>
    <n v="0.30299999999999999"/>
    <n v="12.423"/>
    <n v="0.41"/>
    <n v="0"/>
    <x v="14"/>
    <x v="76"/>
    <n v="51"/>
  </r>
  <r>
    <s v="968"/>
    <d v="2011-12-02T00:00:00"/>
    <s v="Friday"/>
    <x v="0"/>
    <n v="0"/>
    <n v="2"/>
    <x v="22"/>
    <b v="0"/>
    <n v="6"/>
    <x v="0"/>
    <n v="1"/>
    <x v="0"/>
    <n v="0.24"/>
    <s v="Winter"/>
    <s v="Weekday"/>
    <n v="0.2576"/>
    <n v="10.5616"/>
    <n v="0.44"/>
    <n v="8.9599999999999999E-2"/>
    <x v="15"/>
    <x v="87"/>
    <n v="45"/>
  </r>
  <r>
    <s v="969"/>
    <d v="2011-12-02T00:00:00"/>
    <s v="Friday"/>
    <x v="0"/>
    <n v="0"/>
    <n v="2"/>
    <x v="23"/>
    <b v="0"/>
    <n v="6"/>
    <x v="0"/>
    <n v="1"/>
    <x v="0"/>
    <n v="0.22"/>
    <s v="Winter"/>
    <s v="Weekday"/>
    <n v="0.2273"/>
    <n v="9.3193000000000001"/>
    <n v="0.51"/>
    <n v="0.1343"/>
    <x v="5"/>
    <x v="17"/>
    <n v="32"/>
  </r>
  <r>
    <s v="970"/>
    <d v="2011-02-13T00:00:00"/>
    <s v="Sunday"/>
    <x v="0"/>
    <n v="0"/>
    <n v="2"/>
    <x v="0"/>
    <b v="0"/>
    <n v="0"/>
    <x v="1"/>
    <n v="1"/>
    <x v="0"/>
    <n v="0.2"/>
    <s v="Winter"/>
    <s v="Weekend"/>
    <n v="0.2273"/>
    <n v="9.3193000000000001"/>
    <n v="0.64"/>
    <n v="0.1045"/>
    <x v="2"/>
    <x v="60"/>
    <n v="39"/>
  </r>
  <r>
    <s v="971"/>
    <d v="2011-02-13T00:00:00"/>
    <s v="Sunday"/>
    <x v="0"/>
    <n v="0"/>
    <n v="2"/>
    <x v="1"/>
    <b v="0"/>
    <n v="0"/>
    <x v="1"/>
    <n v="1"/>
    <x v="0"/>
    <n v="0.2"/>
    <s v="Winter"/>
    <s v="Weekend"/>
    <n v="0.2273"/>
    <n v="9.3193000000000001"/>
    <n v="0.59"/>
    <n v="8.9599999999999999E-2"/>
    <x v="5"/>
    <x v="140"/>
    <n v="24"/>
  </r>
  <r>
    <s v="972"/>
    <d v="2011-02-13T00:00:00"/>
    <s v="Sunday"/>
    <x v="0"/>
    <n v="0"/>
    <n v="2"/>
    <x v="2"/>
    <b v="0"/>
    <n v="0"/>
    <x v="1"/>
    <n v="2"/>
    <x v="1"/>
    <n v="0.2"/>
    <s v="Winter"/>
    <s v="Weekend"/>
    <n v="0.2273"/>
    <n v="9.3193000000000001"/>
    <n v="0.75"/>
    <n v="8.9599999999999999E-2"/>
    <x v="5"/>
    <x v="23"/>
    <n v="20"/>
  </r>
  <r>
    <s v="973"/>
    <d v="2011-02-13T00:00:00"/>
    <s v="Sunday"/>
    <x v="0"/>
    <n v="0"/>
    <n v="2"/>
    <x v="3"/>
    <b v="0"/>
    <n v="0"/>
    <x v="1"/>
    <n v="2"/>
    <x v="1"/>
    <n v="0.2"/>
    <s v="Winter"/>
    <s v="Weekend"/>
    <n v="0.2273"/>
    <n v="9.3193000000000001"/>
    <n v="0.69"/>
    <n v="0.1045"/>
    <x v="17"/>
    <x v="21"/>
    <n v="12"/>
  </r>
  <r>
    <s v="974"/>
    <d v="2011-02-13T00:00:00"/>
    <s v="Sunday"/>
    <x v="0"/>
    <n v="0"/>
    <n v="2"/>
    <x v="4"/>
    <b v="0"/>
    <n v="0"/>
    <x v="1"/>
    <n v="2"/>
    <x v="1"/>
    <n v="0.2"/>
    <s v="Winter"/>
    <s v="Weekend"/>
    <n v="0.21210000000000001"/>
    <n v="8.6961000000000013"/>
    <n v="0.69"/>
    <n v="0.16420000000000001"/>
    <x v="3"/>
    <x v="6"/>
    <n v="2"/>
  </r>
  <r>
    <s v="975"/>
    <d v="2011-02-13T00:00:00"/>
    <s v="Sunday"/>
    <x v="0"/>
    <n v="0"/>
    <n v="2"/>
    <x v="6"/>
    <b v="0"/>
    <n v="0"/>
    <x v="1"/>
    <n v="2"/>
    <x v="1"/>
    <n v="0.2"/>
    <s v="Winter"/>
    <s v="Weekend"/>
    <n v="0.21210000000000001"/>
    <n v="8.6961000000000013"/>
    <n v="0.69"/>
    <n v="0.1343"/>
    <x v="4"/>
    <x v="35"/>
    <n v="5"/>
  </r>
  <r>
    <s v="976"/>
    <d v="2011-02-13T00:00:00"/>
    <s v="Sunday"/>
    <x v="0"/>
    <n v="0"/>
    <n v="2"/>
    <x v="7"/>
    <b v="0"/>
    <n v="0"/>
    <x v="1"/>
    <n v="2"/>
    <x v="1"/>
    <n v="0.22"/>
    <s v="Winter"/>
    <s v="Weekend"/>
    <n v="0.2727"/>
    <n v="11.1807"/>
    <n v="0.55000000000000004"/>
    <n v="0"/>
    <x v="3"/>
    <x v="35"/>
    <n v="3"/>
  </r>
  <r>
    <s v="977"/>
    <d v="2011-02-13T00:00:00"/>
    <s v="Sunday"/>
    <x v="0"/>
    <n v="0"/>
    <n v="2"/>
    <x v="8"/>
    <b v="0"/>
    <n v="0"/>
    <x v="1"/>
    <n v="2"/>
    <x v="1"/>
    <n v="0.22"/>
    <s v="Winter"/>
    <s v="Weekend"/>
    <n v="0.2273"/>
    <n v="9.3193000000000001"/>
    <n v="0.64"/>
    <n v="0.19400000000000001"/>
    <x v="5"/>
    <x v="48"/>
    <n v="12"/>
  </r>
  <r>
    <s v="978"/>
    <d v="2011-02-13T00:00:00"/>
    <s v="Sunday"/>
    <x v="0"/>
    <n v="0"/>
    <n v="2"/>
    <x v="9"/>
    <b v="0"/>
    <n v="0"/>
    <x v="1"/>
    <n v="2"/>
    <x v="1"/>
    <n v="0.24"/>
    <s v="Winter"/>
    <s v="Weekend"/>
    <n v="0.2273"/>
    <n v="9.3193000000000001"/>
    <n v="0.6"/>
    <n v="0.22389999999999999"/>
    <x v="6"/>
    <x v="96"/>
    <n v="47"/>
  </r>
  <r>
    <s v="979"/>
    <d v="2011-02-13T00:00:00"/>
    <s v="Sunday"/>
    <x v="0"/>
    <n v="0"/>
    <n v="2"/>
    <x v="10"/>
    <b v="0"/>
    <n v="0"/>
    <x v="1"/>
    <n v="1"/>
    <x v="0"/>
    <n v="0.3"/>
    <s v="Winter"/>
    <s v="Weekend"/>
    <n v="0.2727"/>
    <n v="11.1807"/>
    <n v="0.45"/>
    <n v="0.32840000000000003"/>
    <x v="21"/>
    <x v="132"/>
    <n v="105"/>
  </r>
  <r>
    <s v="980"/>
    <d v="2011-02-13T00:00:00"/>
    <s v="Sunday"/>
    <x v="0"/>
    <n v="0"/>
    <n v="2"/>
    <x v="11"/>
    <b v="0"/>
    <n v="0"/>
    <x v="1"/>
    <n v="1"/>
    <x v="0"/>
    <n v="0.32"/>
    <s v="Winter"/>
    <s v="Weekend"/>
    <n v="0.28789999999999999"/>
    <n v="11.803899999999999"/>
    <n v="0.39"/>
    <n v="0.44779999999999998"/>
    <x v="7"/>
    <x v="132"/>
    <n v="112"/>
  </r>
  <r>
    <s v="981"/>
    <d v="2011-02-13T00:00:00"/>
    <s v="Sunday"/>
    <x v="0"/>
    <n v="0"/>
    <n v="2"/>
    <x v="12"/>
    <b v="0"/>
    <n v="0"/>
    <x v="1"/>
    <n v="1"/>
    <x v="0"/>
    <n v="0.36"/>
    <s v="Winter"/>
    <s v="Weekend"/>
    <n v="0.31819999999999998"/>
    <n v="13.046199999999999"/>
    <n v="0.32"/>
    <n v="0.4627"/>
    <x v="39"/>
    <x v="111"/>
    <n v="152"/>
  </r>
  <r>
    <s v="982"/>
    <d v="2011-02-13T00:00:00"/>
    <s v="Sunday"/>
    <x v="0"/>
    <n v="0"/>
    <n v="2"/>
    <x v="13"/>
    <b v="0"/>
    <n v="0"/>
    <x v="1"/>
    <n v="1"/>
    <x v="0"/>
    <n v="0.38"/>
    <s v="Winter"/>
    <s v="Weekend"/>
    <n v="0.39389999999999997"/>
    <n v="16.149899999999999"/>
    <n v="0.28999999999999998"/>
    <n v="0.35820000000000002"/>
    <x v="40"/>
    <x v="50"/>
    <n v="154"/>
  </r>
  <r>
    <s v="983"/>
    <d v="2011-02-13T00:00:00"/>
    <s v="Sunday"/>
    <x v="0"/>
    <n v="0"/>
    <n v="2"/>
    <x v="14"/>
    <b v="0"/>
    <n v="0"/>
    <x v="1"/>
    <n v="2"/>
    <x v="1"/>
    <n v="0.4"/>
    <s v="Winter"/>
    <s v="Weekend"/>
    <n v="0.40910000000000002"/>
    <n v="16.773099999999999"/>
    <n v="0.3"/>
    <n v="0.41789999999999999"/>
    <x v="41"/>
    <x v="59"/>
    <n v="161"/>
  </r>
  <r>
    <s v="984"/>
    <d v="2011-02-13T00:00:00"/>
    <s v="Sunday"/>
    <x v="0"/>
    <n v="0"/>
    <n v="2"/>
    <x v="15"/>
    <b v="0"/>
    <n v="0"/>
    <x v="1"/>
    <n v="2"/>
    <x v="1"/>
    <n v="0.4"/>
    <s v="Winter"/>
    <s v="Weekend"/>
    <n v="0.40910000000000002"/>
    <n v="16.773099999999999"/>
    <n v="0.3"/>
    <n v="0.29849999999999999"/>
    <x v="11"/>
    <x v="183"/>
    <n v="162"/>
  </r>
  <r>
    <s v="985"/>
    <d v="2011-02-13T00:00:00"/>
    <s v="Sunday"/>
    <x v="0"/>
    <n v="0"/>
    <n v="2"/>
    <x v="16"/>
    <b v="0"/>
    <n v="0"/>
    <x v="1"/>
    <n v="2"/>
    <x v="1"/>
    <n v="0.42"/>
    <s v="Winter"/>
    <s v="Weekend"/>
    <n v="0.42420000000000002"/>
    <n v="17.392200000000003"/>
    <n v="0.28000000000000003"/>
    <n v="0.32840000000000003"/>
    <x v="32"/>
    <x v="184"/>
    <n v="134"/>
  </r>
  <r>
    <s v="986"/>
    <d v="2011-02-13T00:00:00"/>
    <s v="Sunday"/>
    <x v="0"/>
    <n v="0"/>
    <n v="2"/>
    <x v="17"/>
    <b v="0"/>
    <n v="0"/>
    <x v="1"/>
    <n v="1"/>
    <x v="0"/>
    <n v="0.42"/>
    <s v="Winter"/>
    <s v="Weekend"/>
    <n v="0.42420000000000002"/>
    <n v="17.392200000000003"/>
    <n v="0.28000000000000003"/>
    <n v="0.32840000000000003"/>
    <x v="36"/>
    <x v="73"/>
    <n v="125"/>
  </r>
  <r>
    <s v="987"/>
    <d v="2011-02-13T00:00:00"/>
    <s v="Sunday"/>
    <x v="0"/>
    <n v="0"/>
    <n v="2"/>
    <x v="18"/>
    <b v="0"/>
    <n v="0"/>
    <x v="1"/>
    <n v="1"/>
    <x v="0"/>
    <n v="0.4"/>
    <s v="Winter"/>
    <s v="Weekend"/>
    <n v="0.40910000000000002"/>
    <n v="16.773099999999999"/>
    <n v="0.32"/>
    <n v="0.29849999999999999"/>
    <x v="26"/>
    <x v="78"/>
    <n v="95"/>
  </r>
  <r>
    <s v="988"/>
    <d v="2011-02-13T00:00:00"/>
    <s v="Sunday"/>
    <x v="0"/>
    <n v="0"/>
    <n v="2"/>
    <x v="19"/>
    <b v="0"/>
    <n v="0"/>
    <x v="1"/>
    <n v="1"/>
    <x v="0"/>
    <n v="0.4"/>
    <s v="Winter"/>
    <s v="Weekend"/>
    <n v="0.40910000000000002"/>
    <n v="16.773099999999999"/>
    <n v="0.35"/>
    <n v="0.28360000000000002"/>
    <x v="16"/>
    <x v="54"/>
    <n v="61"/>
  </r>
  <r>
    <s v="989"/>
    <d v="2011-02-13T00:00:00"/>
    <s v="Sunday"/>
    <x v="0"/>
    <n v="0"/>
    <n v="2"/>
    <x v="20"/>
    <b v="0"/>
    <n v="0"/>
    <x v="1"/>
    <n v="1"/>
    <x v="0"/>
    <n v="0.4"/>
    <s v="Winter"/>
    <s v="Weekend"/>
    <n v="0.40910000000000002"/>
    <n v="16.773099999999999"/>
    <n v="0.35"/>
    <n v="0.32840000000000003"/>
    <x v="13"/>
    <x v="1"/>
    <n v="47"/>
  </r>
  <r>
    <s v="990"/>
    <d v="2011-02-13T00:00:00"/>
    <s v="Sunday"/>
    <x v="0"/>
    <n v="0"/>
    <n v="2"/>
    <x v="21"/>
    <b v="0"/>
    <n v="0"/>
    <x v="1"/>
    <n v="1"/>
    <x v="0"/>
    <n v="0.4"/>
    <s v="Winter"/>
    <s v="Weekend"/>
    <n v="0.40910000000000002"/>
    <n v="16.773099999999999"/>
    <n v="0.35"/>
    <n v="0.35820000000000002"/>
    <x v="15"/>
    <x v="108"/>
    <n v="51"/>
  </r>
  <r>
    <s v="991"/>
    <d v="2011-02-13T00:00:00"/>
    <s v="Sunday"/>
    <x v="0"/>
    <n v="0"/>
    <n v="2"/>
    <x v="22"/>
    <b v="0"/>
    <n v="0"/>
    <x v="1"/>
    <n v="1"/>
    <x v="0"/>
    <n v="0.4"/>
    <s v="Winter"/>
    <s v="Weekend"/>
    <n v="0.40910000000000002"/>
    <n v="16.773099999999999"/>
    <n v="0.35"/>
    <n v="0.29849999999999999"/>
    <x v="2"/>
    <x v="17"/>
    <n v="36"/>
  </r>
  <r>
    <s v="992"/>
    <d v="2011-02-13T00:00:00"/>
    <s v="Sunday"/>
    <x v="0"/>
    <n v="0"/>
    <n v="2"/>
    <x v="23"/>
    <b v="0"/>
    <n v="0"/>
    <x v="1"/>
    <n v="1"/>
    <x v="0"/>
    <n v="0.4"/>
    <s v="Winter"/>
    <s v="Weekend"/>
    <n v="0.40910000000000002"/>
    <n v="16.773099999999999"/>
    <n v="0.35"/>
    <n v="0.35820000000000002"/>
    <x v="0"/>
    <x v="2"/>
    <n v="30"/>
  </r>
  <r>
    <s v="993"/>
    <d v="2011-02-14T00:00:00"/>
    <s v="Monday"/>
    <x v="0"/>
    <n v="0"/>
    <n v="2"/>
    <x v="0"/>
    <b v="0"/>
    <n v="1"/>
    <x v="2"/>
    <n v="1"/>
    <x v="0"/>
    <n v="0.38"/>
    <s v="Winter"/>
    <s v="Weekday"/>
    <n v="0.39389999999999997"/>
    <n v="16.149899999999999"/>
    <n v="0.37"/>
    <n v="0.35820000000000002"/>
    <x v="0"/>
    <x v="21"/>
    <n v="11"/>
  </r>
  <r>
    <s v="994"/>
    <d v="2011-02-14T00:00:00"/>
    <s v="Monday"/>
    <x v="0"/>
    <n v="0"/>
    <n v="2"/>
    <x v="1"/>
    <b v="0"/>
    <n v="1"/>
    <x v="2"/>
    <n v="1"/>
    <x v="0"/>
    <n v="0.38"/>
    <s v="Winter"/>
    <s v="Weekday"/>
    <n v="0.39389999999999997"/>
    <n v="16.149899999999999"/>
    <n v="0.37"/>
    <n v="0.35820000000000002"/>
    <x v="5"/>
    <x v="8"/>
    <n v="7"/>
  </r>
  <r>
    <s v="995"/>
    <d v="2011-02-14T00:00:00"/>
    <s v="Monday"/>
    <x v="0"/>
    <n v="0"/>
    <n v="2"/>
    <x v="2"/>
    <b v="0"/>
    <n v="1"/>
    <x v="2"/>
    <n v="1"/>
    <x v="0"/>
    <n v="0.36"/>
    <s v="Winter"/>
    <s v="Weekday"/>
    <n v="0.33329999999999999"/>
    <n v="13.6653"/>
    <n v="0.4"/>
    <n v="0.29849999999999999"/>
    <x v="3"/>
    <x v="6"/>
    <n v="2"/>
  </r>
  <r>
    <s v="996"/>
    <d v="2011-02-14T00:00:00"/>
    <s v="Monday"/>
    <x v="0"/>
    <n v="0"/>
    <n v="2"/>
    <x v="3"/>
    <b v="0"/>
    <n v="1"/>
    <x v="2"/>
    <n v="1"/>
    <x v="0"/>
    <n v="0.34"/>
    <s v="Winter"/>
    <s v="Weekday"/>
    <n v="0.31819999999999998"/>
    <n v="13.046199999999999"/>
    <n v="0.46"/>
    <n v="0.22389999999999999"/>
    <x v="5"/>
    <x v="4"/>
    <n v="2"/>
  </r>
  <r>
    <s v="997"/>
    <d v="2011-02-14T00:00:00"/>
    <s v="Monday"/>
    <x v="0"/>
    <n v="0"/>
    <n v="2"/>
    <x v="4"/>
    <b v="0"/>
    <n v="1"/>
    <x v="2"/>
    <n v="1"/>
    <x v="0"/>
    <n v="0.32"/>
    <s v="Winter"/>
    <s v="Weekday"/>
    <n v="0.30299999999999999"/>
    <n v="12.423"/>
    <n v="0.53"/>
    <n v="0.28360000000000002"/>
    <x v="3"/>
    <x v="6"/>
    <n v="2"/>
  </r>
  <r>
    <s v="998"/>
    <d v="2011-02-14T00:00:00"/>
    <s v="Monday"/>
    <x v="0"/>
    <n v="0"/>
    <n v="2"/>
    <x v="5"/>
    <b v="0"/>
    <n v="1"/>
    <x v="2"/>
    <n v="1"/>
    <x v="0"/>
    <n v="0.32"/>
    <s v="Winter"/>
    <s v="Weekday"/>
    <n v="0.30299999999999999"/>
    <n v="12.423"/>
    <n v="0.53"/>
    <n v="0.28360000000000002"/>
    <x v="3"/>
    <x v="35"/>
    <n v="3"/>
  </r>
  <r>
    <s v="999"/>
    <d v="2011-02-14T00:00:00"/>
    <s v="Monday"/>
    <x v="0"/>
    <n v="0"/>
    <n v="2"/>
    <x v="6"/>
    <b v="0"/>
    <n v="1"/>
    <x v="2"/>
    <n v="1"/>
    <x v="0"/>
    <n v="0.34"/>
    <s v="Winter"/>
    <s v="Weekday"/>
    <n v="0.30299999999999999"/>
    <n v="12.423"/>
    <n v="0.46"/>
    <n v="0.29849999999999999"/>
    <x v="5"/>
    <x v="18"/>
    <n v="26"/>
  </r>
  <r>
    <s v="1000"/>
    <d v="2011-02-14T00:00:00"/>
    <s v="Monday"/>
    <x v="0"/>
    <n v="0"/>
    <n v="2"/>
    <x v="7"/>
    <b v="0"/>
    <n v="1"/>
    <x v="2"/>
    <n v="1"/>
    <x v="0"/>
    <n v="0.34"/>
    <s v="Winter"/>
    <s v="Weekday"/>
    <n v="0.30299999999999999"/>
    <n v="12.423"/>
    <n v="0.46"/>
    <n v="0.29849999999999999"/>
    <x v="4"/>
    <x v="185"/>
    <n v="98"/>
  </r>
</pivotCacheRecords>
</file>

<file path=xl/pivotCache/pivotCacheRecords2.xml><?xml version="1.0" encoding="utf-8"?>
<pivotCacheRecords xmlns="http://schemas.openxmlformats.org/spreadsheetml/2006/main" xmlns:r="http://schemas.openxmlformats.org/officeDocument/2006/relationships" count="2">
  <r>
    <x v="0"/>
    <n v="53383"/>
  </r>
  <r>
    <x v="1"/>
    <n v="49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A37:B39" firstHeaderRow="1" firstDataRow="1" firstDataCol="1"/>
  <pivotFields count="22">
    <pivotField showAll="0"/>
    <pivotField numFmtId="164" showAll="0"/>
    <pivotField showAll="0"/>
    <pivotField axis="axisRow" showAll="0">
      <items count="2">
        <item x="0"/>
        <item t="default"/>
      </items>
    </pivotField>
    <pivotField showAll="0"/>
    <pivotField showAll="0"/>
    <pivotField numFmtId="1" showAll="0"/>
    <pivotField showAll="0"/>
    <pivotField showAll="0" defaultSubtotal="0"/>
    <pivotField showAll="0" defaultSubtotal="0"/>
    <pivotField showAll="0"/>
    <pivotField showAll="0" defaultSubtotal="0"/>
    <pivotField showAll="0"/>
    <pivotField showAll="0"/>
    <pivotField showAll="0"/>
    <pivotField showAll="0"/>
    <pivotField numFmtId="1" showAll="0"/>
    <pivotField showAll="0"/>
    <pivotField showAll="0"/>
    <pivotField showAll="0"/>
    <pivotField showAll="0"/>
    <pivotField dataField="1" showAll="0"/>
  </pivotFields>
  <rowFields count="1">
    <field x="3"/>
  </rowFields>
  <rowItems count="2">
    <i>
      <x/>
    </i>
    <i t="grand">
      <x/>
    </i>
  </rowItems>
  <colItems count="1">
    <i/>
  </colItems>
  <dataFields count="1">
    <dataField name="Sum of Total Users" fld="2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Hourly Demand Analysis"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28" firstHeaderRow="1" firstDataRow="1" firstDataCol="1"/>
  <pivotFields count="22">
    <pivotField showAll="0"/>
    <pivotField numFmtId="164" showAll="0"/>
    <pivotField showAll="0"/>
    <pivotField showAll="0"/>
    <pivotField showAll="0"/>
    <pivotField showAll="0"/>
    <pivotField axis="axisRow" showAll="0" sortType="ascending">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defaultSubtotal="0"/>
    <pivotField showAll="0" defaultSubtotal="0"/>
    <pivotField showAll="0"/>
    <pivotField showAll="0" defaultSubtotal="0"/>
    <pivotField showAll="0"/>
    <pivotField showAll="0"/>
    <pivotField showAll="0"/>
    <pivotField showAll="0"/>
    <pivotField numFmtId="1" showAll="0"/>
    <pivotField showAll="0"/>
    <pivotField showAll="0"/>
    <pivotField showAll="0"/>
    <pivotField showAll="0"/>
    <pivotField dataField="1"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Users2"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104:B112" firstHeaderRow="1" firstDataRow="1" firstDataCol="1"/>
  <pivotFields count="22">
    <pivotField showAll="0"/>
    <pivotField numFmtId="164" showAll="0"/>
    <pivotField showAll="0"/>
    <pivotField showAll="0"/>
    <pivotField showAll="0"/>
    <pivotField showAll="0"/>
    <pivotField numFmtId="1" showAll="0"/>
    <pivotField showAll="0"/>
    <pivotField showAll="0" defaultSubtotal="0"/>
    <pivotField axis="axisRow" showAll="0">
      <items count="15">
        <item m="1" x="7"/>
        <item m="1" x="11"/>
        <item m="1" x="9"/>
        <item m="1" x="12"/>
        <item m="1" x="13"/>
        <item m="1" x="8"/>
        <item m="1" x="10"/>
        <item x="0"/>
        <item x="1"/>
        <item x="2"/>
        <item x="3"/>
        <item x="4"/>
        <item x="5"/>
        <item x="6"/>
        <item t="default"/>
      </items>
    </pivotField>
    <pivotField showAll="0"/>
    <pivotField showAll="0"/>
    <pivotField showAll="0"/>
    <pivotField showAll="0"/>
    <pivotField showAll="0"/>
    <pivotField showAll="0"/>
    <pivotField numFmtId="1" showAll="0"/>
    <pivotField showAll="0"/>
    <pivotField showAll="0"/>
    <pivotField showAll="0"/>
    <pivotField showAll="0"/>
    <pivotField dataField="1" showAll="0"/>
  </pivotFields>
  <rowFields count="1">
    <field x="9"/>
  </rowFields>
  <rowItems count="8">
    <i>
      <x v="7"/>
    </i>
    <i>
      <x v="8"/>
    </i>
    <i>
      <x v="9"/>
    </i>
    <i>
      <x v="10"/>
    </i>
    <i>
      <x v="11"/>
    </i>
    <i>
      <x v="12"/>
    </i>
    <i>
      <x v="13"/>
    </i>
    <i t="grand">
      <x/>
    </i>
  </rowItems>
  <colItems count="1">
    <i/>
  </colItems>
  <dataFields count="1">
    <dataField name="Sum of Total Users2"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70:B75" firstHeaderRow="1" firstDataRow="1" firstDataCol="1"/>
  <pivotFields count="22">
    <pivotField showAll="0"/>
    <pivotField numFmtId="164" showAll="0"/>
    <pivotField showAll="0"/>
    <pivotField showAll="0"/>
    <pivotField showAll="0"/>
    <pivotField showAll="0"/>
    <pivotField numFmtId="1" showAll="0"/>
    <pivotField showAll="0"/>
    <pivotField showAll="0" defaultSubtotal="0"/>
    <pivotField showAll="0" defaultSubtotal="0"/>
    <pivotField showAll="0"/>
    <pivotField axis="axisRow" showAll="0" defaultSubtotal="0">
      <items count="4">
        <item x="0"/>
        <item x="1"/>
        <item x="3"/>
        <item x="2"/>
      </items>
    </pivotField>
    <pivotField showAll="0"/>
    <pivotField showAll="0"/>
    <pivotField showAll="0"/>
    <pivotField showAll="0"/>
    <pivotField numFmtId="1" showAll="0"/>
    <pivotField showAll="0"/>
    <pivotField showAll="0"/>
    <pivotField showAll="0"/>
    <pivotField showAll="0"/>
    <pivotField dataField="1" showAll="0"/>
  </pivotFields>
  <rowFields count="1">
    <field x="11"/>
  </rowFields>
  <rowItems count="5">
    <i>
      <x/>
    </i>
    <i>
      <x v="1"/>
    </i>
    <i>
      <x v="2"/>
    </i>
    <i>
      <x v="3"/>
    </i>
    <i t="grand">
      <x/>
    </i>
  </rowItems>
  <colItems count="1">
    <i/>
  </colItems>
  <dataFields count="1">
    <dataField name="Sum of Total Users2"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137:B140"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Count"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4:V1004" totalsRowShown="0" headerRowDxfId="26" dataDxfId="24" headerRowBorderDxfId="25" tableBorderDxfId="23" totalsRowBorderDxfId="22">
  <autoFilter ref="A4:V1004">
    <filterColumn colId="9"/>
    <filterColumn colId="11"/>
    <filterColumn colId="16"/>
  </autoFilter>
  <tableColumns count="22">
    <tableColumn id="1" name="Record_Id" dataDxfId="21"/>
    <tableColumn id="2" name="Date" dataDxfId="20"/>
    <tableColumn id="3" name="Day" dataDxfId="19">
      <calculatedColumnFormula>TEXT(B5,"DDDD")</calculatedColumnFormula>
    </tableColumn>
    <tableColumn id="4" name="Season" dataDxfId="18"/>
    <tableColumn id="5" name="Year" dataDxfId="17"/>
    <tableColumn id="6" name="Month" dataDxfId="16"/>
    <tableColumn id="7" name="Hour" dataDxfId="15"/>
    <tableColumn id="8" name="Holiday" dataDxfId="14"/>
    <tableColumn id="9" name="Weekday" dataDxfId="13"/>
    <tableColumn id="23" name="Weekday_Name" dataDxfId="12">
      <calculatedColumnFormula>CHOOSE(Table1[[#This Row],[Weekday]]+1,"Sunday","Monday","Tuesday","Wednesday","Thursday","Friday","Saturday")</calculatedColumnFormula>
    </tableColumn>
    <tableColumn id="10" name="Weather_code" dataDxfId="11"/>
    <tableColumn id="22" name="Weather_Condition" dataDxfId="10">
      <calculatedColumnFormula>IF(Table1[[#This Row],[Weather_code]]=1,"Clear",IF(Table1[[#This Row],[Weather_code]]=2,"Cloudy",IF(Table1[[#This Row],[Weather_code]]=3,"Light Rain",IF(Table1[[#This Row],[Weather_code]]=4,"Heavy Rain"))))</calculatedColumnFormula>
    </tableColumn>
    <tableColumn id="11" name="Temperaturemp" dataDxfId="9"/>
    <tableColumn id="12" name="Season_name" dataDxfId="8">
      <calculatedColumnFormula>CHOOSE(D5,"Winter","Spring","Summer","Fall")</calculatedColumnFormula>
    </tableColumn>
    <tableColumn id="13" name="Day_type" dataDxfId="7">
      <calculatedColumnFormula>IF(OR(WEEKDAY(B5,2)=6,WEEKDAY(B5,2)=7),"Weekend","Weekday")</calculatedColumnFormula>
    </tableColumn>
    <tableColumn id="14" name="A_Temperature" dataDxfId="6"/>
    <tableColumn id="20" name="Actual_A_Temp" dataDxfId="5">
      <calculatedColumnFormula>Table1[[#This Row],[A_Temperature]]*41</calculatedColumnFormula>
    </tableColumn>
    <tableColumn id="15" name="Humidity" dataDxfId="4"/>
    <tableColumn id="16" name="Wind_speed" dataDxfId="3"/>
    <tableColumn id="17" name="Non-Registered_user" dataDxfId="2"/>
    <tableColumn id="18" name="Registered_user" dataDxfId="1"/>
    <tableColumn id="19" name="Total User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Y1004"/>
  <sheetViews>
    <sheetView zoomScale="55" zoomScaleNormal="55" workbookViewId="0">
      <pane ySplit="4" topLeftCell="A15" activePane="bottomLeft" state="frozen"/>
      <selection pane="bottomLeft" activeCell="A24" sqref="A24"/>
    </sheetView>
  </sheetViews>
  <sheetFormatPr defaultRowHeight="15"/>
  <cols>
    <col min="1" max="1" width="21.7109375" style="2" customWidth="1"/>
    <col min="2" max="2" width="13.85546875" style="1" bestFit="1" customWidth="1"/>
    <col min="3" max="3" width="20.5703125" style="1" customWidth="1"/>
    <col min="4" max="4" width="17.42578125" style="1" bestFit="1" customWidth="1"/>
    <col min="5" max="5" width="13.85546875" style="1" bestFit="1" customWidth="1"/>
    <col min="6" max="6" width="15.85546875" style="1" bestFit="1" customWidth="1"/>
    <col min="7" max="7" width="17.28515625" style="1" bestFit="1" customWidth="1"/>
    <col min="8" max="8" width="17.7109375" style="1" bestFit="1" customWidth="1"/>
    <col min="9" max="9" width="28.7109375" style="1" customWidth="1"/>
    <col min="10" max="10" width="35.7109375" style="1" bestFit="1" customWidth="1"/>
    <col min="11" max="11" width="26.85546875" style="1" bestFit="1" customWidth="1"/>
    <col min="12" max="12" width="35" style="1" customWidth="1"/>
    <col min="13" max="13" width="27.28515625" style="3" bestFit="1" customWidth="1"/>
    <col min="14" max="14" width="26.42578125" bestFit="1" customWidth="1"/>
    <col min="15" max="15" width="19.7109375" bestFit="1" customWidth="1"/>
    <col min="16" max="16" width="25.85546875" bestFit="1" customWidth="1"/>
    <col min="17" max="17" width="25.85546875" customWidth="1"/>
    <col min="18" max="18" width="18.140625" bestFit="1" customWidth="1"/>
    <col min="19" max="19" width="21.7109375" bestFit="1" customWidth="1"/>
    <col min="20" max="20" width="34.5703125" customWidth="1"/>
    <col min="21" max="21" width="27.28515625" customWidth="1"/>
    <col min="22" max="22" width="19.7109375" customWidth="1"/>
    <col min="23" max="23" width="42.140625" customWidth="1"/>
    <col min="25" max="25" width="26.28515625" customWidth="1"/>
  </cols>
  <sheetData>
    <row r="1" spans="1:25" s="4" customFormat="1" ht="28.5">
      <c r="A1" s="68" t="s">
        <v>404</v>
      </c>
      <c r="B1" s="68"/>
      <c r="C1" s="68"/>
      <c r="D1" s="68"/>
      <c r="E1" s="68"/>
      <c r="F1" s="68"/>
      <c r="G1" s="68"/>
      <c r="H1" s="68"/>
      <c r="I1" s="68"/>
      <c r="J1" s="68"/>
      <c r="K1" s="68"/>
      <c r="L1" s="68"/>
      <c r="M1" s="68"/>
      <c r="N1" s="68"/>
      <c r="O1" s="68"/>
      <c r="P1" s="68"/>
      <c r="Q1" s="68"/>
      <c r="R1" s="68"/>
      <c r="S1" s="68"/>
      <c r="T1" s="68"/>
      <c r="U1" s="68"/>
      <c r="V1" s="68"/>
    </row>
    <row r="2" spans="1:25" s="4" customFormat="1" ht="21">
      <c r="A2" s="69" t="s">
        <v>405</v>
      </c>
      <c r="B2" s="70"/>
      <c r="C2" s="70"/>
      <c r="D2" s="70"/>
      <c r="E2" s="70"/>
      <c r="F2" s="70"/>
      <c r="G2" s="70"/>
      <c r="H2" s="70"/>
      <c r="I2" s="70"/>
      <c r="J2" s="70"/>
      <c r="K2" s="70"/>
      <c r="L2" s="70"/>
      <c r="M2" s="70"/>
      <c r="N2" s="70"/>
      <c r="O2" s="70"/>
      <c r="P2" s="70"/>
      <c r="Q2" s="70"/>
      <c r="R2" s="70"/>
      <c r="S2" s="70"/>
      <c r="T2" s="70"/>
      <c r="U2" s="70"/>
      <c r="V2" s="70"/>
    </row>
    <row r="3" spans="1:25" s="4" customFormat="1" ht="21">
      <c r="A3" s="15"/>
      <c r="B3" s="16"/>
      <c r="C3" s="16"/>
      <c r="D3" s="16"/>
      <c r="E3" s="16"/>
      <c r="F3" s="16"/>
      <c r="G3" s="16"/>
      <c r="H3" s="16"/>
      <c r="I3" s="16"/>
      <c r="J3" s="16"/>
      <c r="K3" s="16"/>
      <c r="L3" s="16"/>
      <c r="M3" s="16"/>
      <c r="N3" s="16"/>
      <c r="O3" s="16"/>
      <c r="P3" s="16"/>
      <c r="Q3" s="16"/>
      <c r="R3" s="16"/>
      <c r="S3" s="16"/>
      <c r="T3" s="16"/>
      <c r="U3" s="16"/>
      <c r="V3" s="16"/>
    </row>
    <row r="4" spans="1:25" s="5" customFormat="1" ht="30" customHeight="1">
      <c r="A4" s="20" t="s">
        <v>0</v>
      </c>
      <c r="B4" s="21" t="s">
        <v>1</v>
      </c>
      <c r="C4" s="21" t="s">
        <v>407</v>
      </c>
      <c r="D4" s="21" t="s">
        <v>2</v>
      </c>
      <c r="E4" s="21" t="s">
        <v>3</v>
      </c>
      <c r="F4" s="21" t="s">
        <v>4</v>
      </c>
      <c r="G4" s="21" t="s">
        <v>5</v>
      </c>
      <c r="H4" s="21" t="s">
        <v>6</v>
      </c>
      <c r="I4" s="21" t="s">
        <v>7</v>
      </c>
      <c r="J4" s="21" t="s">
        <v>466</v>
      </c>
      <c r="K4" s="21" t="s">
        <v>8</v>
      </c>
      <c r="L4" s="21" t="s">
        <v>459</v>
      </c>
      <c r="M4" s="21" t="s">
        <v>9</v>
      </c>
      <c r="N4" s="21" t="s">
        <v>10</v>
      </c>
      <c r="O4" s="21" t="s">
        <v>11</v>
      </c>
      <c r="P4" s="22" t="s">
        <v>12</v>
      </c>
      <c r="Q4" s="22" t="s">
        <v>443</v>
      </c>
      <c r="R4" s="22" t="s">
        <v>13</v>
      </c>
      <c r="S4" s="22" t="s">
        <v>14</v>
      </c>
      <c r="T4" s="22" t="s">
        <v>15</v>
      </c>
      <c r="U4" s="22" t="s">
        <v>16</v>
      </c>
      <c r="V4" s="23" t="s">
        <v>17</v>
      </c>
    </row>
    <row r="5" spans="1:25" s="12" customFormat="1" ht="30" customHeight="1">
      <c r="A5" s="17">
        <v>1</v>
      </c>
      <c r="B5" s="8">
        <v>40544</v>
      </c>
      <c r="C5" s="8" t="str">
        <f>TEXT(B5,"DDDD")</f>
        <v>Saturday</v>
      </c>
      <c r="D5" s="9">
        <v>1</v>
      </c>
      <c r="E5" s="9">
        <v>0</v>
      </c>
      <c r="F5" s="9">
        <v>1</v>
      </c>
      <c r="G5" s="7">
        <v>0</v>
      </c>
      <c r="H5" s="9" t="b">
        <v>0</v>
      </c>
      <c r="I5" s="9">
        <v>6</v>
      </c>
      <c r="J5" s="38" t="str">
        <f>CHOOSE(Table1[[#This Row],[Weekday]]+1,"Sunday","Monday","Tuesday","Wednesday","Thursday","Friday","Saturday")</f>
        <v>Saturday</v>
      </c>
      <c r="K5" s="9">
        <v>1</v>
      </c>
      <c r="L5" s="38" t="str">
        <f>IF(Table1[[#This Row],[Weather_code]]=1,"Clear",IF(Table1[[#This Row],[Weather_code]]=2,"Cloudy",IF(Table1[[#This Row],[Weather_code]]=3,"Light Rain",IF(Table1[[#This Row],[Weather_code]]=4,"Heavy Rain"))))</f>
        <v>Clear</v>
      </c>
      <c r="M5" s="10">
        <v>0.24</v>
      </c>
      <c r="N5" s="11" t="str">
        <f>CHOOSE(D5,"Winter","Spring","Summer","Fall")</f>
        <v>Winter</v>
      </c>
      <c r="O5" s="11" t="str">
        <f>IF(OR(WEEKDAY(B5,2)=6,WEEKDAY(B5,2)=7),"Weekend","Weekday")</f>
        <v>Weekend</v>
      </c>
      <c r="P5" s="11">
        <f>VLOOKUP(A5,[1]Sheet1!$A:$H,2, FALSE)</f>
        <v>0.28789999999999999</v>
      </c>
      <c r="Q5" s="40">
        <f>Table1[[#This Row],[A_Temperature]]*41</f>
        <v>11.803899999999999</v>
      </c>
      <c r="R5" s="11">
        <f>VLOOKUP(A5,[1]Sheet1!$A:$G,3,FALSE)</f>
        <v>0.81</v>
      </c>
      <c r="S5" s="11">
        <f>VLOOKUP(A5,[1]Sheet1!$A:$G,4,FALSE)</f>
        <v>0</v>
      </c>
      <c r="T5" s="11">
        <f>VLOOKUP(A5,[1]Sheet1!$A:$G,5,FALSE)</f>
        <v>3</v>
      </c>
      <c r="U5" s="11">
        <f>VLOOKUP(A5,[1]Sheet1!$A:$G,6,FALSE)</f>
        <v>13</v>
      </c>
      <c r="V5" s="18">
        <f>VLOOKUP(A5,[1]Sheet1!$A:$G,7,FALSE)</f>
        <v>16</v>
      </c>
    </row>
    <row r="6" spans="1:25" s="12" customFormat="1" ht="30" customHeight="1">
      <c r="A6" s="17">
        <v>2</v>
      </c>
      <c r="B6" s="8">
        <v>40544</v>
      </c>
      <c r="C6" s="8" t="str">
        <f t="shared" ref="C6:C69" si="0">TEXT(B6,"DDDD")</f>
        <v>Saturday</v>
      </c>
      <c r="D6" s="9">
        <v>1</v>
      </c>
      <c r="E6" s="9">
        <v>0</v>
      </c>
      <c r="F6" s="9">
        <v>1</v>
      </c>
      <c r="G6" s="7">
        <v>1</v>
      </c>
      <c r="H6" s="9" t="b">
        <v>0</v>
      </c>
      <c r="I6" s="9">
        <v>6</v>
      </c>
      <c r="J6" s="38" t="str">
        <f>CHOOSE(Table1[[#This Row],[Weekday]]+1,"Sunday","Monday","Tuesday","Wednesday","Thursday","Friday","Saturday")</f>
        <v>Saturday</v>
      </c>
      <c r="K6" s="9">
        <v>1</v>
      </c>
      <c r="L6" s="38" t="str">
        <f>IF(Table1[[#This Row],[Weather_code]]=1,"Clear",IF(Table1[[#This Row],[Weather_code]]=2,"Cloudy",IF(Table1[[#This Row],[Weather_code]]=3,"Light Rain",IF(Table1[[#This Row],[Weather_code]]=4,"Heavy Rain"))))</f>
        <v>Clear</v>
      </c>
      <c r="M6" s="10">
        <v>0.22</v>
      </c>
      <c r="N6" s="11" t="str">
        <f t="shared" ref="N6:N69" si="1">CHOOSE(D6,"Winter","Spring","Summer","Fall")</f>
        <v>Winter</v>
      </c>
      <c r="O6" s="11" t="str">
        <f t="shared" ref="O6:O69" si="2">IF(OR(WEEKDAY(B6,2)=6,WEEKDAY(B6,2)=7),"Weekend","Weekday")</f>
        <v>Weekend</v>
      </c>
      <c r="P6" s="11">
        <f>VLOOKUP(A6,[1]Sheet1!$A:$H,2, FALSE)</f>
        <v>0.2727</v>
      </c>
      <c r="Q6" s="40">
        <f>Table1[[#This Row],[A_Temperature]]*41</f>
        <v>11.1807</v>
      </c>
      <c r="R6" s="11">
        <f>VLOOKUP(A6,[1]Sheet1!$A:$G,3,FALSE)</f>
        <v>0.8</v>
      </c>
      <c r="S6" s="11">
        <f>VLOOKUP(A6,[1]Sheet1!$A:$G,4,FALSE)</f>
        <v>0</v>
      </c>
      <c r="T6" s="11">
        <f>VLOOKUP(A6,[1]Sheet1!$A:$G,5,FALSE)</f>
        <v>8</v>
      </c>
      <c r="U6" s="11">
        <f>VLOOKUP(A6,[1]Sheet1!$A:$G,6,FALSE)</f>
        <v>32</v>
      </c>
      <c r="V6" s="18">
        <f>VLOOKUP(A6,[1]Sheet1!$A:$G,7,FALSE)</f>
        <v>40</v>
      </c>
    </row>
    <row r="7" spans="1:25" s="12" customFormat="1" ht="30" customHeight="1">
      <c r="A7" s="17">
        <v>3</v>
      </c>
      <c r="B7" s="8">
        <v>40544</v>
      </c>
      <c r="C7" s="8" t="str">
        <f t="shared" si="0"/>
        <v>Saturday</v>
      </c>
      <c r="D7" s="9">
        <v>1</v>
      </c>
      <c r="E7" s="9">
        <v>0</v>
      </c>
      <c r="F7" s="9">
        <v>1</v>
      </c>
      <c r="G7" s="7">
        <v>2</v>
      </c>
      <c r="H7" s="9" t="b">
        <v>0</v>
      </c>
      <c r="I7" s="9">
        <v>6</v>
      </c>
      <c r="J7" s="38" t="str">
        <f>CHOOSE(Table1[[#This Row],[Weekday]]+1,"Sunday","Monday","Tuesday","Wednesday","Thursday","Friday","Saturday")</f>
        <v>Saturday</v>
      </c>
      <c r="K7" s="9">
        <v>1</v>
      </c>
      <c r="L7" s="38" t="str">
        <f>IF(Table1[[#This Row],[Weather_code]]=1,"Clear",IF(Table1[[#This Row],[Weather_code]]=2,"Cloudy",IF(Table1[[#This Row],[Weather_code]]=3,"Light Rain",IF(Table1[[#This Row],[Weather_code]]=4,"Heavy Rain"))))</f>
        <v>Clear</v>
      </c>
      <c r="M7" s="10">
        <v>0.22</v>
      </c>
      <c r="N7" s="11" t="str">
        <f t="shared" si="1"/>
        <v>Winter</v>
      </c>
      <c r="O7" s="11" t="str">
        <f t="shared" si="2"/>
        <v>Weekend</v>
      </c>
      <c r="P7" s="11">
        <f>VLOOKUP(A7,[1]Sheet1!$A:$H,2, FALSE)</f>
        <v>0.2727</v>
      </c>
      <c r="Q7" s="40">
        <f>Table1[[#This Row],[A_Temperature]]*41</f>
        <v>11.1807</v>
      </c>
      <c r="R7" s="11">
        <f>VLOOKUP(A7,[1]Sheet1!$A:$G,3,FALSE)</f>
        <v>0.8</v>
      </c>
      <c r="S7" s="11">
        <f>VLOOKUP(A7,[1]Sheet1!$A:$G,4,FALSE)</f>
        <v>0</v>
      </c>
      <c r="T7" s="11">
        <f>VLOOKUP(A7,[1]Sheet1!$A:$G,5,FALSE)</f>
        <v>5</v>
      </c>
      <c r="U7" s="11">
        <f>VLOOKUP(A7,[1]Sheet1!$A:$G,6,FALSE)</f>
        <v>27</v>
      </c>
      <c r="V7" s="18">
        <f>VLOOKUP(A7,[1]Sheet1!$A:$G,7,FALSE)</f>
        <v>32</v>
      </c>
      <c r="W7" s="12" t="s">
        <v>480</v>
      </c>
    </row>
    <row r="8" spans="1:25" s="12" customFormat="1" ht="30" customHeight="1">
      <c r="A8" s="17">
        <v>4</v>
      </c>
      <c r="B8" s="8">
        <v>40544</v>
      </c>
      <c r="C8" s="8" t="str">
        <f t="shared" si="0"/>
        <v>Saturday</v>
      </c>
      <c r="D8" s="9">
        <v>1</v>
      </c>
      <c r="E8" s="9">
        <v>0</v>
      </c>
      <c r="F8" s="9">
        <v>1</v>
      </c>
      <c r="G8" s="7">
        <v>3</v>
      </c>
      <c r="H8" s="9" t="b">
        <v>0</v>
      </c>
      <c r="I8" s="9">
        <v>6</v>
      </c>
      <c r="J8" s="38" t="str">
        <f>CHOOSE(Table1[[#This Row],[Weekday]]+1,"Sunday","Monday","Tuesday","Wednesday","Thursday","Friday","Saturday")</f>
        <v>Saturday</v>
      </c>
      <c r="K8" s="9">
        <v>1</v>
      </c>
      <c r="L8" s="38" t="str">
        <f>IF(Table1[[#This Row],[Weather_code]]=1,"Clear",IF(Table1[[#This Row],[Weather_code]]=2,"Cloudy",IF(Table1[[#This Row],[Weather_code]]=3,"Light Rain",IF(Table1[[#This Row],[Weather_code]]=4,"Heavy Rain"))))</f>
        <v>Clear</v>
      </c>
      <c r="M8" s="10">
        <v>0.24</v>
      </c>
      <c r="N8" s="11" t="str">
        <f t="shared" si="1"/>
        <v>Winter</v>
      </c>
      <c r="O8" s="11" t="str">
        <f t="shared" si="2"/>
        <v>Weekend</v>
      </c>
      <c r="P8" s="11">
        <f>VLOOKUP(A8,[1]Sheet1!$A:$H,2, FALSE)</f>
        <v>0.28789999999999999</v>
      </c>
      <c r="Q8" s="40">
        <f>Table1[[#This Row],[A_Temperature]]*41</f>
        <v>11.803899999999999</v>
      </c>
      <c r="R8" s="11">
        <f>VLOOKUP(A8,[1]Sheet1!$A:$G,3,FALSE)</f>
        <v>0.75</v>
      </c>
      <c r="S8" s="11">
        <f>VLOOKUP(A8,[1]Sheet1!$A:$G,4,FALSE)</f>
        <v>0</v>
      </c>
      <c r="T8" s="11">
        <f>VLOOKUP(A8,[1]Sheet1!$A:$G,5,FALSE)</f>
        <v>3</v>
      </c>
      <c r="U8" s="11">
        <f>VLOOKUP(A8,[1]Sheet1!$A:$G,6,FALSE)</f>
        <v>10</v>
      </c>
      <c r="V8" s="18">
        <f>VLOOKUP(A8,[1]Sheet1!$A:$G,7,FALSE)</f>
        <v>13</v>
      </c>
    </row>
    <row r="9" spans="1:25" s="12" customFormat="1" ht="30" customHeight="1">
      <c r="A9" s="17">
        <v>5</v>
      </c>
      <c r="B9" s="8">
        <v>40544</v>
      </c>
      <c r="C9" s="8" t="str">
        <f t="shared" si="0"/>
        <v>Saturday</v>
      </c>
      <c r="D9" s="9">
        <v>1</v>
      </c>
      <c r="E9" s="9">
        <v>0</v>
      </c>
      <c r="F9" s="9">
        <v>1</v>
      </c>
      <c r="G9" s="7">
        <v>4</v>
      </c>
      <c r="H9" s="9" t="b">
        <v>0</v>
      </c>
      <c r="I9" s="9">
        <v>6</v>
      </c>
      <c r="J9" s="38" t="str">
        <f>CHOOSE(Table1[[#This Row],[Weekday]]+1,"Sunday","Monday","Tuesday","Wednesday","Thursday","Friday","Saturday")</f>
        <v>Saturday</v>
      </c>
      <c r="K9" s="9">
        <v>1</v>
      </c>
      <c r="L9" s="38" t="str">
        <f>IF(Table1[[#This Row],[Weather_code]]=1,"Clear",IF(Table1[[#This Row],[Weather_code]]=2,"Cloudy",IF(Table1[[#This Row],[Weather_code]]=3,"Light Rain",IF(Table1[[#This Row],[Weather_code]]=4,"Heavy Rain"))))</f>
        <v>Clear</v>
      </c>
      <c r="M9" s="10">
        <v>0.24</v>
      </c>
      <c r="N9" s="11" t="str">
        <f t="shared" si="1"/>
        <v>Winter</v>
      </c>
      <c r="O9" s="11" t="str">
        <f t="shared" si="2"/>
        <v>Weekend</v>
      </c>
      <c r="P9" s="11">
        <f>VLOOKUP(A9,[1]Sheet1!$A:$H,2, FALSE)</f>
        <v>0.28789999999999999</v>
      </c>
      <c r="Q9" s="40">
        <f>Table1[[#This Row],[A_Temperature]]*41</f>
        <v>11.803899999999999</v>
      </c>
      <c r="R9" s="11">
        <f>VLOOKUP(A9,[1]Sheet1!$A:$G,3,FALSE)</f>
        <v>0.75</v>
      </c>
      <c r="S9" s="11">
        <f>VLOOKUP(A9,[1]Sheet1!$A:$G,4,FALSE)</f>
        <v>0</v>
      </c>
      <c r="T9" s="11">
        <f>VLOOKUP(A9,[1]Sheet1!$A:$G,5,FALSE)</f>
        <v>0</v>
      </c>
      <c r="U9" s="11">
        <f>VLOOKUP(A9,[1]Sheet1!$A:$G,6,FALSE)</f>
        <v>1</v>
      </c>
      <c r="V9" s="18">
        <f>VLOOKUP(A9,[1]Sheet1!$A:$G,7,FALSE)</f>
        <v>1</v>
      </c>
    </row>
    <row r="10" spans="1:25" s="12" customFormat="1" ht="30" customHeight="1">
      <c r="A10" s="17">
        <v>6</v>
      </c>
      <c r="B10" s="8">
        <v>40544</v>
      </c>
      <c r="C10" s="8" t="str">
        <f t="shared" si="0"/>
        <v>Saturday</v>
      </c>
      <c r="D10" s="9">
        <v>1</v>
      </c>
      <c r="E10" s="9">
        <v>0</v>
      </c>
      <c r="F10" s="9">
        <v>1</v>
      </c>
      <c r="G10" s="7">
        <v>5</v>
      </c>
      <c r="H10" s="9" t="b">
        <v>0</v>
      </c>
      <c r="I10" s="9">
        <v>6</v>
      </c>
      <c r="J10" s="38" t="str">
        <f>CHOOSE(Table1[[#This Row],[Weekday]]+1,"Sunday","Monday","Tuesday","Wednesday","Thursday","Friday","Saturday")</f>
        <v>Saturday</v>
      </c>
      <c r="K10" s="9">
        <v>2</v>
      </c>
      <c r="L10" s="38" t="str">
        <f>IF(Table1[[#This Row],[Weather_code]]=1,"Clear",IF(Table1[[#This Row],[Weather_code]]=2,"Cloudy",IF(Table1[[#This Row],[Weather_code]]=3,"Light Rain",IF(Table1[[#This Row],[Weather_code]]=4,"Heavy Rain"))))</f>
        <v>Cloudy</v>
      </c>
      <c r="M10" s="10">
        <v>0.24</v>
      </c>
      <c r="N10" s="11" t="str">
        <f t="shared" si="1"/>
        <v>Winter</v>
      </c>
      <c r="O10" s="11" t="str">
        <f t="shared" si="2"/>
        <v>Weekend</v>
      </c>
      <c r="P10" s="11">
        <f>VLOOKUP(A10,[1]Sheet1!$A:$H,2, FALSE)</f>
        <v>0.2576</v>
      </c>
      <c r="Q10" s="40">
        <f>Table1[[#This Row],[A_Temperature]]*41</f>
        <v>10.5616</v>
      </c>
      <c r="R10" s="11">
        <f>VLOOKUP(A10,[1]Sheet1!$A:$G,3,FALSE)</f>
        <v>0.75</v>
      </c>
      <c r="S10" s="11">
        <f>VLOOKUP(A10,[1]Sheet1!$A:$G,4,FALSE)</f>
        <v>8.9599999999999999E-2</v>
      </c>
      <c r="T10" s="11">
        <f>VLOOKUP(A10,[1]Sheet1!$A:$G,5,FALSE)</f>
        <v>0</v>
      </c>
      <c r="U10" s="11">
        <f>VLOOKUP(A10,[1]Sheet1!$A:$G,6,FALSE)</f>
        <v>1</v>
      </c>
      <c r="V10" s="18">
        <f>VLOOKUP(A10,[1]Sheet1!$A:$G,7,FALSE)</f>
        <v>1</v>
      </c>
    </row>
    <row r="11" spans="1:25" s="13" customFormat="1" ht="30" customHeight="1">
      <c r="A11" s="17">
        <v>7</v>
      </c>
      <c r="B11" s="8">
        <v>40544</v>
      </c>
      <c r="C11" s="8" t="str">
        <f t="shared" si="0"/>
        <v>Saturday</v>
      </c>
      <c r="D11" s="9">
        <v>1</v>
      </c>
      <c r="E11" s="9">
        <v>0</v>
      </c>
      <c r="F11" s="9">
        <v>1</v>
      </c>
      <c r="G11" s="7">
        <v>6</v>
      </c>
      <c r="H11" s="9" t="b">
        <v>0</v>
      </c>
      <c r="I11" s="9">
        <v>6</v>
      </c>
      <c r="J11" s="38" t="str">
        <f>CHOOSE(Table1[[#This Row],[Weekday]]+1,"Sunday","Monday","Tuesday","Wednesday","Thursday","Friday","Saturday")</f>
        <v>Saturday</v>
      </c>
      <c r="K11" s="9">
        <v>1</v>
      </c>
      <c r="L11" s="38" t="str">
        <f>IF(Table1[[#This Row],[Weather_code]]=1,"Clear",IF(Table1[[#This Row],[Weather_code]]=2,"Cloudy",IF(Table1[[#This Row],[Weather_code]]=3,"Light Rain",IF(Table1[[#This Row],[Weather_code]]=4,"Heavy Rain"))))</f>
        <v>Clear</v>
      </c>
      <c r="M11" s="10">
        <v>0.22</v>
      </c>
      <c r="N11" s="11" t="str">
        <f t="shared" si="1"/>
        <v>Winter</v>
      </c>
      <c r="O11" s="11" t="str">
        <f t="shared" si="2"/>
        <v>Weekend</v>
      </c>
      <c r="P11" s="11">
        <f>VLOOKUP(A11,[1]Sheet1!$A:$H,2, FALSE)</f>
        <v>0.2727</v>
      </c>
      <c r="Q11" s="40">
        <f>Table1[[#This Row],[A_Temperature]]*41</f>
        <v>11.1807</v>
      </c>
      <c r="R11" s="11">
        <f>VLOOKUP(A11,[1]Sheet1!$A:$G,3,FALSE)</f>
        <v>0.8</v>
      </c>
      <c r="S11" s="11">
        <f>VLOOKUP(A11,[1]Sheet1!$A:$G,4,FALSE)</f>
        <v>0</v>
      </c>
      <c r="T11" s="11">
        <f>VLOOKUP(A11,[1]Sheet1!$A:$G,5,FALSE)</f>
        <v>2</v>
      </c>
      <c r="U11" s="11">
        <f>VLOOKUP(A11,[1]Sheet1!$A:$G,6,FALSE)</f>
        <v>0</v>
      </c>
      <c r="V11" s="18">
        <f>VLOOKUP(A11,[1]Sheet1!$A:$G,7,FALSE)</f>
        <v>2</v>
      </c>
    </row>
    <row r="12" spans="1:25" s="13" customFormat="1" ht="30" customHeight="1">
      <c r="A12" s="17">
        <v>8</v>
      </c>
      <c r="B12" s="8">
        <v>40544</v>
      </c>
      <c r="C12" s="8" t="str">
        <f t="shared" si="0"/>
        <v>Saturday</v>
      </c>
      <c r="D12" s="9">
        <v>1</v>
      </c>
      <c r="E12" s="9">
        <v>0</v>
      </c>
      <c r="F12" s="9" t="s">
        <v>18</v>
      </c>
      <c r="G12" s="7">
        <v>7</v>
      </c>
      <c r="H12" s="9" t="b">
        <v>0</v>
      </c>
      <c r="I12" s="9">
        <v>6</v>
      </c>
      <c r="J12" s="38" t="str">
        <f>CHOOSE(Table1[[#This Row],[Weekday]]+1,"Sunday","Monday","Tuesday","Wednesday","Thursday","Friday","Saturday")</f>
        <v>Saturday</v>
      </c>
      <c r="K12" s="9">
        <v>1</v>
      </c>
      <c r="L12" s="38" t="str">
        <f>IF(Table1[[#This Row],[Weather_code]]=1,"Clear",IF(Table1[[#This Row],[Weather_code]]=2,"Cloudy",IF(Table1[[#This Row],[Weather_code]]=3,"Light Rain",IF(Table1[[#This Row],[Weather_code]]=4,"Heavy Rain"))))</f>
        <v>Clear</v>
      </c>
      <c r="M12" s="10">
        <v>0.2</v>
      </c>
      <c r="N12" s="11" t="str">
        <f t="shared" si="1"/>
        <v>Winter</v>
      </c>
      <c r="O12" s="11" t="str">
        <f t="shared" si="2"/>
        <v>Weekend</v>
      </c>
      <c r="P12" s="11">
        <f>VLOOKUP(A12,[1]Sheet1!$A:$H,2, FALSE)</f>
        <v>0.2576</v>
      </c>
      <c r="Q12" s="40">
        <f>Table1[[#This Row],[A_Temperature]]*41</f>
        <v>10.5616</v>
      </c>
      <c r="R12" s="11">
        <f>VLOOKUP(A12,[1]Sheet1!$A:$G,3,FALSE)</f>
        <v>0.86</v>
      </c>
      <c r="S12" s="11">
        <f>VLOOKUP(A12,[1]Sheet1!$A:$G,4,FALSE)</f>
        <v>0</v>
      </c>
      <c r="T12" s="11">
        <f>VLOOKUP(A12,[1]Sheet1!$A:$G,5,FALSE)</f>
        <v>1</v>
      </c>
      <c r="U12" s="11">
        <f>VLOOKUP(A12,[1]Sheet1!$A:$G,6,FALSE)</f>
        <v>2</v>
      </c>
      <c r="V12" s="18">
        <f>VLOOKUP(A12,[1]Sheet1!$A:$G,7,FALSE)</f>
        <v>3</v>
      </c>
    </row>
    <row r="13" spans="1:25" s="13" customFormat="1" ht="30" customHeight="1">
      <c r="A13" s="17">
        <v>9</v>
      </c>
      <c r="B13" s="8">
        <v>40544</v>
      </c>
      <c r="C13" s="8" t="str">
        <f t="shared" si="0"/>
        <v>Saturday</v>
      </c>
      <c r="D13" s="9">
        <v>1</v>
      </c>
      <c r="E13" s="9">
        <v>0</v>
      </c>
      <c r="F13" s="9">
        <v>1</v>
      </c>
      <c r="G13" s="7">
        <v>8</v>
      </c>
      <c r="H13" s="9" t="b">
        <v>0</v>
      </c>
      <c r="I13" s="9">
        <v>6</v>
      </c>
      <c r="J13" s="38" t="str">
        <f>CHOOSE(Table1[[#This Row],[Weekday]]+1,"Sunday","Monday","Tuesday","Wednesday","Thursday","Friday","Saturday")</f>
        <v>Saturday</v>
      </c>
      <c r="K13" s="9">
        <v>1</v>
      </c>
      <c r="L13" s="38" t="str">
        <f>IF(Table1[[#This Row],[Weather_code]]=1,"Clear",IF(Table1[[#This Row],[Weather_code]]=2,"Cloudy",IF(Table1[[#This Row],[Weather_code]]=3,"Light Rain",IF(Table1[[#This Row],[Weather_code]]=4,"Heavy Rain"))))</f>
        <v>Clear</v>
      </c>
      <c r="M13" s="10">
        <v>0.24</v>
      </c>
      <c r="N13" s="11" t="str">
        <f t="shared" si="1"/>
        <v>Winter</v>
      </c>
      <c r="O13" s="11" t="str">
        <f t="shared" si="2"/>
        <v>Weekend</v>
      </c>
      <c r="P13" s="11">
        <f>VLOOKUP(A13,[1]Sheet1!$A:$H,2, FALSE)</f>
        <v>0.19989999999999999</v>
      </c>
      <c r="Q13" s="40">
        <f>Table1[[#This Row],[A_Temperature]]*41</f>
        <v>8.1959</v>
      </c>
      <c r="R13" s="11">
        <f>VLOOKUP(A13,[1]Sheet1!$A:$G,3,FALSE)</f>
        <v>0.75</v>
      </c>
      <c r="S13" s="11">
        <f>VLOOKUP(A13,[1]Sheet1!$A:$G,4,FALSE)</f>
        <v>0</v>
      </c>
      <c r="T13" s="11">
        <f>VLOOKUP(A13,[1]Sheet1!$A:$G,5,FALSE)</f>
        <v>1</v>
      </c>
      <c r="U13" s="11">
        <f>VLOOKUP(A13,[1]Sheet1!$A:$G,6,FALSE)</f>
        <v>7</v>
      </c>
      <c r="V13" s="18">
        <f>VLOOKUP(A13,[1]Sheet1!$A:$G,7,FALSE)</f>
        <v>8</v>
      </c>
      <c r="Y13" s="35"/>
    </row>
    <row r="14" spans="1:25" s="13" customFormat="1" ht="30" customHeight="1">
      <c r="A14" s="17">
        <v>10</v>
      </c>
      <c r="B14" s="8">
        <v>40544</v>
      </c>
      <c r="C14" s="8" t="str">
        <f t="shared" si="0"/>
        <v>Saturday</v>
      </c>
      <c r="D14" s="9">
        <v>1</v>
      </c>
      <c r="E14" s="9">
        <v>0</v>
      </c>
      <c r="F14" s="9">
        <v>1</v>
      </c>
      <c r="G14" s="7">
        <v>9</v>
      </c>
      <c r="H14" s="9" t="b">
        <v>0</v>
      </c>
      <c r="I14" s="9">
        <v>6</v>
      </c>
      <c r="J14" s="38" t="str">
        <f>CHOOSE(Table1[[#This Row],[Weekday]]+1,"Sunday","Monday","Tuesday","Wednesday","Thursday","Friday","Saturday")</f>
        <v>Saturday</v>
      </c>
      <c r="K14" s="9">
        <v>1</v>
      </c>
      <c r="L14" s="38" t="str">
        <f>IF(Table1[[#This Row],[Weather_code]]=1,"Clear",IF(Table1[[#This Row],[Weather_code]]=2,"Cloudy",IF(Table1[[#This Row],[Weather_code]]=3,"Light Rain",IF(Table1[[#This Row],[Weather_code]]=4,"Heavy Rain"))))</f>
        <v>Clear</v>
      </c>
      <c r="M14" s="10">
        <v>0.32</v>
      </c>
      <c r="N14" s="11" t="str">
        <f t="shared" si="1"/>
        <v>Winter</v>
      </c>
      <c r="O14" s="11" t="str">
        <f t="shared" si="2"/>
        <v>Weekend</v>
      </c>
      <c r="P14" s="11">
        <f>VLOOKUP(A14,[1]Sheet1!$A:$H,2, FALSE)</f>
        <v>0.34849999999999998</v>
      </c>
      <c r="Q14" s="40">
        <f>Table1[[#This Row],[A_Temperature]]*41</f>
        <v>14.288499999999999</v>
      </c>
      <c r="R14" s="11">
        <f>VLOOKUP(A14,[1]Sheet1!$A:$G,3,FALSE)</f>
        <v>0.76</v>
      </c>
      <c r="S14" s="11">
        <f>VLOOKUP(A14,[1]Sheet1!$A:$G,4,FALSE)</f>
        <v>0</v>
      </c>
      <c r="T14" s="11">
        <f>VLOOKUP(A14,[1]Sheet1!$A:$G,5,FALSE)</f>
        <v>8</v>
      </c>
      <c r="U14" s="11">
        <f>VLOOKUP(A14,[1]Sheet1!$A:$G,6,FALSE)</f>
        <v>6</v>
      </c>
      <c r="V14" s="18">
        <f>VLOOKUP(A14,[1]Sheet1!$A:$G,7,FALSE)</f>
        <v>14</v>
      </c>
    </row>
    <row r="15" spans="1:25" s="13" customFormat="1" ht="30" customHeight="1">
      <c r="A15" s="17">
        <v>11</v>
      </c>
      <c r="B15" s="8">
        <v>40544</v>
      </c>
      <c r="C15" s="8" t="str">
        <f t="shared" si="0"/>
        <v>Saturday</v>
      </c>
      <c r="D15" s="9">
        <v>1</v>
      </c>
      <c r="E15" s="9">
        <v>0</v>
      </c>
      <c r="F15" s="9">
        <v>1</v>
      </c>
      <c r="G15" s="7">
        <v>10</v>
      </c>
      <c r="H15" s="9" t="b">
        <v>0</v>
      </c>
      <c r="I15" s="9">
        <v>6</v>
      </c>
      <c r="J15" s="38" t="str">
        <f>CHOOSE(Table1[[#This Row],[Weekday]]+1,"Sunday","Monday","Tuesday","Wednesday","Thursday","Friday","Saturday")</f>
        <v>Saturday</v>
      </c>
      <c r="K15" s="9">
        <v>1</v>
      </c>
      <c r="L15" s="38" t="str">
        <f>IF(Table1[[#This Row],[Weather_code]]=1,"Clear",IF(Table1[[#This Row],[Weather_code]]=2,"Cloudy",IF(Table1[[#This Row],[Weather_code]]=3,"Light Rain",IF(Table1[[#This Row],[Weather_code]]=4,"Heavy Rain"))))</f>
        <v>Clear</v>
      </c>
      <c r="M15" s="10">
        <v>0.38</v>
      </c>
      <c r="N15" s="11" t="str">
        <f t="shared" si="1"/>
        <v>Winter</v>
      </c>
      <c r="O15" s="11" t="str">
        <f t="shared" si="2"/>
        <v>Weekend</v>
      </c>
      <c r="P15" s="11">
        <f>VLOOKUP(A15,[1]Sheet1!$A:$H,2, FALSE)</f>
        <v>0.39389999999999997</v>
      </c>
      <c r="Q15" s="40">
        <f>Table1[[#This Row],[A_Temperature]]*41</f>
        <v>16.149899999999999</v>
      </c>
      <c r="R15" s="11">
        <f>VLOOKUP(A15,[1]Sheet1!$A:$G,3,FALSE)</f>
        <v>0.76</v>
      </c>
      <c r="S15" s="11">
        <f>VLOOKUP(A15,[1]Sheet1!$A:$G,4,FALSE)</f>
        <v>0.25369999999999998</v>
      </c>
      <c r="T15" s="11">
        <f>VLOOKUP(A15,[1]Sheet1!$A:$G,5,FALSE)</f>
        <v>12</v>
      </c>
      <c r="U15" s="11">
        <f>VLOOKUP(A15,[1]Sheet1!$A:$G,6,FALSE)</f>
        <v>24</v>
      </c>
      <c r="V15" s="18">
        <f>VLOOKUP(A15,[1]Sheet1!$A:$G,7,FALSE)</f>
        <v>36</v>
      </c>
    </row>
    <row r="16" spans="1:25" s="13" customFormat="1" ht="30" customHeight="1">
      <c r="A16" s="17">
        <v>12</v>
      </c>
      <c r="B16" s="8">
        <v>40544</v>
      </c>
      <c r="C16" s="8" t="str">
        <f t="shared" si="0"/>
        <v>Saturday</v>
      </c>
      <c r="D16" s="9">
        <v>1</v>
      </c>
      <c r="E16" s="9">
        <v>0</v>
      </c>
      <c r="F16" s="9">
        <v>1</v>
      </c>
      <c r="G16" s="7">
        <v>11</v>
      </c>
      <c r="H16" s="9" t="b">
        <v>0</v>
      </c>
      <c r="I16" s="9">
        <v>6</v>
      </c>
      <c r="J16" s="38" t="str">
        <f>CHOOSE(Table1[[#This Row],[Weekday]]+1,"Sunday","Monday","Tuesday","Wednesday","Thursday","Friday","Saturday")</f>
        <v>Saturday</v>
      </c>
      <c r="K16" s="9">
        <v>1</v>
      </c>
      <c r="L16" s="38" t="str">
        <f>IF(Table1[[#This Row],[Weather_code]]=1,"Clear",IF(Table1[[#This Row],[Weather_code]]=2,"Cloudy",IF(Table1[[#This Row],[Weather_code]]=3,"Light Rain",IF(Table1[[#This Row],[Weather_code]]=4,"Heavy Rain"))))</f>
        <v>Clear</v>
      </c>
      <c r="M16" s="10">
        <v>0.36</v>
      </c>
      <c r="N16" s="11" t="str">
        <f t="shared" si="1"/>
        <v>Winter</v>
      </c>
      <c r="O16" s="11" t="str">
        <f t="shared" si="2"/>
        <v>Weekend</v>
      </c>
      <c r="P16" s="11">
        <f>VLOOKUP(A16,[1]Sheet1!$A:$H,2, FALSE)</f>
        <v>0.33329999999999999</v>
      </c>
      <c r="Q16" s="40">
        <f>Table1[[#This Row],[A_Temperature]]*41</f>
        <v>13.6653</v>
      </c>
      <c r="R16" s="11">
        <f>VLOOKUP(A16,[1]Sheet1!$A:$G,3,FALSE)</f>
        <v>0.81</v>
      </c>
      <c r="S16" s="11">
        <f>VLOOKUP(A16,[1]Sheet1!$A:$G,4,FALSE)</f>
        <v>0.28360000000000002</v>
      </c>
      <c r="T16" s="11">
        <f>VLOOKUP(A16,[1]Sheet1!$A:$G,5,FALSE)</f>
        <v>26</v>
      </c>
      <c r="U16" s="11">
        <f>VLOOKUP(A16,[1]Sheet1!$A:$G,6,FALSE)</f>
        <v>30</v>
      </c>
      <c r="V16" s="18">
        <f>VLOOKUP(A16,[1]Sheet1!$A:$G,7,FALSE)</f>
        <v>56</v>
      </c>
    </row>
    <row r="17" spans="1:22" s="13" customFormat="1" ht="30" customHeight="1">
      <c r="A17" s="17">
        <v>13</v>
      </c>
      <c r="B17" s="8">
        <v>40544</v>
      </c>
      <c r="C17" s="8" t="str">
        <f t="shared" si="0"/>
        <v>Saturday</v>
      </c>
      <c r="D17" s="9">
        <v>1</v>
      </c>
      <c r="E17" s="9">
        <v>0</v>
      </c>
      <c r="F17" s="9">
        <v>1</v>
      </c>
      <c r="G17" s="7">
        <v>12</v>
      </c>
      <c r="H17" s="9" t="b">
        <v>0</v>
      </c>
      <c r="I17" s="9">
        <v>6</v>
      </c>
      <c r="J17" s="38" t="str">
        <f>CHOOSE(Table1[[#This Row],[Weekday]]+1,"Sunday","Monday","Tuesday","Wednesday","Thursday","Friday","Saturday")</f>
        <v>Saturday</v>
      </c>
      <c r="K17" s="9">
        <v>1</v>
      </c>
      <c r="L17" s="38" t="str">
        <f>IF(Table1[[#This Row],[Weather_code]]=1,"Clear",IF(Table1[[#This Row],[Weather_code]]=2,"Cloudy",IF(Table1[[#This Row],[Weather_code]]=3,"Light Rain",IF(Table1[[#This Row],[Weather_code]]=4,"Heavy Rain"))))</f>
        <v>Clear</v>
      </c>
      <c r="M17" s="10">
        <v>0.42</v>
      </c>
      <c r="N17" s="11" t="str">
        <f t="shared" si="1"/>
        <v>Winter</v>
      </c>
      <c r="O17" s="11" t="str">
        <f t="shared" si="2"/>
        <v>Weekend</v>
      </c>
      <c r="P17" s="11">
        <f>VLOOKUP(A17,[1]Sheet1!$A:$H,2, FALSE)</f>
        <v>0.42420000000000002</v>
      </c>
      <c r="Q17" s="40">
        <f>Table1[[#This Row],[A_Temperature]]*41</f>
        <v>17.392200000000003</v>
      </c>
      <c r="R17" s="11">
        <f>VLOOKUP(A17,[1]Sheet1!$A:$G,3,FALSE)</f>
        <v>0.77</v>
      </c>
      <c r="S17" s="11">
        <f>VLOOKUP(A17,[1]Sheet1!$A:$G,4,FALSE)</f>
        <v>0.28360000000000002</v>
      </c>
      <c r="T17" s="11">
        <f>VLOOKUP(A17,[1]Sheet1!$A:$G,5,FALSE)</f>
        <v>29</v>
      </c>
      <c r="U17" s="11">
        <f>VLOOKUP(A17,[1]Sheet1!$A:$G,6,FALSE)</f>
        <v>55</v>
      </c>
      <c r="V17" s="18">
        <f>VLOOKUP(A17,[1]Sheet1!$A:$G,7,FALSE)</f>
        <v>84</v>
      </c>
    </row>
    <row r="18" spans="1:22" s="13" customFormat="1" ht="30" customHeight="1">
      <c r="A18" s="17">
        <v>14</v>
      </c>
      <c r="B18" s="8">
        <v>40544</v>
      </c>
      <c r="C18" s="8" t="str">
        <f t="shared" si="0"/>
        <v>Saturday</v>
      </c>
      <c r="D18" s="9">
        <v>1</v>
      </c>
      <c r="E18" s="9">
        <v>0</v>
      </c>
      <c r="F18" s="9">
        <v>1</v>
      </c>
      <c r="G18" s="7">
        <v>13</v>
      </c>
      <c r="H18" s="9" t="b">
        <v>0</v>
      </c>
      <c r="I18" s="9">
        <v>6</v>
      </c>
      <c r="J18" s="38" t="str">
        <f>CHOOSE(Table1[[#This Row],[Weekday]]+1,"Sunday","Monday","Tuesday","Wednesday","Thursday","Friday","Saturday")</f>
        <v>Saturday</v>
      </c>
      <c r="K18" s="9">
        <v>2</v>
      </c>
      <c r="L18" s="38" t="str">
        <f>IF(Table1[[#This Row],[Weather_code]]=1,"Clear",IF(Table1[[#This Row],[Weather_code]]=2,"Cloudy",IF(Table1[[#This Row],[Weather_code]]=3,"Light Rain",IF(Table1[[#This Row],[Weather_code]]=4,"Heavy Rain"))))</f>
        <v>Cloudy</v>
      </c>
      <c r="M18" s="10">
        <v>0.46</v>
      </c>
      <c r="N18" s="11" t="str">
        <f t="shared" si="1"/>
        <v>Winter</v>
      </c>
      <c r="O18" s="11" t="str">
        <f t="shared" si="2"/>
        <v>Weekend</v>
      </c>
      <c r="P18" s="11">
        <f>VLOOKUP(A18,[1]Sheet1!$A:$H,2, FALSE)</f>
        <v>0.45450000000000002</v>
      </c>
      <c r="Q18" s="40">
        <f>Table1[[#This Row],[A_Temperature]]*41</f>
        <v>18.634499999999999</v>
      </c>
      <c r="R18" s="11">
        <f>VLOOKUP(A18,[1]Sheet1!$A:$G,3,FALSE)</f>
        <v>0.72</v>
      </c>
      <c r="S18" s="11">
        <f>VLOOKUP(A18,[1]Sheet1!$A:$G,4,FALSE)</f>
        <v>0.29849999999999999</v>
      </c>
      <c r="T18" s="11">
        <f>VLOOKUP(A18,[1]Sheet1!$A:$G,5,FALSE)</f>
        <v>47</v>
      </c>
      <c r="U18" s="11">
        <f>VLOOKUP(A18,[1]Sheet1!$A:$G,6,FALSE)</f>
        <v>47</v>
      </c>
      <c r="V18" s="18">
        <f>VLOOKUP(A18,[1]Sheet1!$A:$G,7,FALSE)</f>
        <v>94</v>
      </c>
    </row>
    <row r="19" spans="1:22" s="13" customFormat="1" ht="30" customHeight="1">
      <c r="A19" s="17">
        <v>15</v>
      </c>
      <c r="B19" s="8">
        <v>40544</v>
      </c>
      <c r="C19" s="8" t="str">
        <f t="shared" si="0"/>
        <v>Saturday</v>
      </c>
      <c r="D19" s="9">
        <v>1</v>
      </c>
      <c r="E19" s="9">
        <v>0</v>
      </c>
      <c r="F19" s="9">
        <v>1</v>
      </c>
      <c r="G19" s="7">
        <v>14</v>
      </c>
      <c r="H19" s="9" t="b">
        <v>0</v>
      </c>
      <c r="I19" s="9">
        <v>6</v>
      </c>
      <c r="J19" s="38" t="str">
        <f>CHOOSE(Table1[[#This Row],[Weekday]]+1,"Sunday","Monday","Tuesday","Wednesday","Thursday","Friday","Saturday")</f>
        <v>Saturday</v>
      </c>
      <c r="K19" s="9">
        <v>2</v>
      </c>
      <c r="L19" s="38" t="str">
        <f>IF(Table1[[#This Row],[Weather_code]]=1,"Clear",IF(Table1[[#This Row],[Weather_code]]=2,"Cloudy",IF(Table1[[#This Row],[Weather_code]]=3,"Light Rain",IF(Table1[[#This Row],[Weather_code]]=4,"Heavy Rain"))))</f>
        <v>Cloudy</v>
      </c>
      <c r="M19" s="10">
        <v>0.46</v>
      </c>
      <c r="N19" s="11" t="str">
        <f t="shared" si="1"/>
        <v>Winter</v>
      </c>
      <c r="O19" s="11" t="str">
        <f t="shared" si="2"/>
        <v>Weekend</v>
      </c>
      <c r="P19" s="11">
        <f>VLOOKUP(A19,[1]Sheet1!$A:$H,2, FALSE)</f>
        <v>0.45450000000000002</v>
      </c>
      <c r="Q19" s="40">
        <f>Table1[[#This Row],[A_Temperature]]*41</f>
        <v>18.634499999999999</v>
      </c>
      <c r="R19" s="11">
        <f>VLOOKUP(A19,[1]Sheet1!$A:$G,3,FALSE)</f>
        <v>0.72</v>
      </c>
      <c r="S19" s="11">
        <f>VLOOKUP(A19,[1]Sheet1!$A:$G,4,FALSE)</f>
        <v>0.28360000000000002</v>
      </c>
      <c r="T19" s="11">
        <f>VLOOKUP(A19,[1]Sheet1!$A:$G,5,FALSE)</f>
        <v>35</v>
      </c>
      <c r="U19" s="11">
        <f>VLOOKUP(A19,[1]Sheet1!$A:$G,6,FALSE)</f>
        <v>71</v>
      </c>
      <c r="V19" s="18">
        <f>VLOOKUP(A19,[1]Sheet1!$A:$G,7,FALSE)</f>
        <v>106</v>
      </c>
    </row>
    <row r="20" spans="1:22" s="13" customFormat="1" ht="30" customHeight="1">
      <c r="A20" s="17">
        <v>16</v>
      </c>
      <c r="B20" s="8">
        <v>40544</v>
      </c>
      <c r="C20" s="8" t="str">
        <f t="shared" si="0"/>
        <v>Saturday</v>
      </c>
      <c r="D20" s="9">
        <v>1</v>
      </c>
      <c r="E20" s="9">
        <v>0</v>
      </c>
      <c r="F20" s="9">
        <v>1</v>
      </c>
      <c r="G20" s="7">
        <v>15</v>
      </c>
      <c r="H20" s="9" t="b">
        <v>0</v>
      </c>
      <c r="I20" s="9">
        <v>6</v>
      </c>
      <c r="J20" s="38" t="str">
        <f>CHOOSE(Table1[[#This Row],[Weekday]]+1,"Sunday","Monday","Tuesday","Wednesday","Thursday","Friday","Saturday")</f>
        <v>Saturday</v>
      </c>
      <c r="K20" s="9">
        <v>2</v>
      </c>
      <c r="L20" s="38" t="str">
        <f>IF(Table1[[#This Row],[Weather_code]]=1,"Clear",IF(Table1[[#This Row],[Weather_code]]=2,"Cloudy",IF(Table1[[#This Row],[Weather_code]]=3,"Light Rain",IF(Table1[[#This Row],[Weather_code]]=4,"Heavy Rain"))))</f>
        <v>Cloudy</v>
      </c>
      <c r="M20" s="10">
        <v>0.44</v>
      </c>
      <c r="N20" s="11" t="str">
        <f t="shared" si="1"/>
        <v>Winter</v>
      </c>
      <c r="O20" s="11" t="str">
        <f t="shared" si="2"/>
        <v>Weekend</v>
      </c>
      <c r="P20" s="11">
        <f>VLOOKUP(A20,[1]Sheet1!$A:$H,2, FALSE)</f>
        <v>0.43940000000000001</v>
      </c>
      <c r="Q20" s="40">
        <f>Table1[[#This Row],[A_Temperature]]*41</f>
        <v>18.0154</v>
      </c>
      <c r="R20" s="11">
        <f>VLOOKUP(A20,[1]Sheet1!$A:$G,3,FALSE)</f>
        <v>0.77</v>
      </c>
      <c r="S20" s="11">
        <f>VLOOKUP(A20,[1]Sheet1!$A:$G,4,FALSE)</f>
        <v>0.29849999999999999</v>
      </c>
      <c r="T20" s="11">
        <f>VLOOKUP(A20,[1]Sheet1!$A:$G,5,FALSE)</f>
        <v>40</v>
      </c>
      <c r="U20" s="11">
        <f>VLOOKUP(A20,[1]Sheet1!$A:$G,6,FALSE)</f>
        <v>70</v>
      </c>
      <c r="V20" s="18">
        <f>VLOOKUP(A20,[1]Sheet1!$A:$G,7,FALSE)</f>
        <v>110</v>
      </c>
    </row>
    <row r="21" spans="1:22" s="13" customFormat="1" ht="30" customHeight="1">
      <c r="A21" s="17">
        <v>17</v>
      </c>
      <c r="B21" s="8">
        <v>40544</v>
      </c>
      <c r="C21" s="8" t="str">
        <f t="shared" si="0"/>
        <v>Saturday</v>
      </c>
      <c r="D21" s="9">
        <v>1</v>
      </c>
      <c r="E21" s="9">
        <v>0</v>
      </c>
      <c r="F21" s="9">
        <v>1</v>
      </c>
      <c r="G21" s="7">
        <v>16</v>
      </c>
      <c r="H21" s="9" t="b">
        <v>0</v>
      </c>
      <c r="I21" s="9">
        <v>6</v>
      </c>
      <c r="J21" s="38" t="str">
        <f>CHOOSE(Table1[[#This Row],[Weekday]]+1,"Sunday","Monday","Tuesday","Wednesday","Thursday","Friday","Saturday")</f>
        <v>Saturday</v>
      </c>
      <c r="K21" s="9">
        <v>2</v>
      </c>
      <c r="L21" s="38" t="str">
        <f>IF(Table1[[#This Row],[Weather_code]]=1,"Clear",IF(Table1[[#This Row],[Weather_code]]=2,"Cloudy",IF(Table1[[#This Row],[Weather_code]]=3,"Light Rain",IF(Table1[[#This Row],[Weather_code]]=4,"Heavy Rain"))))</f>
        <v>Cloudy</v>
      </c>
      <c r="M21" s="10">
        <v>0.42</v>
      </c>
      <c r="N21" s="11" t="str">
        <f t="shared" si="1"/>
        <v>Winter</v>
      </c>
      <c r="O21" s="11" t="str">
        <f t="shared" si="2"/>
        <v>Weekend</v>
      </c>
      <c r="P21" s="11">
        <f>VLOOKUP(A21,[1]Sheet1!$A:$H,2, FALSE)</f>
        <v>0.42420000000000002</v>
      </c>
      <c r="Q21" s="40">
        <f>Table1[[#This Row],[A_Temperature]]*41</f>
        <v>17.392200000000003</v>
      </c>
      <c r="R21" s="11">
        <f>VLOOKUP(A21,[1]Sheet1!$A:$G,3,FALSE)</f>
        <v>0.82</v>
      </c>
      <c r="S21" s="11">
        <f>VLOOKUP(A21,[1]Sheet1!$A:$G,4,FALSE)</f>
        <v>0.29849999999999999</v>
      </c>
      <c r="T21" s="11">
        <f>VLOOKUP(A21,[1]Sheet1!$A:$G,5,FALSE)</f>
        <v>41</v>
      </c>
      <c r="U21" s="11">
        <f>VLOOKUP(A21,[1]Sheet1!$A:$G,6,FALSE)</f>
        <v>52</v>
      </c>
      <c r="V21" s="18">
        <f>VLOOKUP(A21,[1]Sheet1!$A:$G,7,FALSE)</f>
        <v>93</v>
      </c>
    </row>
    <row r="22" spans="1:22" s="13" customFormat="1" ht="30" customHeight="1">
      <c r="A22" s="17">
        <v>18</v>
      </c>
      <c r="B22" s="8">
        <v>40544</v>
      </c>
      <c r="C22" s="8" t="str">
        <f t="shared" si="0"/>
        <v>Saturday</v>
      </c>
      <c r="D22" s="9">
        <v>1</v>
      </c>
      <c r="E22" s="9">
        <v>0</v>
      </c>
      <c r="F22" s="9">
        <v>1</v>
      </c>
      <c r="G22" s="7">
        <v>17</v>
      </c>
      <c r="H22" s="9" t="b">
        <v>0</v>
      </c>
      <c r="I22" s="9">
        <v>6</v>
      </c>
      <c r="J22" s="38" t="str">
        <f>CHOOSE(Table1[[#This Row],[Weekday]]+1,"Sunday","Monday","Tuesday","Wednesday","Thursday","Friday","Saturday")</f>
        <v>Saturday</v>
      </c>
      <c r="K22" s="9">
        <v>2</v>
      </c>
      <c r="L22" s="38" t="str">
        <f>IF(Table1[[#This Row],[Weather_code]]=1,"Clear",IF(Table1[[#This Row],[Weather_code]]=2,"Cloudy",IF(Table1[[#This Row],[Weather_code]]=3,"Light Rain",IF(Table1[[#This Row],[Weather_code]]=4,"Heavy Rain"))))</f>
        <v>Cloudy</v>
      </c>
      <c r="M22" s="10">
        <v>0.44</v>
      </c>
      <c r="N22" s="11" t="str">
        <f t="shared" si="1"/>
        <v>Winter</v>
      </c>
      <c r="O22" s="11" t="str">
        <f t="shared" si="2"/>
        <v>Weekend</v>
      </c>
      <c r="P22" s="11">
        <f>VLOOKUP(A22,[1]Sheet1!$A:$H,2, FALSE)</f>
        <v>0.19989999999999999</v>
      </c>
      <c r="Q22" s="40">
        <f>Table1[[#This Row],[A_Temperature]]*41</f>
        <v>8.1959</v>
      </c>
      <c r="R22" s="11">
        <f>VLOOKUP(A22,[1]Sheet1!$A:$G,3,FALSE)</f>
        <v>0.82</v>
      </c>
      <c r="S22" s="11">
        <f>VLOOKUP(A22,[1]Sheet1!$A:$G,4,FALSE)</f>
        <v>0.28360000000000002</v>
      </c>
      <c r="T22" s="11">
        <f>VLOOKUP(A22,[1]Sheet1!$A:$G,5,FALSE)</f>
        <v>15</v>
      </c>
      <c r="U22" s="11">
        <f>VLOOKUP(A22,[1]Sheet1!$A:$G,6,FALSE)</f>
        <v>52</v>
      </c>
      <c r="V22" s="18">
        <f>VLOOKUP(A22,[1]Sheet1!$A:$G,7,FALSE)</f>
        <v>67</v>
      </c>
    </row>
    <row r="23" spans="1:22" s="13" customFormat="1" ht="30" customHeight="1">
      <c r="A23" s="17">
        <v>19</v>
      </c>
      <c r="B23" s="8">
        <v>40544</v>
      </c>
      <c r="C23" s="8" t="str">
        <f t="shared" si="0"/>
        <v>Saturday</v>
      </c>
      <c r="D23" s="9">
        <v>1</v>
      </c>
      <c r="E23" s="9">
        <v>0</v>
      </c>
      <c r="F23" s="9">
        <v>1</v>
      </c>
      <c r="G23" s="7">
        <v>18</v>
      </c>
      <c r="H23" s="9" t="b">
        <v>0</v>
      </c>
      <c r="I23" s="9">
        <v>6</v>
      </c>
      <c r="J23" s="38" t="str">
        <f>CHOOSE(Table1[[#This Row],[Weekday]]+1,"Sunday","Monday","Tuesday","Wednesday","Thursday","Friday","Saturday")</f>
        <v>Saturday</v>
      </c>
      <c r="K23" s="9">
        <v>3</v>
      </c>
      <c r="L23" s="38" t="str">
        <f>IF(Table1[[#This Row],[Weather_code]]=1,"Clear",IF(Table1[[#This Row],[Weather_code]]=2,"Cloudy",IF(Table1[[#This Row],[Weather_code]]=3,"Light Rain",IF(Table1[[#This Row],[Weather_code]]=4,"Heavy Rain"))))</f>
        <v>Light Rain</v>
      </c>
      <c r="M23" s="10">
        <v>0.42</v>
      </c>
      <c r="N23" s="11" t="str">
        <f t="shared" si="1"/>
        <v>Winter</v>
      </c>
      <c r="O23" s="11" t="str">
        <f t="shared" si="2"/>
        <v>Weekend</v>
      </c>
      <c r="P23" s="11">
        <f>VLOOKUP(A23,[1]Sheet1!$A:$H,2, FALSE)</f>
        <v>0.42420000000000002</v>
      </c>
      <c r="Q23" s="40">
        <f>Table1[[#This Row],[A_Temperature]]*41</f>
        <v>17.392200000000003</v>
      </c>
      <c r="R23" s="11">
        <f>VLOOKUP(A23,[1]Sheet1!$A:$G,3,FALSE)</f>
        <v>0.88</v>
      </c>
      <c r="S23" s="11">
        <f>VLOOKUP(A23,[1]Sheet1!$A:$G,4,FALSE)</f>
        <v>0.25369999999999998</v>
      </c>
      <c r="T23" s="11">
        <f>VLOOKUP(A23,[1]Sheet1!$A:$G,5,FALSE)</f>
        <v>9</v>
      </c>
      <c r="U23" s="11">
        <f>VLOOKUP(A23,[1]Sheet1!$A:$G,6,FALSE)</f>
        <v>26</v>
      </c>
      <c r="V23" s="18">
        <f>VLOOKUP(A23,[1]Sheet1!$A:$G,7,FALSE)</f>
        <v>35</v>
      </c>
    </row>
    <row r="24" spans="1:22" s="13" customFormat="1" ht="30" customHeight="1">
      <c r="A24" s="17">
        <v>20</v>
      </c>
      <c r="B24" s="8">
        <v>40544</v>
      </c>
      <c r="C24" s="8" t="str">
        <f t="shared" si="0"/>
        <v>Saturday</v>
      </c>
      <c r="D24" s="9">
        <v>1</v>
      </c>
      <c r="E24" s="9">
        <v>0</v>
      </c>
      <c r="F24" s="9">
        <v>1</v>
      </c>
      <c r="G24" s="7">
        <v>19</v>
      </c>
      <c r="H24" s="9" t="b">
        <v>0</v>
      </c>
      <c r="I24" s="9">
        <v>6</v>
      </c>
      <c r="J24" s="38" t="str">
        <f>CHOOSE(Table1[[#This Row],[Weekday]]+1,"Sunday","Monday","Tuesday","Wednesday","Thursday","Friday","Saturday")</f>
        <v>Saturday</v>
      </c>
      <c r="K24" s="9">
        <v>3</v>
      </c>
      <c r="L24" s="38" t="str">
        <f>IF(Table1[[#This Row],[Weather_code]]=1,"Clear",IF(Table1[[#This Row],[Weather_code]]=2,"Cloudy",IF(Table1[[#This Row],[Weather_code]]=3,"Light Rain",IF(Table1[[#This Row],[Weather_code]]=4,"Heavy Rain"))))</f>
        <v>Light Rain</v>
      </c>
      <c r="M24" s="10">
        <v>0.42</v>
      </c>
      <c r="N24" s="11" t="str">
        <f t="shared" si="1"/>
        <v>Winter</v>
      </c>
      <c r="O24" s="11" t="str">
        <f t="shared" si="2"/>
        <v>Weekend</v>
      </c>
      <c r="P24" s="11">
        <f>VLOOKUP(A24,[1]Sheet1!$A:$H,2, FALSE)</f>
        <v>0.42420000000000002</v>
      </c>
      <c r="Q24" s="40">
        <f>Table1[[#This Row],[A_Temperature]]*41</f>
        <v>17.392200000000003</v>
      </c>
      <c r="R24" s="11">
        <f>VLOOKUP(A24,[1]Sheet1!$A:$G,3,FALSE)</f>
        <v>0.88</v>
      </c>
      <c r="S24" s="11">
        <f>VLOOKUP(A24,[1]Sheet1!$A:$G,4,FALSE)</f>
        <v>0.25369999999999998</v>
      </c>
      <c r="T24" s="11">
        <f>VLOOKUP(A24,[1]Sheet1!$A:$G,5,FALSE)</f>
        <v>6</v>
      </c>
      <c r="U24" s="11">
        <f>VLOOKUP(A24,[1]Sheet1!$A:$G,6,FALSE)</f>
        <v>31</v>
      </c>
      <c r="V24" s="18">
        <f>VLOOKUP(A24,[1]Sheet1!$A:$G,7,FALSE)</f>
        <v>37</v>
      </c>
    </row>
    <row r="25" spans="1:22" s="13" customFormat="1" ht="30" customHeight="1">
      <c r="A25" s="17">
        <v>21</v>
      </c>
      <c r="B25" s="8">
        <v>40544</v>
      </c>
      <c r="C25" s="8" t="str">
        <f t="shared" si="0"/>
        <v>Saturday</v>
      </c>
      <c r="D25" s="9">
        <v>1</v>
      </c>
      <c r="E25" s="9">
        <v>0</v>
      </c>
      <c r="F25" s="9">
        <v>1</v>
      </c>
      <c r="G25" s="7">
        <v>20</v>
      </c>
      <c r="H25" s="9" t="b">
        <v>0</v>
      </c>
      <c r="I25" s="9">
        <v>6</v>
      </c>
      <c r="J25" s="38" t="str">
        <f>CHOOSE(Table1[[#This Row],[Weekday]]+1,"Sunday","Monday","Tuesday","Wednesday","Thursday","Friday","Saturday")</f>
        <v>Saturday</v>
      </c>
      <c r="K25" s="9">
        <v>2</v>
      </c>
      <c r="L25" s="38" t="str">
        <f>IF(Table1[[#This Row],[Weather_code]]=1,"Clear",IF(Table1[[#This Row],[Weather_code]]=2,"Cloudy",IF(Table1[[#This Row],[Weather_code]]=3,"Light Rain",IF(Table1[[#This Row],[Weather_code]]=4,"Heavy Rain"))))</f>
        <v>Cloudy</v>
      </c>
      <c r="M25" s="10">
        <v>0.4</v>
      </c>
      <c r="N25" s="11" t="str">
        <f t="shared" si="1"/>
        <v>Winter</v>
      </c>
      <c r="O25" s="11" t="str">
        <f t="shared" si="2"/>
        <v>Weekend</v>
      </c>
      <c r="P25" s="11">
        <f>VLOOKUP(A25,[1]Sheet1!$A:$H,2, FALSE)</f>
        <v>0.40910000000000002</v>
      </c>
      <c r="Q25" s="40">
        <f>Table1[[#This Row],[A_Temperature]]*41</f>
        <v>16.773099999999999</v>
      </c>
      <c r="R25" s="11">
        <f>VLOOKUP(A25,[1]Sheet1!$A:$G,3,FALSE)</f>
        <v>0.87</v>
      </c>
      <c r="S25" s="11">
        <f>VLOOKUP(A25,[1]Sheet1!$A:$G,4,FALSE)</f>
        <v>0.25369999999999998</v>
      </c>
      <c r="T25" s="11">
        <f>VLOOKUP(A25,[1]Sheet1!$A:$G,5,FALSE)</f>
        <v>11</v>
      </c>
      <c r="U25" s="11">
        <f>VLOOKUP(A25,[1]Sheet1!$A:$G,6,FALSE)</f>
        <v>25</v>
      </c>
      <c r="V25" s="18">
        <f>VLOOKUP(A25,[1]Sheet1!$A:$G,7,FALSE)</f>
        <v>36</v>
      </c>
    </row>
    <row r="26" spans="1:22" s="13" customFormat="1" ht="30" customHeight="1">
      <c r="A26" s="17">
        <v>22</v>
      </c>
      <c r="B26" s="8">
        <v>40544</v>
      </c>
      <c r="C26" s="8" t="str">
        <f t="shared" si="0"/>
        <v>Saturday</v>
      </c>
      <c r="D26" s="9">
        <v>1</v>
      </c>
      <c r="E26" s="9">
        <v>0</v>
      </c>
      <c r="F26" s="9">
        <v>1</v>
      </c>
      <c r="G26" s="7">
        <v>21</v>
      </c>
      <c r="H26" s="9" t="b">
        <v>0</v>
      </c>
      <c r="I26" s="9">
        <v>6</v>
      </c>
      <c r="J26" s="38" t="str">
        <f>CHOOSE(Table1[[#This Row],[Weekday]]+1,"Sunday","Monday","Tuesday","Wednesday","Thursday","Friday","Saturday")</f>
        <v>Saturday</v>
      </c>
      <c r="K26" s="9">
        <v>2</v>
      </c>
      <c r="L26" s="38" t="str">
        <f>IF(Table1[[#This Row],[Weather_code]]=1,"Clear",IF(Table1[[#This Row],[Weather_code]]=2,"Cloudy",IF(Table1[[#This Row],[Weather_code]]=3,"Light Rain",IF(Table1[[#This Row],[Weather_code]]=4,"Heavy Rain"))))</f>
        <v>Cloudy</v>
      </c>
      <c r="M26" s="10">
        <v>0.4</v>
      </c>
      <c r="N26" s="11" t="str">
        <f t="shared" si="1"/>
        <v>Winter</v>
      </c>
      <c r="O26" s="11" t="str">
        <f t="shared" si="2"/>
        <v>Weekend</v>
      </c>
      <c r="P26" s="11">
        <f>VLOOKUP(A26,[1]Sheet1!$A:$H,2, FALSE)</f>
        <v>0.40910000000000002</v>
      </c>
      <c r="Q26" s="40">
        <f>Table1[[#This Row],[A_Temperature]]*41</f>
        <v>16.773099999999999</v>
      </c>
      <c r="R26" s="11">
        <f>VLOOKUP(A26,[1]Sheet1!$A:$G,3,FALSE)</f>
        <v>0.87</v>
      </c>
      <c r="S26" s="11">
        <f>VLOOKUP(A26,[1]Sheet1!$A:$G,4,FALSE)</f>
        <v>0.19400000000000001</v>
      </c>
      <c r="T26" s="11">
        <f>VLOOKUP(A26,[1]Sheet1!$A:$G,5,FALSE)</f>
        <v>3</v>
      </c>
      <c r="U26" s="11">
        <f>VLOOKUP(A26,[1]Sheet1!$A:$G,6,FALSE)</f>
        <v>31</v>
      </c>
      <c r="V26" s="18">
        <f>VLOOKUP(A26,[1]Sheet1!$A:$G,7,FALSE)</f>
        <v>34</v>
      </c>
    </row>
    <row r="27" spans="1:22" s="13" customFormat="1" ht="30" customHeight="1">
      <c r="A27" s="17">
        <v>23</v>
      </c>
      <c r="B27" s="8">
        <v>40544</v>
      </c>
      <c r="C27" s="8" t="str">
        <f t="shared" si="0"/>
        <v>Saturday</v>
      </c>
      <c r="D27" s="9">
        <v>1</v>
      </c>
      <c r="E27" s="9">
        <v>0</v>
      </c>
      <c r="F27" s="9">
        <v>1</v>
      </c>
      <c r="G27" s="7">
        <v>22</v>
      </c>
      <c r="H27" s="9" t="b">
        <v>0</v>
      </c>
      <c r="I27" s="9">
        <v>6</v>
      </c>
      <c r="J27" s="38" t="str">
        <f>CHOOSE(Table1[[#This Row],[Weekday]]+1,"Sunday","Monday","Tuesday","Wednesday","Thursday","Friday","Saturday")</f>
        <v>Saturday</v>
      </c>
      <c r="K27" s="9">
        <v>2</v>
      </c>
      <c r="L27" s="38" t="str">
        <f>IF(Table1[[#This Row],[Weather_code]]=1,"Clear",IF(Table1[[#This Row],[Weather_code]]=2,"Cloudy",IF(Table1[[#This Row],[Weather_code]]=3,"Light Rain",IF(Table1[[#This Row],[Weather_code]]=4,"Heavy Rain"))))</f>
        <v>Cloudy</v>
      </c>
      <c r="M27" s="10">
        <v>0.4</v>
      </c>
      <c r="N27" s="11" t="str">
        <f t="shared" si="1"/>
        <v>Winter</v>
      </c>
      <c r="O27" s="11" t="str">
        <f t="shared" si="2"/>
        <v>Weekend</v>
      </c>
      <c r="P27" s="11">
        <f>VLOOKUP(A27,[1]Sheet1!$A:$H,2, FALSE)</f>
        <v>0.40910000000000002</v>
      </c>
      <c r="Q27" s="40">
        <f>Table1[[#This Row],[A_Temperature]]*41</f>
        <v>16.773099999999999</v>
      </c>
      <c r="R27" s="11">
        <f>VLOOKUP(A27,[1]Sheet1!$A:$G,3,FALSE)</f>
        <v>0.94</v>
      </c>
      <c r="S27" s="11">
        <f>VLOOKUP(A27,[1]Sheet1!$A:$G,4,FALSE)</f>
        <v>0.22389999999999999</v>
      </c>
      <c r="T27" s="11">
        <f>VLOOKUP(A27,[1]Sheet1!$A:$G,5,FALSE)</f>
        <v>11</v>
      </c>
      <c r="U27" s="11">
        <f>VLOOKUP(A27,[1]Sheet1!$A:$G,6,FALSE)</f>
        <v>17</v>
      </c>
      <c r="V27" s="18">
        <f>VLOOKUP(A27,[1]Sheet1!$A:$G,7,FALSE)</f>
        <v>28</v>
      </c>
    </row>
    <row r="28" spans="1:22" s="13" customFormat="1" ht="30" customHeight="1">
      <c r="A28" s="17">
        <v>24</v>
      </c>
      <c r="B28" s="8">
        <v>40544</v>
      </c>
      <c r="C28" s="8" t="str">
        <f t="shared" si="0"/>
        <v>Saturday</v>
      </c>
      <c r="D28" s="9">
        <v>1</v>
      </c>
      <c r="E28" s="9">
        <v>0</v>
      </c>
      <c r="F28" s="9">
        <v>1</v>
      </c>
      <c r="G28" s="7">
        <v>23</v>
      </c>
      <c r="H28" s="9" t="b">
        <v>0</v>
      </c>
      <c r="I28" s="9">
        <v>6</v>
      </c>
      <c r="J28" s="38" t="str">
        <f>CHOOSE(Table1[[#This Row],[Weekday]]+1,"Sunday","Monday","Tuesday","Wednesday","Thursday","Friday","Saturday")</f>
        <v>Saturday</v>
      </c>
      <c r="K28" s="9">
        <v>2</v>
      </c>
      <c r="L28" s="38" t="str">
        <f>IF(Table1[[#This Row],[Weather_code]]=1,"Clear",IF(Table1[[#This Row],[Weather_code]]=2,"Cloudy",IF(Table1[[#This Row],[Weather_code]]=3,"Light Rain",IF(Table1[[#This Row],[Weather_code]]=4,"Heavy Rain"))))</f>
        <v>Cloudy</v>
      </c>
      <c r="M28" s="10">
        <v>0.46</v>
      </c>
      <c r="N28" s="11" t="str">
        <f t="shared" si="1"/>
        <v>Winter</v>
      </c>
      <c r="O28" s="11" t="str">
        <f t="shared" si="2"/>
        <v>Weekend</v>
      </c>
      <c r="P28" s="11">
        <f>VLOOKUP(A28,[1]Sheet1!$A:$H,2, FALSE)</f>
        <v>0.19989999999999999</v>
      </c>
      <c r="Q28" s="40">
        <f>Table1[[#This Row],[A_Temperature]]*41</f>
        <v>8.1959</v>
      </c>
      <c r="R28" s="11">
        <f>VLOOKUP(A28,[1]Sheet1!$A:$G,3,FALSE)</f>
        <v>0.88</v>
      </c>
      <c r="S28" s="11">
        <f>VLOOKUP(A28,[1]Sheet1!$A:$G,4,FALSE)</f>
        <v>0.29849999999999999</v>
      </c>
      <c r="T28" s="11">
        <f>VLOOKUP(A28,[1]Sheet1!$A:$G,5,FALSE)</f>
        <v>15</v>
      </c>
      <c r="U28" s="11">
        <f>VLOOKUP(A28,[1]Sheet1!$A:$G,6,FALSE)</f>
        <v>24</v>
      </c>
      <c r="V28" s="18">
        <f>VLOOKUP(A28,[1]Sheet1!$A:$G,7,FALSE)</f>
        <v>39</v>
      </c>
    </row>
    <row r="29" spans="1:22" s="13" customFormat="1" ht="30" customHeight="1">
      <c r="A29" s="17">
        <v>25</v>
      </c>
      <c r="B29" s="8">
        <v>40575</v>
      </c>
      <c r="C29" s="8" t="str">
        <f t="shared" si="0"/>
        <v>Tuesday</v>
      </c>
      <c r="D29" s="9">
        <v>1</v>
      </c>
      <c r="E29" s="9">
        <v>0</v>
      </c>
      <c r="F29" s="9">
        <v>1</v>
      </c>
      <c r="G29" s="7">
        <v>0</v>
      </c>
      <c r="H29" s="9" t="b">
        <v>0</v>
      </c>
      <c r="I29" s="9">
        <v>0</v>
      </c>
      <c r="J29" s="38" t="str">
        <f>CHOOSE(Table1[[#This Row],[Weekday]]+1,"Sunday","Monday","Tuesday","Wednesday","Thursday","Friday","Saturday")</f>
        <v>Sunday</v>
      </c>
      <c r="K29" s="9">
        <v>2</v>
      </c>
      <c r="L29" s="38" t="str">
        <f>IF(Table1[[#This Row],[Weather_code]]=1,"Clear",IF(Table1[[#This Row],[Weather_code]]=2,"Cloudy",IF(Table1[[#This Row],[Weather_code]]=3,"Light Rain",IF(Table1[[#This Row],[Weather_code]]=4,"Heavy Rain"))))</f>
        <v>Cloudy</v>
      </c>
      <c r="M29" s="10">
        <v>0.46</v>
      </c>
      <c r="N29" s="11" t="str">
        <f t="shared" si="1"/>
        <v>Winter</v>
      </c>
      <c r="O29" s="11" t="str">
        <f t="shared" si="2"/>
        <v>Weekday</v>
      </c>
      <c r="P29" s="11">
        <f>VLOOKUP(A29,[1]Sheet1!$A:$H,2, FALSE)</f>
        <v>0.45450000000000002</v>
      </c>
      <c r="Q29" s="40">
        <f>Table1[[#This Row],[A_Temperature]]*41</f>
        <v>18.634499999999999</v>
      </c>
      <c r="R29" s="11">
        <f>VLOOKUP(A29,[1]Sheet1!$A:$G,3,FALSE)</f>
        <v>0.88</v>
      </c>
      <c r="S29" s="11">
        <f>VLOOKUP(A29,[1]Sheet1!$A:$G,4,FALSE)</f>
        <v>0.29849999999999999</v>
      </c>
      <c r="T29" s="11">
        <f>VLOOKUP(A29,[1]Sheet1!$A:$G,5,FALSE)</f>
        <v>4</v>
      </c>
      <c r="U29" s="11">
        <f>VLOOKUP(A29,[1]Sheet1!$A:$G,6,FALSE)</f>
        <v>13</v>
      </c>
      <c r="V29" s="18">
        <f>VLOOKUP(A29,[1]Sheet1!$A:$G,7,FALSE)</f>
        <v>17</v>
      </c>
    </row>
    <row r="30" spans="1:22" s="13" customFormat="1" ht="30" customHeight="1">
      <c r="A30" s="17">
        <v>26</v>
      </c>
      <c r="B30" s="8">
        <v>40575</v>
      </c>
      <c r="C30" s="8" t="str">
        <f t="shared" si="0"/>
        <v>Tuesday</v>
      </c>
      <c r="D30" s="9">
        <v>1</v>
      </c>
      <c r="E30" s="9">
        <v>0</v>
      </c>
      <c r="F30" s="9">
        <v>1</v>
      </c>
      <c r="G30" s="7">
        <v>1</v>
      </c>
      <c r="H30" s="9" t="b">
        <v>0</v>
      </c>
      <c r="I30" s="9">
        <v>0</v>
      </c>
      <c r="J30" s="38" t="str">
        <f>CHOOSE(Table1[[#This Row],[Weekday]]+1,"Sunday","Monday","Tuesday","Wednesday","Thursday","Friday","Saturday")</f>
        <v>Sunday</v>
      </c>
      <c r="K30" s="9">
        <v>2</v>
      </c>
      <c r="L30" s="38" t="str">
        <f>IF(Table1[[#This Row],[Weather_code]]=1,"Clear",IF(Table1[[#This Row],[Weather_code]]=2,"Cloudy",IF(Table1[[#This Row],[Weather_code]]=3,"Light Rain",IF(Table1[[#This Row],[Weather_code]]=4,"Heavy Rain"))))</f>
        <v>Cloudy</v>
      </c>
      <c r="M30" s="10">
        <v>0.44</v>
      </c>
      <c r="N30" s="11" t="str">
        <f t="shared" si="1"/>
        <v>Winter</v>
      </c>
      <c r="O30" s="11" t="str">
        <f t="shared" si="2"/>
        <v>Weekday</v>
      </c>
      <c r="P30" s="11">
        <f>VLOOKUP(A30,[1]Sheet1!$A:$H,2, FALSE)</f>
        <v>0.43940000000000001</v>
      </c>
      <c r="Q30" s="40">
        <f>Table1[[#This Row],[A_Temperature]]*41</f>
        <v>18.0154</v>
      </c>
      <c r="R30" s="11">
        <f>VLOOKUP(A30,[1]Sheet1!$A:$G,3,FALSE)</f>
        <v>0.94</v>
      </c>
      <c r="S30" s="11">
        <f>VLOOKUP(A30,[1]Sheet1!$A:$G,4,FALSE)</f>
        <v>0.25369999999999998</v>
      </c>
      <c r="T30" s="11">
        <f>VLOOKUP(A30,[1]Sheet1!$A:$G,5,FALSE)</f>
        <v>1</v>
      </c>
      <c r="U30" s="11">
        <f>VLOOKUP(A30,[1]Sheet1!$A:$G,6,FALSE)</f>
        <v>16</v>
      </c>
      <c r="V30" s="18">
        <f>VLOOKUP(A30,[1]Sheet1!$A:$G,7,FALSE)</f>
        <v>17</v>
      </c>
    </row>
    <row r="31" spans="1:22" s="13" customFormat="1" ht="30" customHeight="1">
      <c r="A31" s="17">
        <v>27</v>
      </c>
      <c r="B31" s="8">
        <v>40575</v>
      </c>
      <c r="C31" s="8" t="str">
        <f t="shared" si="0"/>
        <v>Tuesday</v>
      </c>
      <c r="D31" s="9">
        <v>1</v>
      </c>
      <c r="E31" s="9">
        <v>0</v>
      </c>
      <c r="F31" s="9">
        <v>1</v>
      </c>
      <c r="G31" s="7">
        <v>2</v>
      </c>
      <c r="H31" s="9" t="b">
        <v>0</v>
      </c>
      <c r="I31" s="9">
        <v>0</v>
      </c>
      <c r="J31" s="38" t="str">
        <f>CHOOSE(Table1[[#This Row],[Weekday]]+1,"Sunday","Monday","Tuesday","Wednesday","Thursday","Friday","Saturday")</f>
        <v>Sunday</v>
      </c>
      <c r="K31" s="9">
        <v>2</v>
      </c>
      <c r="L31" s="38" t="str">
        <f>IF(Table1[[#This Row],[Weather_code]]=1,"Clear",IF(Table1[[#This Row],[Weather_code]]=2,"Cloudy",IF(Table1[[#This Row],[Weather_code]]=3,"Light Rain",IF(Table1[[#This Row],[Weather_code]]=4,"Heavy Rain"))))</f>
        <v>Cloudy</v>
      </c>
      <c r="M31" s="10">
        <v>0.42</v>
      </c>
      <c r="N31" s="11" t="str">
        <f t="shared" si="1"/>
        <v>Winter</v>
      </c>
      <c r="O31" s="11" t="str">
        <f t="shared" si="2"/>
        <v>Weekday</v>
      </c>
      <c r="P31" s="11">
        <f>VLOOKUP(A31,[1]Sheet1!$A:$H,2, FALSE)</f>
        <v>0.42420000000000002</v>
      </c>
      <c r="Q31" s="40">
        <f>Table1[[#This Row],[A_Temperature]]*41</f>
        <v>17.392200000000003</v>
      </c>
      <c r="R31" s="11">
        <f>VLOOKUP(A31,[1]Sheet1!$A:$G,3,FALSE)</f>
        <v>1</v>
      </c>
      <c r="S31" s="11">
        <f>VLOOKUP(A31,[1]Sheet1!$A:$G,4,FALSE)</f>
        <v>0.28360000000000002</v>
      </c>
      <c r="T31" s="11">
        <f>VLOOKUP(A31,[1]Sheet1!$A:$G,5,FALSE)</f>
        <v>1</v>
      </c>
      <c r="U31" s="11">
        <f>VLOOKUP(A31,[1]Sheet1!$A:$G,6,FALSE)</f>
        <v>8</v>
      </c>
      <c r="V31" s="18">
        <f>VLOOKUP(A31,[1]Sheet1!$A:$G,7,FALSE)</f>
        <v>9</v>
      </c>
    </row>
    <row r="32" spans="1:22" s="13" customFormat="1" ht="30" customHeight="1">
      <c r="A32" s="17">
        <v>28</v>
      </c>
      <c r="B32" s="8">
        <v>40575</v>
      </c>
      <c r="C32" s="8" t="str">
        <f t="shared" si="0"/>
        <v>Tuesday</v>
      </c>
      <c r="D32" s="9">
        <v>1</v>
      </c>
      <c r="E32" s="9">
        <v>0</v>
      </c>
      <c r="F32" s="9">
        <v>1</v>
      </c>
      <c r="G32" s="7">
        <v>3</v>
      </c>
      <c r="H32" s="9" t="b">
        <v>0</v>
      </c>
      <c r="I32" s="9">
        <v>0</v>
      </c>
      <c r="J32" s="38" t="str">
        <f>CHOOSE(Table1[[#This Row],[Weekday]]+1,"Sunday","Monday","Tuesday","Wednesday","Thursday","Friday","Saturday")</f>
        <v>Sunday</v>
      </c>
      <c r="K32" s="9">
        <v>2</v>
      </c>
      <c r="L32" s="38" t="str">
        <f>IF(Table1[[#This Row],[Weather_code]]=1,"Clear",IF(Table1[[#This Row],[Weather_code]]=2,"Cloudy",IF(Table1[[#This Row],[Weather_code]]=3,"Light Rain",IF(Table1[[#This Row],[Weather_code]]=4,"Heavy Rain"))))</f>
        <v>Cloudy</v>
      </c>
      <c r="M32" s="10">
        <v>0.46</v>
      </c>
      <c r="N32" s="11" t="str">
        <f t="shared" si="1"/>
        <v>Winter</v>
      </c>
      <c r="O32" s="11" t="str">
        <f t="shared" si="2"/>
        <v>Weekday</v>
      </c>
      <c r="P32" s="11">
        <f>VLOOKUP(A32,[1]Sheet1!$A:$H,2, FALSE)</f>
        <v>0.45450000000000002</v>
      </c>
      <c r="Q32" s="40">
        <f>Table1[[#This Row],[A_Temperature]]*41</f>
        <v>18.634499999999999</v>
      </c>
      <c r="R32" s="11">
        <f>VLOOKUP(A32,[1]Sheet1!$A:$G,3,FALSE)</f>
        <v>0.94</v>
      </c>
      <c r="S32" s="11">
        <f>VLOOKUP(A32,[1]Sheet1!$A:$G,4,FALSE)</f>
        <v>0.19400000000000001</v>
      </c>
      <c r="T32" s="11">
        <f>VLOOKUP(A32,[1]Sheet1!$A:$G,5,FALSE)</f>
        <v>2</v>
      </c>
      <c r="U32" s="11">
        <f>VLOOKUP(A32,[1]Sheet1!$A:$G,6,FALSE)</f>
        <v>4</v>
      </c>
      <c r="V32" s="18">
        <f>VLOOKUP(A32,[1]Sheet1!$A:$G,7,FALSE)</f>
        <v>6</v>
      </c>
    </row>
    <row r="33" spans="1:22" s="13" customFormat="1" ht="30" customHeight="1">
      <c r="A33" s="17">
        <v>29</v>
      </c>
      <c r="B33" s="8">
        <v>40575</v>
      </c>
      <c r="C33" s="8" t="str">
        <f t="shared" si="0"/>
        <v>Tuesday</v>
      </c>
      <c r="D33" s="9">
        <v>1</v>
      </c>
      <c r="E33" s="9">
        <v>0</v>
      </c>
      <c r="F33" s="9">
        <v>1</v>
      </c>
      <c r="G33" s="7">
        <v>4</v>
      </c>
      <c r="H33" s="9" t="b">
        <v>0</v>
      </c>
      <c r="I33" s="9">
        <v>0</v>
      </c>
      <c r="J33" s="38" t="str">
        <f>CHOOSE(Table1[[#This Row],[Weekday]]+1,"Sunday","Monday","Tuesday","Wednesday","Thursday","Friday","Saturday")</f>
        <v>Sunday</v>
      </c>
      <c r="K33" s="9">
        <v>2</v>
      </c>
      <c r="L33" s="38" t="str">
        <f>IF(Table1[[#This Row],[Weather_code]]=1,"Clear",IF(Table1[[#This Row],[Weather_code]]=2,"Cloudy",IF(Table1[[#This Row],[Weather_code]]=3,"Light Rain",IF(Table1[[#This Row],[Weather_code]]=4,"Heavy Rain"))))</f>
        <v>Cloudy</v>
      </c>
      <c r="M33" s="10">
        <v>0.46</v>
      </c>
      <c r="N33" s="11" t="str">
        <f t="shared" si="1"/>
        <v>Winter</v>
      </c>
      <c r="O33" s="11" t="str">
        <f t="shared" si="2"/>
        <v>Weekday</v>
      </c>
      <c r="P33" s="11">
        <f>VLOOKUP(A33,[1]Sheet1!$A:$H,2, FALSE)</f>
        <v>0.19989999999999999</v>
      </c>
      <c r="Q33" s="40">
        <f>Table1[[#This Row],[A_Temperature]]*41</f>
        <v>8.1959</v>
      </c>
      <c r="R33" s="11">
        <f>VLOOKUP(A33,[1]Sheet1!$A:$G,3,FALSE)</f>
        <v>0.94</v>
      </c>
      <c r="S33" s="11">
        <f>VLOOKUP(A33,[1]Sheet1!$A:$G,4,FALSE)</f>
        <v>0.19400000000000001</v>
      </c>
      <c r="T33" s="11">
        <f>VLOOKUP(A33,[1]Sheet1!$A:$G,5,FALSE)</f>
        <v>2</v>
      </c>
      <c r="U33" s="11">
        <f>VLOOKUP(A33,[1]Sheet1!$A:$G,6,FALSE)</f>
        <v>1</v>
      </c>
      <c r="V33" s="18">
        <f>VLOOKUP(A33,[1]Sheet1!$A:$G,7,FALSE)</f>
        <v>3</v>
      </c>
    </row>
    <row r="34" spans="1:22" s="13" customFormat="1" ht="30" customHeight="1">
      <c r="A34" s="17">
        <v>30</v>
      </c>
      <c r="B34" s="8">
        <v>40575</v>
      </c>
      <c r="C34" s="8" t="str">
        <f t="shared" si="0"/>
        <v>Tuesday</v>
      </c>
      <c r="D34" s="9">
        <v>1</v>
      </c>
      <c r="E34" s="9">
        <v>0</v>
      </c>
      <c r="F34" s="9">
        <v>1</v>
      </c>
      <c r="G34" s="7">
        <v>6</v>
      </c>
      <c r="H34" s="9" t="b">
        <v>0</v>
      </c>
      <c r="I34" s="9">
        <v>0</v>
      </c>
      <c r="J34" s="38" t="str">
        <f>CHOOSE(Table1[[#This Row],[Weekday]]+1,"Sunday","Monday","Tuesday","Wednesday","Thursday","Friday","Saturday")</f>
        <v>Sunday</v>
      </c>
      <c r="K34" s="9">
        <v>3</v>
      </c>
      <c r="L34" s="38" t="str">
        <f>IF(Table1[[#This Row],[Weather_code]]=1,"Clear",IF(Table1[[#This Row],[Weather_code]]=2,"Cloudy",IF(Table1[[#This Row],[Weather_code]]=3,"Light Rain",IF(Table1[[#This Row],[Weather_code]]=4,"Heavy Rain"))))</f>
        <v>Light Rain</v>
      </c>
      <c r="M34" s="10">
        <v>0.42</v>
      </c>
      <c r="N34" s="11" t="str">
        <f t="shared" si="1"/>
        <v>Winter</v>
      </c>
      <c r="O34" s="11" t="str">
        <f t="shared" si="2"/>
        <v>Weekday</v>
      </c>
      <c r="P34" s="11">
        <f>VLOOKUP(A34,[1]Sheet1!$A:$H,2, FALSE)</f>
        <v>0.42420000000000002</v>
      </c>
      <c r="Q34" s="40">
        <f>Table1[[#This Row],[A_Temperature]]*41</f>
        <v>17.392200000000003</v>
      </c>
      <c r="R34" s="11">
        <f>VLOOKUP(A34,[1]Sheet1!$A:$G,3,FALSE)</f>
        <v>0.77</v>
      </c>
      <c r="S34" s="11">
        <f>VLOOKUP(A34,[1]Sheet1!$A:$G,4,FALSE)</f>
        <v>0.29849999999999999</v>
      </c>
      <c r="T34" s="11">
        <f>VLOOKUP(A34,[1]Sheet1!$A:$G,5,FALSE)</f>
        <v>0</v>
      </c>
      <c r="U34" s="11">
        <f>VLOOKUP(A34,[1]Sheet1!$A:$G,6,FALSE)</f>
        <v>2</v>
      </c>
      <c r="V34" s="18">
        <f>VLOOKUP(A34,[1]Sheet1!$A:$G,7,FALSE)</f>
        <v>2</v>
      </c>
    </row>
    <row r="35" spans="1:22" s="13" customFormat="1" ht="30" customHeight="1">
      <c r="A35" s="17">
        <v>31</v>
      </c>
      <c r="B35" s="8">
        <v>40575</v>
      </c>
      <c r="C35" s="8" t="str">
        <f t="shared" si="0"/>
        <v>Tuesday</v>
      </c>
      <c r="D35" s="9">
        <v>1</v>
      </c>
      <c r="E35" s="9">
        <v>0</v>
      </c>
      <c r="F35" s="9">
        <v>1</v>
      </c>
      <c r="G35" s="7">
        <v>7</v>
      </c>
      <c r="H35" s="9" t="b">
        <v>0</v>
      </c>
      <c r="I35" s="9">
        <v>0</v>
      </c>
      <c r="J35" s="38" t="str">
        <f>CHOOSE(Table1[[#This Row],[Weekday]]+1,"Sunday","Monday","Tuesday","Wednesday","Thursday","Friday","Saturday")</f>
        <v>Sunday</v>
      </c>
      <c r="K35" s="9">
        <v>2</v>
      </c>
      <c r="L35" s="38" t="str">
        <f>IF(Table1[[#This Row],[Weather_code]]=1,"Clear",IF(Table1[[#This Row],[Weather_code]]=2,"Cloudy",IF(Table1[[#This Row],[Weather_code]]=3,"Light Rain",IF(Table1[[#This Row],[Weather_code]]=4,"Heavy Rain"))))</f>
        <v>Cloudy</v>
      </c>
      <c r="M35" s="10">
        <v>0.4</v>
      </c>
      <c r="N35" s="11" t="str">
        <f t="shared" si="1"/>
        <v>Winter</v>
      </c>
      <c r="O35" s="11" t="str">
        <f t="shared" si="2"/>
        <v>Weekday</v>
      </c>
      <c r="P35" s="11">
        <f>VLOOKUP(A35,[1]Sheet1!$A:$H,2, FALSE)</f>
        <v>0.40910000000000002</v>
      </c>
      <c r="Q35" s="40">
        <f>Table1[[#This Row],[A_Temperature]]*41</f>
        <v>16.773099999999999</v>
      </c>
      <c r="R35" s="11">
        <f>VLOOKUP(A35,[1]Sheet1!$A:$G,3,FALSE)</f>
        <v>0.76</v>
      </c>
      <c r="S35" s="11">
        <f>VLOOKUP(A35,[1]Sheet1!$A:$G,4,FALSE)</f>
        <v>0.19400000000000001</v>
      </c>
      <c r="T35" s="11">
        <f>VLOOKUP(A35,[1]Sheet1!$A:$G,5,FALSE)</f>
        <v>0</v>
      </c>
      <c r="U35" s="11">
        <f>VLOOKUP(A35,[1]Sheet1!$A:$G,6,FALSE)</f>
        <v>1</v>
      </c>
      <c r="V35" s="18">
        <f>VLOOKUP(A35,[1]Sheet1!$A:$G,7,FALSE)</f>
        <v>1</v>
      </c>
    </row>
    <row r="36" spans="1:22" s="13" customFormat="1" ht="30" customHeight="1">
      <c r="A36" s="17">
        <v>32</v>
      </c>
      <c r="B36" s="8">
        <v>40575</v>
      </c>
      <c r="C36" s="8" t="str">
        <f t="shared" si="0"/>
        <v>Tuesday</v>
      </c>
      <c r="D36" s="9">
        <v>1</v>
      </c>
      <c r="E36" s="9">
        <v>0</v>
      </c>
      <c r="F36" s="9">
        <v>1</v>
      </c>
      <c r="G36" s="7">
        <v>8</v>
      </c>
      <c r="H36" s="9" t="b">
        <v>0</v>
      </c>
      <c r="I36" s="9">
        <v>0</v>
      </c>
      <c r="J36" s="38" t="str">
        <f>CHOOSE(Table1[[#This Row],[Weekday]]+1,"Sunday","Monday","Tuesday","Wednesday","Thursday","Friday","Saturday")</f>
        <v>Sunday</v>
      </c>
      <c r="K36" s="9">
        <v>3</v>
      </c>
      <c r="L36" s="38" t="str">
        <f>IF(Table1[[#This Row],[Weather_code]]=1,"Clear",IF(Table1[[#This Row],[Weather_code]]=2,"Cloudy",IF(Table1[[#This Row],[Weather_code]]=3,"Light Rain",IF(Table1[[#This Row],[Weather_code]]=4,"Heavy Rain"))))</f>
        <v>Light Rain</v>
      </c>
      <c r="M36" s="10">
        <v>0.4</v>
      </c>
      <c r="N36" s="11" t="str">
        <f t="shared" si="1"/>
        <v>Winter</v>
      </c>
      <c r="O36" s="11" t="str">
        <f t="shared" si="2"/>
        <v>Weekday</v>
      </c>
      <c r="P36" s="11">
        <f>VLOOKUP(A36,[1]Sheet1!$A:$H,2, FALSE)</f>
        <v>0.40910000000000002</v>
      </c>
      <c r="Q36" s="40">
        <f>Table1[[#This Row],[A_Temperature]]*41</f>
        <v>16.773099999999999</v>
      </c>
      <c r="R36" s="11">
        <f>VLOOKUP(A36,[1]Sheet1!$A:$G,3,FALSE)</f>
        <v>0.71</v>
      </c>
      <c r="S36" s="11">
        <f>VLOOKUP(A36,[1]Sheet1!$A:$G,4,FALSE)</f>
        <v>0.22389999999999999</v>
      </c>
      <c r="T36" s="11">
        <f>VLOOKUP(A36,[1]Sheet1!$A:$G,5,FALSE)</f>
        <v>0</v>
      </c>
      <c r="U36" s="11">
        <f>VLOOKUP(A36,[1]Sheet1!$A:$G,6,FALSE)</f>
        <v>8</v>
      </c>
      <c r="V36" s="18">
        <f>VLOOKUP(A36,[1]Sheet1!$A:$G,7,FALSE)</f>
        <v>8</v>
      </c>
    </row>
    <row r="37" spans="1:22" s="13" customFormat="1" ht="30" customHeight="1">
      <c r="A37" s="17">
        <v>33</v>
      </c>
      <c r="B37" s="8">
        <v>40575</v>
      </c>
      <c r="C37" s="8" t="str">
        <f t="shared" si="0"/>
        <v>Tuesday</v>
      </c>
      <c r="D37" s="9">
        <v>1</v>
      </c>
      <c r="E37" s="9">
        <v>0</v>
      </c>
      <c r="F37" s="9">
        <v>1</v>
      </c>
      <c r="G37" s="7">
        <v>9</v>
      </c>
      <c r="H37" s="9" t="b">
        <v>0</v>
      </c>
      <c r="I37" s="9">
        <v>0</v>
      </c>
      <c r="J37" s="38" t="str">
        <f>CHOOSE(Table1[[#This Row],[Weekday]]+1,"Sunday","Monday","Tuesday","Wednesday","Thursday","Friday","Saturday")</f>
        <v>Sunday</v>
      </c>
      <c r="K37" s="9">
        <v>2</v>
      </c>
      <c r="L37" s="38" t="str">
        <f>IF(Table1[[#This Row],[Weather_code]]=1,"Clear",IF(Table1[[#This Row],[Weather_code]]=2,"Cloudy",IF(Table1[[#This Row],[Weather_code]]=3,"Light Rain",IF(Table1[[#This Row],[Weather_code]]=4,"Heavy Rain"))))</f>
        <v>Cloudy</v>
      </c>
      <c r="M37" s="10">
        <v>0.38</v>
      </c>
      <c r="N37" s="11" t="str">
        <f t="shared" si="1"/>
        <v>Winter</v>
      </c>
      <c r="O37" s="11" t="str">
        <f t="shared" si="2"/>
        <v>Weekday</v>
      </c>
      <c r="P37" s="11">
        <f>VLOOKUP(A37,[1]Sheet1!$A:$H,2, FALSE)</f>
        <v>0.19989999999999999</v>
      </c>
      <c r="Q37" s="40">
        <f>Table1[[#This Row],[A_Temperature]]*41</f>
        <v>8.1959</v>
      </c>
      <c r="R37" s="11">
        <f>VLOOKUP(A37,[1]Sheet1!$A:$G,3,FALSE)</f>
        <v>0.76</v>
      </c>
      <c r="S37" s="11">
        <f>VLOOKUP(A37,[1]Sheet1!$A:$G,4,FALSE)</f>
        <v>0.22389999999999999</v>
      </c>
      <c r="T37" s="11">
        <f>VLOOKUP(A37,[1]Sheet1!$A:$G,5,FALSE)</f>
        <v>1</v>
      </c>
      <c r="U37" s="11">
        <f>VLOOKUP(A37,[1]Sheet1!$A:$G,6,FALSE)</f>
        <v>19</v>
      </c>
      <c r="V37" s="18">
        <f>VLOOKUP(A37,[1]Sheet1!$A:$G,7,FALSE)</f>
        <v>20</v>
      </c>
    </row>
    <row r="38" spans="1:22" s="13" customFormat="1" ht="30" customHeight="1">
      <c r="A38" s="17">
        <v>34</v>
      </c>
      <c r="B38" s="8">
        <v>40575</v>
      </c>
      <c r="C38" s="8" t="str">
        <f t="shared" si="0"/>
        <v>Tuesday</v>
      </c>
      <c r="D38" s="9">
        <v>1</v>
      </c>
      <c r="E38" s="9">
        <v>0</v>
      </c>
      <c r="F38" s="9">
        <v>1</v>
      </c>
      <c r="G38" s="7">
        <v>10</v>
      </c>
      <c r="H38" s="9" t="b">
        <v>0</v>
      </c>
      <c r="I38" s="9">
        <v>0</v>
      </c>
      <c r="J38" s="38" t="str">
        <f>CHOOSE(Table1[[#This Row],[Weekday]]+1,"Sunday","Monday","Tuesday","Wednesday","Thursday","Friday","Saturday")</f>
        <v>Sunday</v>
      </c>
      <c r="K38" s="9">
        <v>2</v>
      </c>
      <c r="L38" s="38" t="str">
        <f>IF(Table1[[#This Row],[Weather_code]]=1,"Clear",IF(Table1[[#This Row],[Weather_code]]=2,"Cloudy",IF(Table1[[#This Row],[Weather_code]]=3,"Light Rain",IF(Table1[[#This Row],[Weather_code]]=4,"Heavy Rain"))))</f>
        <v>Cloudy</v>
      </c>
      <c r="M38" s="10">
        <v>0.36</v>
      </c>
      <c r="N38" s="11" t="str">
        <f t="shared" si="1"/>
        <v>Winter</v>
      </c>
      <c r="O38" s="11" t="str">
        <f t="shared" si="2"/>
        <v>Weekday</v>
      </c>
      <c r="P38" s="11">
        <f>VLOOKUP(A38,[1]Sheet1!$A:$H,2, FALSE)</f>
        <v>0.34849999999999998</v>
      </c>
      <c r="Q38" s="40">
        <f>Table1[[#This Row],[A_Temperature]]*41</f>
        <v>14.288499999999999</v>
      </c>
      <c r="R38" s="11">
        <f>VLOOKUP(A38,[1]Sheet1!$A:$G,3,FALSE)</f>
        <v>0.81</v>
      </c>
      <c r="S38" s="11">
        <f>VLOOKUP(A38,[1]Sheet1!$A:$G,4,FALSE)</f>
        <v>0.22389999999999999</v>
      </c>
      <c r="T38" s="11">
        <f>VLOOKUP(A38,[1]Sheet1!$A:$G,5,FALSE)</f>
        <v>7</v>
      </c>
      <c r="U38" s="11">
        <f>VLOOKUP(A38,[1]Sheet1!$A:$G,6,FALSE)</f>
        <v>46</v>
      </c>
      <c r="V38" s="18">
        <f>VLOOKUP(A38,[1]Sheet1!$A:$G,7,FALSE)</f>
        <v>53</v>
      </c>
    </row>
    <row r="39" spans="1:22" s="13" customFormat="1" ht="30" customHeight="1">
      <c r="A39" s="17">
        <v>35</v>
      </c>
      <c r="B39" s="8">
        <v>40575</v>
      </c>
      <c r="C39" s="8" t="str">
        <f t="shared" si="0"/>
        <v>Tuesday</v>
      </c>
      <c r="D39" s="9">
        <v>1</v>
      </c>
      <c r="E39" s="9">
        <v>0</v>
      </c>
      <c r="F39" s="9">
        <v>1</v>
      </c>
      <c r="G39" s="7">
        <v>11</v>
      </c>
      <c r="H39" s="9" t="b">
        <v>0</v>
      </c>
      <c r="I39" s="9">
        <v>0</v>
      </c>
      <c r="J39" s="38" t="str">
        <f>CHOOSE(Table1[[#This Row],[Weekday]]+1,"Sunday","Monday","Tuesday","Wednesday","Thursday","Friday","Saturday")</f>
        <v>Sunday</v>
      </c>
      <c r="K39" s="9">
        <v>2</v>
      </c>
      <c r="L39" s="38" t="str">
        <f>IF(Table1[[#This Row],[Weather_code]]=1,"Clear",IF(Table1[[#This Row],[Weather_code]]=2,"Cloudy",IF(Table1[[#This Row],[Weather_code]]=3,"Light Rain",IF(Table1[[#This Row],[Weather_code]]=4,"Heavy Rain"))))</f>
        <v>Cloudy</v>
      </c>
      <c r="M39" s="10">
        <v>0.36</v>
      </c>
      <c r="N39" s="11" t="str">
        <f t="shared" si="1"/>
        <v>Winter</v>
      </c>
      <c r="O39" s="11" t="str">
        <f t="shared" si="2"/>
        <v>Weekday</v>
      </c>
      <c r="P39" s="11">
        <f>VLOOKUP(A39,[1]Sheet1!$A:$H,2, FALSE)</f>
        <v>0.33329999999999999</v>
      </c>
      <c r="Q39" s="40">
        <f>Table1[[#This Row],[A_Temperature]]*41</f>
        <v>13.6653</v>
      </c>
      <c r="R39" s="11">
        <f>VLOOKUP(A39,[1]Sheet1!$A:$G,3,FALSE)</f>
        <v>0.71</v>
      </c>
      <c r="S39" s="11">
        <f>VLOOKUP(A39,[1]Sheet1!$A:$G,4,FALSE)</f>
        <v>0.25369999999999998</v>
      </c>
      <c r="T39" s="11">
        <f>VLOOKUP(A39,[1]Sheet1!$A:$G,5,FALSE)</f>
        <v>16</v>
      </c>
      <c r="U39" s="11">
        <f>VLOOKUP(A39,[1]Sheet1!$A:$G,6,FALSE)</f>
        <v>54</v>
      </c>
      <c r="V39" s="18">
        <f>VLOOKUP(A39,[1]Sheet1!$A:$G,7,FALSE)</f>
        <v>70</v>
      </c>
    </row>
    <row r="40" spans="1:22" s="13" customFormat="1" ht="30" customHeight="1">
      <c r="A40" s="17">
        <v>36</v>
      </c>
      <c r="B40" s="8">
        <v>40575</v>
      </c>
      <c r="C40" s="8" t="str">
        <f t="shared" si="0"/>
        <v>Tuesday</v>
      </c>
      <c r="D40" s="9">
        <v>1</v>
      </c>
      <c r="E40" s="9">
        <v>0</v>
      </c>
      <c r="F40" s="9">
        <v>1</v>
      </c>
      <c r="G40" s="7">
        <v>12</v>
      </c>
      <c r="H40" s="9" t="b">
        <v>0</v>
      </c>
      <c r="I40" s="9">
        <v>0</v>
      </c>
      <c r="J40" s="38" t="str">
        <f>CHOOSE(Table1[[#This Row],[Weekday]]+1,"Sunday","Monday","Tuesday","Wednesday","Thursday","Friday","Saturday")</f>
        <v>Sunday</v>
      </c>
      <c r="K40" s="9">
        <v>2</v>
      </c>
      <c r="L40" s="38" t="str">
        <f>IF(Table1[[#This Row],[Weather_code]]=1,"Clear",IF(Table1[[#This Row],[Weather_code]]=2,"Cloudy",IF(Table1[[#This Row],[Weather_code]]=3,"Light Rain",IF(Table1[[#This Row],[Weather_code]]=4,"Heavy Rain"))))</f>
        <v>Cloudy</v>
      </c>
      <c r="M40" s="10">
        <v>0.36</v>
      </c>
      <c r="N40" s="11" t="str">
        <f t="shared" si="1"/>
        <v>Winter</v>
      </c>
      <c r="O40" s="11" t="str">
        <f t="shared" si="2"/>
        <v>Weekday</v>
      </c>
      <c r="P40" s="11">
        <f>VLOOKUP(A40,[1]Sheet1!$A:$H,2, FALSE)</f>
        <v>0.33329999999999999</v>
      </c>
      <c r="Q40" s="40">
        <f>Table1[[#This Row],[A_Temperature]]*41</f>
        <v>13.6653</v>
      </c>
      <c r="R40" s="11">
        <f>VLOOKUP(A40,[1]Sheet1!$A:$G,3,FALSE)</f>
        <v>0.66</v>
      </c>
      <c r="S40" s="11">
        <f>VLOOKUP(A40,[1]Sheet1!$A:$G,4,FALSE)</f>
        <v>0.29849999999999999</v>
      </c>
      <c r="T40" s="11">
        <f>VLOOKUP(A40,[1]Sheet1!$A:$G,5,FALSE)</f>
        <v>20</v>
      </c>
      <c r="U40" s="11">
        <f>VLOOKUP(A40,[1]Sheet1!$A:$G,6,FALSE)</f>
        <v>73</v>
      </c>
      <c r="V40" s="18">
        <f>VLOOKUP(A40,[1]Sheet1!$A:$G,7,FALSE)</f>
        <v>93</v>
      </c>
    </row>
    <row r="41" spans="1:22" s="13" customFormat="1" ht="30" customHeight="1">
      <c r="A41" s="17">
        <v>37</v>
      </c>
      <c r="B41" s="8">
        <v>40575</v>
      </c>
      <c r="C41" s="8" t="str">
        <f t="shared" si="0"/>
        <v>Tuesday</v>
      </c>
      <c r="D41" s="9">
        <v>1</v>
      </c>
      <c r="E41" s="9">
        <v>0</v>
      </c>
      <c r="F41" s="9">
        <v>1</v>
      </c>
      <c r="G41" s="7">
        <v>13</v>
      </c>
      <c r="H41" s="9" t="b">
        <v>0</v>
      </c>
      <c r="I41" s="9">
        <v>0</v>
      </c>
      <c r="J41" s="38" t="str">
        <f>CHOOSE(Table1[[#This Row],[Weekday]]+1,"Sunday","Monday","Tuesday","Wednesday","Thursday","Friday","Saturday")</f>
        <v>Sunday</v>
      </c>
      <c r="K41" s="9">
        <v>2</v>
      </c>
      <c r="L41" s="38" t="str">
        <f>IF(Table1[[#This Row],[Weather_code]]=1,"Clear",IF(Table1[[#This Row],[Weather_code]]=2,"Cloudy",IF(Table1[[#This Row],[Weather_code]]=3,"Light Rain",IF(Table1[[#This Row],[Weather_code]]=4,"Heavy Rain"))))</f>
        <v>Cloudy</v>
      </c>
      <c r="M41" s="10">
        <v>0.36</v>
      </c>
      <c r="N41" s="11" t="str">
        <f t="shared" si="1"/>
        <v>Winter</v>
      </c>
      <c r="O41" s="11" t="str">
        <f t="shared" si="2"/>
        <v>Weekday</v>
      </c>
      <c r="P41" s="11">
        <f>VLOOKUP(A41,[1]Sheet1!$A:$H,2, FALSE)</f>
        <v>0.34849999999999998</v>
      </c>
      <c r="Q41" s="40">
        <f>Table1[[#This Row],[A_Temperature]]*41</f>
        <v>14.288499999999999</v>
      </c>
      <c r="R41" s="11">
        <f>VLOOKUP(A41,[1]Sheet1!$A:$G,3,FALSE)</f>
        <v>0.66</v>
      </c>
      <c r="S41" s="11">
        <f>VLOOKUP(A41,[1]Sheet1!$A:$G,4,FALSE)</f>
        <v>0.1343</v>
      </c>
      <c r="T41" s="11">
        <f>VLOOKUP(A41,[1]Sheet1!$A:$G,5,FALSE)</f>
        <v>11</v>
      </c>
      <c r="U41" s="11">
        <f>VLOOKUP(A41,[1]Sheet1!$A:$G,6,FALSE)</f>
        <v>64</v>
      </c>
      <c r="V41" s="18">
        <f>VLOOKUP(A41,[1]Sheet1!$A:$G,7,FALSE)</f>
        <v>75</v>
      </c>
    </row>
    <row r="42" spans="1:22" s="13" customFormat="1" ht="30" customHeight="1">
      <c r="A42" s="17">
        <v>38</v>
      </c>
      <c r="B42" s="8">
        <v>40575</v>
      </c>
      <c r="C42" s="8" t="str">
        <f t="shared" si="0"/>
        <v>Tuesday</v>
      </c>
      <c r="D42" s="9">
        <v>1</v>
      </c>
      <c r="E42" s="9">
        <v>0</v>
      </c>
      <c r="F42" s="9">
        <v>1</v>
      </c>
      <c r="G42" s="7">
        <v>14</v>
      </c>
      <c r="H42" s="9" t="b">
        <v>0</v>
      </c>
      <c r="I42" s="9">
        <v>0</v>
      </c>
      <c r="J42" s="38" t="str">
        <f>CHOOSE(Table1[[#This Row],[Weekday]]+1,"Sunday","Monday","Tuesday","Wednesday","Thursday","Friday","Saturday")</f>
        <v>Sunday</v>
      </c>
      <c r="K42" s="9">
        <v>3</v>
      </c>
      <c r="L42" s="38" t="str">
        <f>IF(Table1[[#This Row],[Weather_code]]=1,"Clear",IF(Table1[[#This Row],[Weather_code]]=2,"Cloudy",IF(Table1[[#This Row],[Weather_code]]=3,"Light Rain",IF(Table1[[#This Row],[Weather_code]]=4,"Heavy Rain"))))</f>
        <v>Light Rain</v>
      </c>
      <c r="M42" s="10">
        <v>0.36</v>
      </c>
      <c r="N42" s="11" t="str">
        <f t="shared" si="1"/>
        <v>Winter</v>
      </c>
      <c r="O42" s="11" t="str">
        <f t="shared" si="2"/>
        <v>Weekday</v>
      </c>
      <c r="P42" s="11">
        <f>VLOOKUP(A42,[1]Sheet1!$A:$H,2, FALSE)</f>
        <v>0.19989999999999999</v>
      </c>
      <c r="Q42" s="40">
        <f>Table1[[#This Row],[A_Temperature]]*41</f>
        <v>8.1959</v>
      </c>
      <c r="R42" s="11">
        <f>VLOOKUP(A42,[1]Sheet1!$A:$G,3,FALSE)</f>
        <v>0.76</v>
      </c>
      <c r="S42" s="11">
        <f>VLOOKUP(A42,[1]Sheet1!$A:$G,4,FALSE)</f>
        <v>0.19400000000000001</v>
      </c>
      <c r="T42" s="11">
        <f>VLOOKUP(A42,[1]Sheet1!$A:$G,5,FALSE)</f>
        <v>4</v>
      </c>
      <c r="U42" s="11">
        <f>VLOOKUP(A42,[1]Sheet1!$A:$G,6,FALSE)</f>
        <v>55</v>
      </c>
      <c r="V42" s="18">
        <f>VLOOKUP(A42,[1]Sheet1!$A:$G,7,FALSE)</f>
        <v>59</v>
      </c>
    </row>
    <row r="43" spans="1:22" s="13" customFormat="1" ht="30" customHeight="1">
      <c r="A43" s="17">
        <v>39</v>
      </c>
      <c r="B43" s="8">
        <v>40575</v>
      </c>
      <c r="C43" s="8" t="str">
        <f t="shared" si="0"/>
        <v>Tuesday</v>
      </c>
      <c r="D43" s="9">
        <v>1</v>
      </c>
      <c r="E43" s="9">
        <v>0</v>
      </c>
      <c r="F43" s="9">
        <v>1</v>
      </c>
      <c r="G43" s="7">
        <v>15</v>
      </c>
      <c r="H43" s="9" t="b">
        <v>0</v>
      </c>
      <c r="I43" s="9">
        <v>0</v>
      </c>
      <c r="J43" s="38" t="str">
        <f>CHOOSE(Table1[[#This Row],[Weekday]]+1,"Sunday","Monday","Tuesday","Wednesday","Thursday","Friday","Saturday")</f>
        <v>Sunday</v>
      </c>
      <c r="K43" s="9">
        <v>3</v>
      </c>
      <c r="L43" s="38" t="str">
        <f>IF(Table1[[#This Row],[Weather_code]]=1,"Clear",IF(Table1[[#This Row],[Weather_code]]=2,"Cloudy",IF(Table1[[#This Row],[Weather_code]]=3,"Light Rain",IF(Table1[[#This Row],[Weather_code]]=4,"Heavy Rain"))))</f>
        <v>Light Rain</v>
      </c>
      <c r="M43" s="10">
        <v>0.34</v>
      </c>
      <c r="N43" s="11" t="str">
        <f t="shared" si="1"/>
        <v>Winter</v>
      </c>
      <c r="O43" s="11" t="str">
        <f t="shared" si="2"/>
        <v>Weekday</v>
      </c>
      <c r="P43" s="11">
        <f>VLOOKUP(A43,[1]Sheet1!$A:$H,2, FALSE)</f>
        <v>0.33329999999999999</v>
      </c>
      <c r="Q43" s="40">
        <f>Table1[[#This Row],[A_Temperature]]*41</f>
        <v>13.6653</v>
      </c>
      <c r="R43" s="11">
        <f>VLOOKUP(A43,[1]Sheet1!$A:$G,3,FALSE)</f>
        <v>0.81</v>
      </c>
      <c r="S43" s="11">
        <f>VLOOKUP(A43,[1]Sheet1!$A:$G,4,FALSE)</f>
        <v>0.16420000000000001</v>
      </c>
      <c r="T43" s="11">
        <f>VLOOKUP(A43,[1]Sheet1!$A:$G,5,FALSE)</f>
        <v>19</v>
      </c>
      <c r="U43" s="11">
        <f>VLOOKUP(A43,[1]Sheet1!$A:$G,6,FALSE)</f>
        <v>55</v>
      </c>
      <c r="V43" s="18">
        <f>VLOOKUP(A43,[1]Sheet1!$A:$G,7,FALSE)</f>
        <v>74</v>
      </c>
    </row>
    <row r="44" spans="1:22" s="13" customFormat="1" ht="30" customHeight="1">
      <c r="A44" s="17">
        <v>40</v>
      </c>
      <c r="B44" s="8">
        <v>40575</v>
      </c>
      <c r="C44" s="8" t="str">
        <f t="shared" si="0"/>
        <v>Tuesday</v>
      </c>
      <c r="D44" s="9">
        <v>1</v>
      </c>
      <c r="E44" s="9">
        <v>0</v>
      </c>
      <c r="F44" s="9">
        <v>1</v>
      </c>
      <c r="G44" s="7">
        <v>16</v>
      </c>
      <c r="H44" s="9" t="b">
        <v>0</v>
      </c>
      <c r="I44" s="9">
        <v>0</v>
      </c>
      <c r="J44" s="38" t="str">
        <f>CHOOSE(Table1[[#This Row],[Weekday]]+1,"Sunday","Monday","Tuesday","Wednesday","Thursday","Friday","Saturday")</f>
        <v>Sunday</v>
      </c>
      <c r="K44" s="9">
        <v>3</v>
      </c>
      <c r="L44" s="38" t="str">
        <f>IF(Table1[[#This Row],[Weather_code]]=1,"Clear",IF(Table1[[#This Row],[Weather_code]]=2,"Cloudy",IF(Table1[[#This Row],[Weather_code]]=3,"Light Rain",IF(Table1[[#This Row],[Weather_code]]=4,"Heavy Rain"))))</f>
        <v>Light Rain</v>
      </c>
      <c r="M44" s="10">
        <v>0.34</v>
      </c>
      <c r="N44" s="11" t="str">
        <f t="shared" si="1"/>
        <v>Winter</v>
      </c>
      <c r="O44" s="11" t="str">
        <f t="shared" si="2"/>
        <v>Weekday</v>
      </c>
      <c r="P44" s="11">
        <f>VLOOKUP(A44,[1]Sheet1!$A:$H,2, FALSE)</f>
        <v>0.33329999999999999</v>
      </c>
      <c r="Q44" s="40">
        <f>Table1[[#This Row],[A_Temperature]]*41</f>
        <v>13.6653</v>
      </c>
      <c r="R44" s="11">
        <f>VLOOKUP(A44,[1]Sheet1!$A:$G,3,FALSE)</f>
        <v>0.71</v>
      </c>
      <c r="S44" s="11">
        <f>VLOOKUP(A44,[1]Sheet1!$A:$G,4,FALSE)</f>
        <v>0.16420000000000001</v>
      </c>
      <c r="T44" s="11">
        <f>VLOOKUP(A44,[1]Sheet1!$A:$G,5,FALSE)</f>
        <v>9</v>
      </c>
      <c r="U44" s="11">
        <f>VLOOKUP(A44,[1]Sheet1!$A:$G,6,FALSE)</f>
        <v>67</v>
      </c>
      <c r="V44" s="18">
        <f>VLOOKUP(A44,[1]Sheet1!$A:$G,7,FALSE)</f>
        <v>76</v>
      </c>
    </row>
    <row r="45" spans="1:22" s="13" customFormat="1" ht="30" customHeight="1">
      <c r="A45" s="17">
        <v>41</v>
      </c>
      <c r="B45" s="8">
        <v>40575</v>
      </c>
      <c r="C45" s="8" t="str">
        <f t="shared" si="0"/>
        <v>Tuesday</v>
      </c>
      <c r="D45" s="9">
        <v>1</v>
      </c>
      <c r="E45" s="9">
        <v>0</v>
      </c>
      <c r="F45" s="9">
        <v>1</v>
      </c>
      <c r="G45" s="7">
        <v>17</v>
      </c>
      <c r="H45" s="9" t="b">
        <v>0</v>
      </c>
      <c r="I45" s="9">
        <v>0</v>
      </c>
      <c r="J45" s="38" t="str">
        <f>CHOOSE(Table1[[#This Row],[Weekday]]+1,"Sunday","Monday","Tuesday","Wednesday","Thursday","Friday","Saturday")</f>
        <v>Sunday</v>
      </c>
      <c r="K45" s="9">
        <v>1</v>
      </c>
      <c r="L45" s="38" t="str">
        <f>IF(Table1[[#This Row],[Weather_code]]=1,"Clear",IF(Table1[[#This Row],[Weather_code]]=2,"Cloudy",IF(Table1[[#This Row],[Weather_code]]=3,"Light Rain",IF(Table1[[#This Row],[Weather_code]]=4,"Heavy Rain"))))</f>
        <v>Clear</v>
      </c>
      <c r="M45" s="10">
        <v>0.34</v>
      </c>
      <c r="N45" s="11" t="str">
        <f t="shared" si="1"/>
        <v>Winter</v>
      </c>
      <c r="O45" s="11" t="str">
        <f t="shared" si="2"/>
        <v>Weekday</v>
      </c>
      <c r="P45" s="11">
        <f>VLOOKUP(A45,[1]Sheet1!$A:$H,2, FALSE)</f>
        <v>0.33329999999999999</v>
      </c>
      <c r="Q45" s="40">
        <f>Table1[[#This Row],[A_Temperature]]*41</f>
        <v>13.6653</v>
      </c>
      <c r="R45" s="11">
        <f>VLOOKUP(A45,[1]Sheet1!$A:$G,3,FALSE)</f>
        <v>0.56999999999999995</v>
      </c>
      <c r="S45" s="11">
        <f>VLOOKUP(A45,[1]Sheet1!$A:$G,4,FALSE)</f>
        <v>0.19400000000000001</v>
      </c>
      <c r="T45" s="11">
        <f>VLOOKUP(A45,[1]Sheet1!$A:$G,5,FALSE)</f>
        <v>7</v>
      </c>
      <c r="U45" s="11">
        <f>VLOOKUP(A45,[1]Sheet1!$A:$G,6,FALSE)</f>
        <v>58</v>
      </c>
      <c r="V45" s="18">
        <f>VLOOKUP(A45,[1]Sheet1!$A:$G,7,FALSE)</f>
        <v>65</v>
      </c>
    </row>
    <row r="46" spans="1:22" s="13" customFormat="1" ht="30" customHeight="1">
      <c r="A46" s="17">
        <v>42</v>
      </c>
      <c r="B46" s="8">
        <v>40575</v>
      </c>
      <c r="C46" s="8" t="str">
        <f t="shared" si="0"/>
        <v>Tuesday</v>
      </c>
      <c r="D46" s="9">
        <v>1</v>
      </c>
      <c r="E46" s="9">
        <v>0</v>
      </c>
      <c r="F46" s="9">
        <v>1</v>
      </c>
      <c r="G46" s="7">
        <v>18</v>
      </c>
      <c r="H46" s="9" t="b">
        <v>0</v>
      </c>
      <c r="I46" s="9">
        <v>0</v>
      </c>
      <c r="J46" s="38" t="str">
        <f>CHOOSE(Table1[[#This Row],[Weekday]]+1,"Sunday","Monday","Tuesday","Wednesday","Thursday","Friday","Saturday")</f>
        <v>Sunday</v>
      </c>
      <c r="K46" s="9">
        <v>2</v>
      </c>
      <c r="L46" s="38" t="str">
        <f>IF(Table1[[#This Row],[Weather_code]]=1,"Clear",IF(Table1[[#This Row],[Weather_code]]=2,"Cloudy",IF(Table1[[#This Row],[Weather_code]]=3,"Light Rain",IF(Table1[[#This Row],[Weather_code]]=4,"Heavy Rain"))))</f>
        <v>Cloudy</v>
      </c>
      <c r="M46" s="10">
        <v>0.36</v>
      </c>
      <c r="N46" s="11" t="str">
        <f t="shared" si="1"/>
        <v>Winter</v>
      </c>
      <c r="O46" s="11" t="str">
        <f t="shared" si="2"/>
        <v>Weekday</v>
      </c>
      <c r="P46" s="11">
        <f>VLOOKUP(A46,[1]Sheet1!$A:$H,2, FALSE)</f>
        <v>0.33329999999999999</v>
      </c>
      <c r="Q46" s="40">
        <f>Table1[[#This Row],[A_Temperature]]*41</f>
        <v>13.6653</v>
      </c>
      <c r="R46" s="11">
        <f>VLOOKUP(A46,[1]Sheet1!$A:$G,3,FALSE)</f>
        <v>0.46</v>
      </c>
      <c r="S46" s="11">
        <f>VLOOKUP(A46,[1]Sheet1!$A:$G,4,FALSE)</f>
        <v>0.32840000000000003</v>
      </c>
      <c r="T46" s="11">
        <f>VLOOKUP(A46,[1]Sheet1!$A:$G,5,FALSE)</f>
        <v>10</v>
      </c>
      <c r="U46" s="11">
        <f>VLOOKUP(A46,[1]Sheet1!$A:$G,6,FALSE)</f>
        <v>43</v>
      </c>
      <c r="V46" s="18">
        <f>VLOOKUP(A46,[1]Sheet1!$A:$G,7,FALSE)</f>
        <v>53</v>
      </c>
    </row>
    <row r="47" spans="1:22" s="13" customFormat="1" ht="30" customHeight="1">
      <c r="A47" s="17">
        <v>43</v>
      </c>
      <c r="B47" s="8">
        <v>40575</v>
      </c>
      <c r="C47" s="8" t="str">
        <f t="shared" si="0"/>
        <v>Tuesday</v>
      </c>
      <c r="D47" s="9">
        <v>1</v>
      </c>
      <c r="E47" s="9">
        <v>0</v>
      </c>
      <c r="F47" s="9">
        <v>1</v>
      </c>
      <c r="G47" s="7">
        <v>19</v>
      </c>
      <c r="H47" s="9" t="b">
        <v>0</v>
      </c>
      <c r="I47" s="9">
        <v>0</v>
      </c>
      <c r="J47" s="38" t="str">
        <f>CHOOSE(Table1[[#This Row],[Weekday]]+1,"Sunday","Monday","Tuesday","Wednesday","Thursday","Friday","Saturday")</f>
        <v>Sunday</v>
      </c>
      <c r="K47" s="9">
        <v>1</v>
      </c>
      <c r="L47" s="38" t="str">
        <f>IF(Table1[[#This Row],[Weather_code]]=1,"Clear",IF(Table1[[#This Row],[Weather_code]]=2,"Cloudy",IF(Table1[[#This Row],[Weather_code]]=3,"Light Rain",IF(Table1[[#This Row],[Weather_code]]=4,"Heavy Rain"))))</f>
        <v>Clear</v>
      </c>
      <c r="M47" s="10">
        <v>0.32</v>
      </c>
      <c r="N47" s="11" t="str">
        <f t="shared" si="1"/>
        <v>Winter</v>
      </c>
      <c r="O47" s="11" t="str">
        <f t="shared" si="2"/>
        <v>Weekday</v>
      </c>
      <c r="P47" s="11">
        <f>VLOOKUP(A47,[1]Sheet1!$A:$H,2, FALSE)</f>
        <v>0.28789999999999999</v>
      </c>
      <c r="Q47" s="40">
        <f>Table1[[#This Row],[A_Temperature]]*41</f>
        <v>11.803899999999999</v>
      </c>
      <c r="R47" s="11">
        <f>VLOOKUP(A47,[1]Sheet1!$A:$G,3,FALSE)</f>
        <v>0.42</v>
      </c>
      <c r="S47" s="11">
        <f>VLOOKUP(A47,[1]Sheet1!$A:$G,4,FALSE)</f>
        <v>0.44779999999999998</v>
      </c>
      <c r="T47" s="11">
        <f>VLOOKUP(A47,[1]Sheet1!$A:$G,5,FALSE)</f>
        <v>1</v>
      </c>
      <c r="U47" s="11">
        <f>VLOOKUP(A47,[1]Sheet1!$A:$G,6,FALSE)</f>
        <v>29</v>
      </c>
      <c r="V47" s="18">
        <f>VLOOKUP(A47,[1]Sheet1!$A:$G,7,FALSE)</f>
        <v>30</v>
      </c>
    </row>
    <row r="48" spans="1:22" s="13" customFormat="1" ht="30" customHeight="1">
      <c r="A48" s="17">
        <v>44</v>
      </c>
      <c r="B48" s="8">
        <v>40575</v>
      </c>
      <c r="C48" s="8" t="str">
        <f t="shared" si="0"/>
        <v>Tuesday</v>
      </c>
      <c r="D48" s="9">
        <v>1</v>
      </c>
      <c r="E48" s="9">
        <v>0</v>
      </c>
      <c r="F48" s="9">
        <v>1</v>
      </c>
      <c r="G48" s="7">
        <v>20</v>
      </c>
      <c r="H48" s="9" t="b">
        <v>0</v>
      </c>
      <c r="I48" s="9">
        <v>0</v>
      </c>
      <c r="J48" s="38" t="str">
        <f>CHOOSE(Table1[[#This Row],[Weekday]]+1,"Sunday","Monday","Tuesday","Wednesday","Thursday","Friday","Saturday")</f>
        <v>Sunday</v>
      </c>
      <c r="K48" s="9">
        <v>1</v>
      </c>
      <c r="L48" s="38" t="str">
        <f>IF(Table1[[#This Row],[Weather_code]]=1,"Clear",IF(Table1[[#This Row],[Weather_code]]=2,"Cloudy",IF(Table1[[#This Row],[Weather_code]]=3,"Light Rain",IF(Table1[[#This Row],[Weather_code]]=4,"Heavy Rain"))))</f>
        <v>Clear</v>
      </c>
      <c r="M48" s="10">
        <v>0.3</v>
      </c>
      <c r="N48" s="11" t="str">
        <f t="shared" si="1"/>
        <v>Winter</v>
      </c>
      <c r="O48" s="11" t="str">
        <f t="shared" si="2"/>
        <v>Weekday</v>
      </c>
      <c r="P48" s="11">
        <f>VLOOKUP(A48,[1]Sheet1!$A:$H,2, FALSE)</f>
        <v>0.19989999999999999</v>
      </c>
      <c r="Q48" s="40">
        <f>Table1[[#This Row],[A_Temperature]]*41</f>
        <v>8.1959</v>
      </c>
      <c r="R48" s="11">
        <f>VLOOKUP(A48,[1]Sheet1!$A:$G,3,FALSE)</f>
        <v>0.39</v>
      </c>
      <c r="S48" s="11">
        <f>VLOOKUP(A48,[1]Sheet1!$A:$G,4,FALSE)</f>
        <v>0.35820000000000002</v>
      </c>
      <c r="T48" s="11">
        <f>VLOOKUP(A48,[1]Sheet1!$A:$G,5,FALSE)</f>
        <v>5</v>
      </c>
      <c r="U48" s="11">
        <f>VLOOKUP(A48,[1]Sheet1!$A:$G,6,FALSE)</f>
        <v>17</v>
      </c>
      <c r="V48" s="18">
        <f>VLOOKUP(A48,[1]Sheet1!$A:$G,7,FALSE)</f>
        <v>22</v>
      </c>
    </row>
    <row r="49" spans="1:22" s="13" customFormat="1" ht="30" customHeight="1">
      <c r="A49" s="17">
        <v>45</v>
      </c>
      <c r="B49" s="8">
        <v>40575</v>
      </c>
      <c r="C49" s="8" t="str">
        <f t="shared" si="0"/>
        <v>Tuesday</v>
      </c>
      <c r="D49" s="9">
        <v>1</v>
      </c>
      <c r="E49" s="9">
        <v>0</v>
      </c>
      <c r="F49" s="9">
        <v>1</v>
      </c>
      <c r="G49" s="7">
        <v>21</v>
      </c>
      <c r="H49" s="9" t="b">
        <v>0</v>
      </c>
      <c r="I49" s="9">
        <v>0</v>
      </c>
      <c r="J49" s="38" t="str">
        <f>CHOOSE(Table1[[#This Row],[Weekday]]+1,"Sunday","Monday","Tuesday","Wednesday","Thursday","Friday","Saturday")</f>
        <v>Sunday</v>
      </c>
      <c r="K49" s="9">
        <v>1</v>
      </c>
      <c r="L49" s="38" t="str">
        <f>IF(Table1[[#This Row],[Weather_code]]=1,"Clear",IF(Table1[[#This Row],[Weather_code]]=2,"Cloudy",IF(Table1[[#This Row],[Weather_code]]=3,"Light Rain",IF(Table1[[#This Row],[Weather_code]]=4,"Heavy Rain"))))</f>
        <v>Clear</v>
      </c>
      <c r="M49" s="10">
        <v>0.26</v>
      </c>
      <c r="N49" s="11" t="str">
        <f t="shared" si="1"/>
        <v>Winter</v>
      </c>
      <c r="O49" s="11" t="str">
        <f t="shared" si="2"/>
        <v>Weekday</v>
      </c>
      <c r="P49" s="11">
        <f>VLOOKUP(A49,[1]Sheet1!$A:$H,2, FALSE)</f>
        <v>0.2273</v>
      </c>
      <c r="Q49" s="40">
        <f>Table1[[#This Row],[A_Temperature]]*41</f>
        <v>9.3193000000000001</v>
      </c>
      <c r="R49" s="11">
        <f>VLOOKUP(A49,[1]Sheet1!$A:$G,3,FALSE)</f>
        <v>0.44</v>
      </c>
      <c r="S49" s="11">
        <f>VLOOKUP(A49,[1]Sheet1!$A:$G,4,FALSE)</f>
        <v>0.32840000000000003</v>
      </c>
      <c r="T49" s="11">
        <f>VLOOKUP(A49,[1]Sheet1!$A:$G,5,FALSE)</f>
        <v>11</v>
      </c>
      <c r="U49" s="11">
        <f>VLOOKUP(A49,[1]Sheet1!$A:$G,6,FALSE)</f>
        <v>20</v>
      </c>
      <c r="V49" s="18">
        <f>VLOOKUP(A49,[1]Sheet1!$A:$G,7,FALSE)</f>
        <v>31</v>
      </c>
    </row>
    <row r="50" spans="1:22" s="13" customFormat="1" ht="30" customHeight="1">
      <c r="A50" s="17">
        <v>46</v>
      </c>
      <c r="B50" s="8">
        <v>40575</v>
      </c>
      <c r="C50" s="8" t="str">
        <f t="shared" si="0"/>
        <v>Tuesday</v>
      </c>
      <c r="D50" s="9">
        <v>1</v>
      </c>
      <c r="E50" s="9">
        <v>0</v>
      </c>
      <c r="F50" s="9">
        <v>1</v>
      </c>
      <c r="G50" s="7">
        <v>22</v>
      </c>
      <c r="H50" s="9" t="b">
        <v>0</v>
      </c>
      <c r="I50" s="9">
        <v>0</v>
      </c>
      <c r="J50" s="38" t="str">
        <f>CHOOSE(Table1[[#This Row],[Weekday]]+1,"Sunday","Monday","Tuesday","Wednesday","Thursday","Friday","Saturday")</f>
        <v>Sunday</v>
      </c>
      <c r="K50" s="9">
        <v>1</v>
      </c>
      <c r="L50" s="38" t="str">
        <f>IF(Table1[[#This Row],[Weather_code]]=1,"Clear",IF(Table1[[#This Row],[Weather_code]]=2,"Cloudy",IF(Table1[[#This Row],[Weather_code]]=3,"Light Rain",IF(Table1[[#This Row],[Weather_code]]=4,"Heavy Rain"))))</f>
        <v>Clear</v>
      </c>
      <c r="M50" s="10">
        <v>0.24</v>
      </c>
      <c r="N50" s="11" t="str">
        <f t="shared" si="1"/>
        <v>Winter</v>
      </c>
      <c r="O50" s="11" t="str">
        <f t="shared" si="2"/>
        <v>Weekday</v>
      </c>
      <c r="P50" s="11">
        <f>VLOOKUP(A50,[1]Sheet1!$A:$H,2, FALSE)</f>
        <v>0.21210000000000001</v>
      </c>
      <c r="Q50" s="40">
        <f>Table1[[#This Row],[A_Temperature]]*41</f>
        <v>8.6961000000000013</v>
      </c>
      <c r="R50" s="11">
        <f>VLOOKUP(A50,[1]Sheet1!$A:$G,3,FALSE)</f>
        <v>0.44</v>
      </c>
      <c r="S50" s="11">
        <f>VLOOKUP(A50,[1]Sheet1!$A:$G,4,FALSE)</f>
        <v>0.29849999999999999</v>
      </c>
      <c r="T50" s="11">
        <f>VLOOKUP(A50,[1]Sheet1!$A:$G,5,FALSE)</f>
        <v>0</v>
      </c>
      <c r="U50" s="11">
        <f>VLOOKUP(A50,[1]Sheet1!$A:$G,6,FALSE)</f>
        <v>9</v>
      </c>
      <c r="V50" s="18">
        <f>VLOOKUP(A50,[1]Sheet1!$A:$G,7,FALSE)</f>
        <v>9</v>
      </c>
    </row>
    <row r="51" spans="1:22" s="13" customFormat="1" ht="30" customHeight="1">
      <c r="A51" s="17">
        <v>47</v>
      </c>
      <c r="B51" s="8">
        <v>40575</v>
      </c>
      <c r="C51" s="8" t="str">
        <f t="shared" si="0"/>
        <v>Tuesday</v>
      </c>
      <c r="D51" s="9">
        <v>1</v>
      </c>
      <c r="E51" s="9">
        <v>0</v>
      </c>
      <c r="F51" s="9">
        <v>1</v>
      </c>
      <c r="G51" s="7">
        <v>23</v>
      </c>
      <c r="H51" s="9" t="b">
        <v>0</v>
      </c>
      <c r="I51" s="9">
        <v>0</v>
      </c>
      <c r="J51" s="38" t="str">
        <f>CHOOSE(Table1[[#This Row],[Weekday]]+1,"Sunday","Monday","Tuesday","Wednesday","Thursday","Friday","Saturday")</f>
        <v>Sunday</v>
      </c>
      <c r="K51" s="9">
        <v>1</v>
      </c>
      <c r="L51" s="38" t="str">
        <f>IF(Table1[[#This Row],[Weather_code]]=1,"Clear",IF(Table1[[#This Row],[Weather_code]]=2,"Cloudy",IF(Table1[[#This Row],[Weather_code]]=3,"Light Rain",IF(Table1[[#This Row],[Weather_code]]=4,"Heavy Rain"))))</f>
        <v>Clear</v>
      </c>
      <c r="M51" s="10">
        <v>0.22</v>
      </c>
      <c r="N51" s="11" t="str">
        <f t="shared" si="1"/>
        <v>Winter</v>
      </c>
      <c r="O51" s="11" t="str">
        <f t="shared" si="2"/>
        <v>Weekday</v>
      </c>
      <c r="P51" s="11">
        <f>VLOOKUP(A51,[1]Sheet1!$A:$H,2, FALSE)</f>
        <v>0.2273</v>
      </c>
      <c r="Q51" s="40">
        <f>Table1[[#This Row],[A_Temperature]]*41</f>
        <v>9.3193000000000001</v>
      </c>
      <c r="R51" s="11">
        <f>VLOOKUP(A51,[1]Sheet1!$A:$G,3,FALSE)</f>
        <v>0.47</v>
      </c>
      <c r="S51" s="11">
        <f>VLOOKUP(A51,[1]Sheet1!$A:$G,4,FALSE)</f>
        <v>0.16420000000000001</v>
      </c>
      <c r="T51" s="11">
        <f>VLOOKUP(A51,[1]Sheet1!$A:$G,5,FALSE)</f>
        <v>0</v>
      </c>
      <c r="U51" s="11">
        <f>VLOOKUP(A51,[1]Sheet1!$A:$G,6,FALSE)</f>
        <v>8</v>
      </c>
      <c r="V51" s="18">
        <f>VLOOKUP(A51,[1]Sheet1!$A:$G,7,FALSE)</f>
        <v>8</v>
      </c>
    </row>
    <row r="52" spans="1:22" s="13" customFormat="1" ht="30" customHeight="1">
      <c r="A52" s="17">
        <v>48</v>
      </c>
      <c r="B52" s="8">
        <v>40603</v>
      </c>
      <c r="C52" s="8" t="str">
        <f t="shared" si="0"/>
        <v>Tuesday</v>
      </c>
      <c r="D52" s="9">
        <v>1</v>
      </c>
      <c r="E52" s="9">
        <v>0</v>
      </c>
      <c r="F52" s="9">
        <v>1</v>
      </c>
      <c r="G52" s="7">
        <v>0</v>
      </c>
      <c r="H52" s="9" t="b">
        <v>0</v>
      </c>
      <c r="I52" s="9">
        <v>1</v>
      </c>
      <c r="J52" s="38" t="str">
        <f>CHOOSE(Table1[[#This Row],[Weekday]]+1,"Sunday","Monday","Tuesday","Wednesday","Thursday","Friday","Saturday")</f>
        <v>Monday</v>
      </c>
      <c r="K52" s="9">
        <v>1</v>
      </c>
      <c r="L52" s="38" t="str">
        <f>IF(Table1[[#This Row],[Weather_code]]=1,"Clear",IF(Table1[[#This Row],[Weather_code]]=2,"Cloudy",IF(Table1[[#This Row],[Weather_code]]=3,"Light Rain",IF(Table1[[#This Row],[Weather_code]]=4,"Heavy Rain"))))</f>
        <v>Clear</v>
      </c>
      <c r="M52" s="10">
        <v>0.22</v>
      </c>
      <c r="N52" s="11" t="str">
        <f t="shared" si="1"/>
        <v>Winter</v>
      </c>
      <c r="O52" s="11" t="str">
        <f t="shared" si="2"/>
        <v>Weekday</v>
      </c>
      <c r="P52" s="11">
        <f>VLOOKUP(A52,[1]Sheet1!$A:$H,2, FALSE)</f>
        <v>0.19700000000000001</v>
      </c>
      <c r="Q52" s="40">
        <f>Table1[[#This Row],[A_Temperature]]*41</f>
        <v>8.077</v>
      </c>
      <c r="R52" s="11">
        <f>VLOOKUP(A52,[1]Sheet1!$A:$G,3,FALSE)</f>
        <v>0.44</v>
      </c>
      <c r="S52" s="11">
        <f>VLOOKUP(A52,[1]Sheet1!$A:$G,4,FALSE)</f>
        <v>0.35820000000000002</v>
      </c>
      <c r="T52" s="11">
        <f>VLOOKUP(A52,[1]Sheet1!$A:$G,5,FALSE)</f>
        <v>0</v>
      </c>
      <c r="U52" s="11">
        <f>VLOOKUP(A52,[1]Sheet1!$A:$G,6,FALSE)</f>
        <v>5</v>
      </c>
      <c r="V52" s="18">
        <f>VLOOKUP(A52,[1]Sheet1!$A:$G,7,FALSE)</f>
        <v>5</v>
      </c>
    </row>
    <row r="53" spans="1:22" s="13" customFormat="1" ht="30" customHeight="1">
      <c r="A53" s="17">
        <v>49</v>
      </c>
      <c r="B53" s="8">
        <v>40603</v>
      </c>
      <c r="C53" s="8" t="str">
        <f t="shared" si="0"/>
        <v>Tuesday</v>
      </c>
      <c r="D53" s="9">
        <v>1</v>
      </c>
      <c r="E53" s="9">
        <v>0</v>
      </c>
      <c r="F53" s="9">
        <v>1</v>
      </c>
      <c r="G53" s="7">
        <v>1</v>
      </c>
      <c r="H53" s="9" t="b">
        <v>0</v>
      </c>
      <c r="I53" s="9">
        <v>1</v>
      </c>
      <c r="J53" s="38" t="str">
        <f>CHOOSE(Table1[[#This Row],[Weekday]]+1,"Sunday","Monday","Tuesday","Wednesday","Thursday","Friday","Saturday")</f>
        <v>Monday</v>
      </c>
      <c r="K53" s="9">
        <v>1</v>
      </c>
      <c r="L53" s="38" t="str">
        <f>IF(Table1[[#This Row],[Weather_code]]=1,"Clear",IF(Table1[[#This Row],[Weather_code]]=2,"Cloudy",IF(Table1[[#This Row],[Weather_code]]=3,"Light Rain",IF(Table1[[#This Row],[Weather_code]]=4,"Heavy Rain"))))</f>
        <v>Clear</v>
      </c>
      <c r="M53" s="10">
        <v>0.2</v>
      </c>
      <c r="N53" s="11" t="str">
        <f t="shared" si="1"/>
        <v>Winter</v>
      </c>
      <c r="O53" s="11" t="str">
        <f t="shared" si="2"/>
        <v>Weekday</v>
      </c>
      <c r="P53" s="11">
        <f>VLOOKUP(A53,[1]Sheet1!$A:$H,2, FALSE)</f>
        <v>0.19989999999999999</v>
      </c>
      <c r="Q53" s="40">
        <f>Table1[[#This Row],[A_Temperature]]*41</f>
        <v>8.1959</v>
      </c>
      <c r="R53" s="11">
        <f>VLOOKUP(A53,[1]Sheet1!$A:$G,3,FALSE)</f>
        <v>0.44</v>
      </c>
      <c r="S53" s="11">
        <f>VLOOKUP(A53,[1]Sheet1!$A:$G,4,FALSE)</f>
        <v>0.41789999999999999</v>
      </c>
      <c r="T53" s="11">
        <f>VLOOKUP(A53,[1]Sheet1!$A:$G,5,FALSE)</f>
        <v>0</v>
      </c>
      <c r="U53" s="11">
        <f>VLOOKUP(A53,[1]Sheet1!$A:$G,6,FALSE)</f>
        <v>2</v>
      </c>
      <c r="V53" s="18">
        <f>VLOOKUP(A53,[1]Sheet1!$A:$G,7,FALSE)</f>
        <v>2</v>
      </c>
    </row>
    <row r="54" spans="1:22" s="13" customFormat="1" ht="30" customHeight="1">
      <c r="A54" s="17">
        <v>50</v>
      </c>
      <c r="B54" s="8">
        <v>40603</v>
      </c>
      <c r="C54" s="8" t="str">
        <f t="shared" si="0"/>
        <v>Tuesday</v>
      </c>
      <c r="D54" s="9">
        <v>1</v>
      </c>
      <c r="E54" s="9">
        <v>0</v>
      </c>
      <c r="F54" s="9">
        <v>1</v>
      </c>
      <c r="G54" s="7">
        <v>4</v>
      </c>
      <c r="H54" s="9" t="b">
        <v>0</v>
      </c>
      <c r="I54" s="9">
        <v>1</v>
      </c>
      <c r="J54" s="38" t="str">
        <f>CHOOSE(Table1[[#This Row],[Weekday]]+1,"Sunday","Monday","Tuesday","Wednesday","Thursday","Friday","Saturday")</f>
        <v>Monday</v>
      </c>
      <c r="K54" s="9">
        <v>1</v>
      </c>
      <c r="L54" s="38" t="str">
        <f>IF(Table1[[#This Row],[Weather_code]]=1,"Clear",IF(Table1[[#This Row],[Weather_code]]=2,"Cloudy",IF(Table1[[#This Row],[Weather_code]]=3,"Light Rain",IF(Table1[[#This Row],[Weather_code]]=4,"Heavy Rain"))))</f>
        <v>Clear</v>
      </c>
      <c r="M54" s="10">
        <v>0.16</v>
      </c>
      <c r="N54" s="11" t="str">
        <f t="shared" si="1"/>
        <v>Winter</v>
      </c>
      <c r="O54" s="11" t="str">
        <f t="shared" si="2"/>
        <v>Weekday</v>
      </c>
      <c r="P54" s="11">
        <f>VLOOKUP(A54,[1]Sheet1!$A:$H,2, FALSE)</f>
        <v>0.13639999999999999</v>
      </c>
      <c r="Q54" s="40">
        <f>Table1[[#This Row],[A_Temperature]]*41</f>
        <v>5.5923999999999996</v>
      </c>
      <c r="R54" s="11">
        <f>VLOOKUP(A54,[1]Sheet1!$A:$G,3,FALSE)</f>
        <v>0.47</v>
      </c>
      <c r="S54" s="11">
        <f>VLOOKUP(A54,[1]Sheet1!$A:$G,4,FALSE)</f>
        <v>0.3881</v>
      </c>
      <c r="T54" s="11">
        <f>VLOOKUP(A54,[1]Sheet1!$A:$G,5,FALSE)</f>
        <v>0</v>
      </c>
      <c r="U54" s="11">
        <f>VLOOKUP(A54,[1]Sheet1!$A:$G,6,FALSE)</f>
        <v>1</v>
      </c>
      <c r="V54" s="18">
        <f>VLOOKUP(A54,[1]Sheet1!$A:$G,7,FALSE)</f>
        <v>1</v>
      </c>
    </row>
    <row r="55" spans="1:22" s="13" customFormat="1" ht="30" customHeight="1">
      <c r="A55" s="17">
        <v>51</v>
      </c>
      <c r="B55" s="8">
        <v>40603</v>
      </c>
      <c r="C55" s="8" t="str">
        <f t="shared" si="0"/>
        <v>Tuesday</v>
      </c>
      <c r="D55" s="9">
        <v>1</v>
      </c>
      <c r="E55" s="9">
        <v>0</v>
      </c>
      <c r="F55" s="9">
        <v>1</v>
      </c>
      <c r="G55" s="7">
        <v>5</v>
      </c>
      <c r="H55" s="9" t="b">
        <v>0</v>
      </c>
      <c r="I55" s="9">
        <v>1</v>
      </c>
      <c r="J55" s="38" t="str">
        <f>CHOOSE(Table1[[#This Row],[Weekday]]+1,"Sunday","Monday","Tuesday","Wednesday","Thursday","Friday","Saturday")</f>
        <v>Monday</v>
      </c>
      <c r="K55" s="9">
        <v>1</v>
      </c>
      <c r="L55" s="38" t="str">
        <f>IF(Table1[[#This Row],[Weather_code]]=1,"Clear",IF(Table1[[#This Row],[Weather_code]]=2,"Cloudy",IF(Table1[[#This Row],[Weather_code]]=3,"Light Rain",IF(Table1[[#This Row],[Weather_code]]=4,"Heavy Rain"))))</f>
        <v>Clear</v>
      </c>
      <c r="M55" s="10">
        <v>0.16</v>
      </c>
      <c r="N55" s="11" t="str">
        <f t="shared" si="1"/>
        <v>Winter</v>
      </c>
      <c r="O55" s="11" t="str">
        <f t="shared" si="2"/>
        <v>Weekday</v>
      </c>
      <c r="P55" s="11">
        <f>VLOOKUP(A55,[1]Sheet1!$A:$H,2, FALSE)</f>
        <v>0.13639999999999999</v>
      </c>
      <c r="Q55" s="40">
        <f>Table1[[#This Row],[A_Temperature]]*41</f>
        <v>5.5923999999999996</v>
      </c>
      <c r="R55" s="11">
        <f>VLOOKUP(A55,[1]Sheet1!$A:$G,3,FALSE)</f>
        <v>0.47</v>
      </c>
      <c r="S55" s="11">
        <f>VLOOKUP(A55,[1]Sheet1!$A:$G,4,FALSE)</f>
        <v>0.28360000000000002</v>
      </c>
      <c r="T55" s="11">
        <f>VLOOKUP(A55,[1]Sheet1!$A:$G,5,FALSE)</f>
        <v>0</v>
      </c>
      <c r="U55" s="11">
        <f>VLOOKUP(A55,[1]Sheet1!$A:$G,6,FALSE)</f>
        <v>3</v>
      </c>
      <c r="V55" s="18">
        <f>VLOOKUP(A55,[1]Sheet1!$A:$G,7,FALSE)</f>
        <v>3</v>
      </c>
    </row>
    <row r="56" spans="1:22" s="13" customFormat="1" ht="30" customHeight="1">
      <c r="A56" s="17">
        <v>52</v>
      </c>
      <c r="B56" s="8">
        <v>40603</v>
      </c>
      <c r="C56" s="8" t="str">
        <f t="shared" si="0"/>
        <v>Tuesday</v>
      </c>
      <c r="D56" s="9">
        <v>1</v>
      </c>
      <c r="E56" s="9">
        <v>0</v>
      </c>
      <c r="F56" s="9">
        <v>1</v>
      </c>
      <c r="G56" s="7">
        <v>6</v>
      </c>
      <c r="H56" s="9" t="b">
        <v>0</v>
      </c>
      <c r="I56" s="9">
        <v>1</v>
      </c>
      <c r="J56" s="38" t="str">
        <f>CHOOSE(Table1[[#This Row],[Weekday]]+1,"Sunday","Monday","Tuesday","Wednesday","Thursday","Friday","Saturday")</f>
        <v>Monday</v>
      </c>
      <c r="K56" s="9">
        <v>1</v>
      </c>
      <c r="L56" s="38" t="str">
        <f>IF(Table1[[#This Row],[Weather_code]]=1,"Clear",IF(Table1[[#This Row],[Weather_code]]=2,"Cloudy",IF(Table1[[#This Row],[Weather_code]]=3,"Light Rain",IF(Table1[[#This Row],[Weather_code]]=4,"Heavy Rain"))))</f>
        <v>Clear</v>
      </c>
      <c r="M56" s="10">
        <v>0.14000000000000001</v>
      </c>
      <c r="N56" s="11" t="str">
        <f t="shared" si="1"/>
        <v>Winter</v>
      </c>
      <c r="O56" s="11" t="str">
        <f t="shared" si="2"/>
        <v>Weekday</v>
      </c>
      <c r="P56" s="11">
        <f>VLOOKUP(A56,[1]Sheet1!$A:$H,2, FALSE)</f>
        <v>0.1061</v>
      </c>
      <c r="Q56" s="40">
        <f>Table1[[#This Row],[A_Temperature]]*41</f>
        <v>4.3501000000000003</v>
      </c>
      <c r="R56" s="11">
        <f>VLOOKUP(A56,[1]Sheet1!$A:$G,3,FALSE)</f>
        <v>0.5</v>
      </c>
      <c r="S56" s="11">
        <f>VLOOKUP(A56,[1]Sheet1!$A:$G,4,FALSE)</f>
        <v>0.3881</v>
      </c>
      <c r="T56" s="11">
        <f>VLOOKUP(A56,[1]Sheet1!$A:$G,5,FALSE)</f>
        <v>0</v>
      </c>
      <c r="U56" s="11">
        <f>VLOOKUP(A56,[1]Sheet1!$A:$G,6,FALSE)</f>
        <v>30</v>
      </c>
      <c r="V56" s="18">
        <f>VLOOKUP(A56,[1]Sheet1!$A:$G,7,FALSE)</f>
        <v>30</v>
      </c>
    </row>
    <row r="57" spans="1:22" s="13" customFormat="1" ht="30" customHeight="1">
      <c r="A57" s="17">
        <v>53</v>
      </c>
      <c r="B57" s="8">
        <v>40603</v>
      </c>
      <c r="C57" s="8" t="str">
        <f t="shared" si="0"/>
        <v>Tuesday</v>
      </c>
      <c r="D57" s="9">
        <v>1</v>
      </c>
      <c r="E57" s="9">
        <v>0</v>
      </c>
      <c r="F57" s="9">
        <v>1</v>
      </c>
      <c r="G57" s="7">
        <v>7</v>
      </c>
      <c r="H57" s="9" t="b">
        <v>0</v>
      </c>
      <c r="I57" s="9">
        <v>1</v>
      </c>
      <c r="J57" s="38" t="str">
        <f>CHOOSE(Table1[[#This Row],[Weekday]]+1,"Sunday","Monday","Tuesday","Wednesday","Thursday","Friday","Saturday")</f>
        <v>Monday</v>
      </c>
      <c r="K57" s="9">
        <v>1</v>
      </c>
      <c r="L57" s="38" t="str">
        <f>IF(Table1[[#This Row],[Weather_code]]=1,"Clear",IF(Table1[[#This Row],[Weather_code]]=2,"Cloudy",IF(Table1[[#This Row],[Weather_code]]=3,"Light Rain",IF(Table1[[#This Row],[Weather_code]]=4,"Heavy Rain"))))</f>
        <v>Clear</v>
      </c>
      <c r="M57" s="10">
        <v>0.14000000000000001</v>
      </c>
      <c r="N57" s="11" t="str">
        <f t="shared" si="1"/>
        <v>Winter</v>
      </c>
      <c r="O57" s="11" t="str">
        <f t="shared" si="2"/>
        <v>Weekday</v>
      </c>
      <c r="P57" s="11">
        <f>VLOOKUP(A57,[1]Sheet1!$A:$H,2, FALSE)</f>
        <v>0.13639999999999999</v>
      </c>
      <c r="Q57" s="40">
        <f>Table1[[#This Row],[A_Temperature]]*41</f>
        <v>5.5923999999999996</v>
      </c>
      <c r="R57" s="11">
        <f>VLOOKUP(A57,[1]Sheet1!$A:$G,3,FALSE)</f>
        <v>0.5</v>
      </c>
      <c r="S57" s="11">
        <f>VLOOKUP(A57,[1]Sheet1!$A:$G,4,FALSE)</f>
        <v>0.19400000000000001</v>
      </c>
      <c r="T57" s="11">
        <f>VLOOKUP(A57,[1]Sheet1!$A:$G,5,FALSE)</f>
        <v>1</v>
      </c>
      <c r="U57" s="11">
        <f>VLOOKUP(A57,[1]Sheet1!$A:$G,6,FALSE)</f>
        <v>63</v>
      </c>
      <c r="V57" s="18">
        <f>VLOOKUP(A57,[1]Sheet1!$A:$G,7,FALSE)</f>
        <v>64</v>
      </c>
    </row>
    <row r="58" spans="1:22" s="13" customFormat="1" ht="30" customHeight="1">
      <c r="A58" s="17">
        <v>54</v>
      </c>
      <c r="B58" s="8">
        <v>40603</v>
      </c>
      <c r="C58" s="8" t="str">
        <f t="shared" si="0"/>
        <v>Tuesday</v>
      </c>
      <c r="D58" s="9">
        <v>1</v>
      </c>
      <c r="E58" s="9">
        <v>0</v>
      </c>
      <c r="F58" s="9">
        <v>1</v>
      </c>
      <c r="G58" s="7">
        <v>8</v>
      </c>
      <c r="H58" s="9" t="b">
        <v>0</v>
      </c>
      <c r="I58" s="9">
        <v>1</v>
      </c>
      <c r="J58" s="38" t="str">
        <f>CHOOSE(Table1[[#This Row],[Weekday]]+1,"Sunday","Monday","Tuesday","Wednesday","Thursday","Friday","Saturday")</f>
        <v>Monday</v>
      </c>
      <c r="K58" s="9">
        <v>1</v>
      </c>
      <c r="L58" s="38" t="str">
        <f>IF(Table1[[#This Row],[Weather_code]]=1,"Clear",IF(Table1[[#This Row],[Weather_code]]=2,"Cloudy",IF(Table1[[#This Row],[Weather_code]]=3,"Light Rain",IF(Table1[[#This Row],[Weather_code]]=4,"Heavy Rain"))))</f>
        <v>Clear</v>
      </c>
      <c r="M58" s="10">
        <v>0.14000000000000001</v>
      </c>
      <c r="N58" s="11" t="str">
        <f t="shared" si="1"/>
        <v>Winter</v>
      </c>
      <c r="O58" s="11" t="str">
        <f t="shared" si="2"/>
        <v>Weekday</v>
      </c>
      <c r="P58" s="11">
        <f>VLOOKUP(A58,[1]Sheet1!$A:$H,2, FALSE)</f>
        <v>0.1212</v>
      </c>
      <c r="Q58" s="40">
        <f>Table1[[#This Row],[A_Temperature]]*41</f>
        <v>4.9691999999999998</v>
      </c>
      <c r="R58" s="11">
        <f>VLOOKUP(A58,[1]Sheet1!$A:$G,3,FALSE)</f>
        <v>0.5</v>
      </c>
      <c r="S58" s="11">
        <f>VLOOKUP(A58,[1]Sheet1!$A:$G,4,FALSE)</f>
        <v>0.28360000000000002</v>
      </c>
      <c r="T58" s="11">
        <f>VLOOKUP(A58,[1]Sheet1!$A:$G,5,FALSE)</f>
        <v>1</v>
      </c>
      <c r="U58" s="11">
        <f>VLOOKUP(A58,[1]Sheet1!$A:$G,6,FALSE)</f>
        <v>153</v>
      </c>
      <c r="V58" s="18">
        <f>VLOOKUP(A58,[1]Sheet1!$A:$G,7,FALSE)</f>
        <v>154</v>
      </c>
    </row>
    <row r="59" spans="1:22" s="13" customFormat="1" ht="30" customHeight="1">
      <c r="A59" s="17">
        <v>55</v>
      </c>
      <c r="B59" s="8">
        <v>40603</v>
      </c>
      <c r="C59" s="8" t="str">
        <f t="shared" si="0"/>
        <v>Tuesday</v>
      </c>
      <c r="D59" s="9">
        <v>1</v>
      </c>
      <c r="E59" s="9">
        <v>0</v>
      </c>
      <c r="F59" s="9">
        <v>1</v>
      </c>
      <c r="G59" s="7">
        <v>9</v>
      </c>
      <c r="H59" s="9" t="b">
        <v>0</v>
      </c>
      <c r="I59" s="9">
        <v>1</v>
      </c>
      <c r="J59" s="38" t="str">
        <f>CHOOSE(Table1[[#This Row],[Weekday]]+1,"Sunday","Monday","Tuesday","Wednesday","Thursday","Friday","Saturday")</f>
        <v>Monday</v>
      </c>
      <c r="K59" s="9">
        <v>1</v>
      </c>
      <c r="L59" s="38" t="str">
        <f>IF(Table1[[#This Row],[Weather_code]]=1,"Clear",IF(Table1[[#This Row],[Weather_code]]=2,"Cloudy",IF(Table1[[#This Row],[Weather_code]]=3,"Light Rain",IF(Table1[[#This Row],[Weather_code]]=4,"Heavy Rain"))))</f>
        <v>Clear</v>
      </c>
      <c r="M59" s="10">
        <v>0.16</v>
      </c>
      <c r="N59" s="11" t="str">
        <f t="shared" si="1"/>
        <v>Winter</v>
      </c>
      <c r="O59" s="11" t="str">
        <f t="shared" si="2"/>
        <v>Weekday</v>
      </c>
      <c r="P59" s="11">
        <f>VLOOKUP(A59,[1]Sheet1!$A:$H,2, FALSE)</f>
        <v>0.13639999999999999</v>
      </c>
      <c r="Q59" s="40">
        <f>Table1[[#This Row],[A_Temperature]]*41</f>
        <v>5.5923999999999996</v>
      </c>
      <c r="R59" s="11">
        <f>VLOOKUP(A59,[1]Sheet1!$A:$G,3,FALSE)</f>
        <v>0.43</v>
      </c>
      <c r="S59" s="11">
        <f>VLOOKUP(A59,[1]Sheet1!$A:$G,4,FALSE)</f>
        <v>0.3881</v>
      </c>
      <c r="T59" s="11">
        <f>VLOOKUP(A59,[1]Sheet1!$A:$G,5,FALSE)</f>
        <v>7</v>
      </c>
      <c r="U59" s="11">
        <f>VLOOKUP(A59,[1]Sheet1!$A:$G,6,FALSE)</f>
        <v>81</v>
      </c>
      <c r="V59" s="18">
        <f>VLOOKUP(A59,[1]Sheet1!$A:$G,7,FALSE)</f>
        <v>88</v>
      </c>
    </row>
    <row r="60" spans="1:22" s="13" customFormat="1" ht="30" customHeight="1">
      <c r="A60" s="17">
        <v>56</v>
      </c>
      <c r="B60" s="8">
        <v>40603</v>
      </c>
      <c r="C60" s="8" t="str">
        <f t="shared" si="0"/>
        <v>Tuesday</v>
      </c>
      <c r="D60" s="9">
        <v>1</v>
      </c>
      <c r="E60" s="9">
        <v>0</v>
      </c>
      <c r="F60" s="9">
        <v>1</v>
      </c>
      <c r="G60" s="7">
        <v>10</v>
      </c>
      <c r="H60" s="9" t="b">
        <v>0</v>
      </c>
      <c r="I60" s="9">
        <v>1</v>
      </c>
      <c r="J60" s="38" t="str">
        <f>CHOOSE(Table1[[#This Row],[Weekday]]+1,"Sunday","Monday","Tuesday","Wednesday","Thursday","Friday","Saturday")</f>
        <v>Monday</v>
      </c>
      <c r="K60" s="9">
        <v>1</v>
      </c>
      <c r="L60" s="38" t="str">
        <f>IF(Table1[[#This Row],[Weather_code]]=1,"Clear",IF(Table1[[#This Row],[Weather_code]]=2,"Cloudy",IF(Table1[[#This Row],[Weather_code]]=3,"Light Rain",IF(Table1[[#This Row],[Weather_code]]=4,"Heavy Rain"))))</f>
        <v>Clear</v>
      </c>
      <c r="M60" s="10">
        <v>0.18</v>
      </c>
      <c r="N60" s="11" t="str">
        <f t="shared" si="1"/>
        <v>Winter</v>
      </c>
      <c r="O60" s="11" t="str">
        <f t="shared" si="2"/>
        <v>Weekday</v>
      </c>
      <c r="P60" s="11">
        <f>VLOOKUP(A60,[1]Sheet1!$A:$H,2, FALSE)</f>
        <v>0.16669999999999999</v>
      </c>
      <c r="Q60" s="40">
        <f>Table1[[#This Row],[A_Temperature]]*41</f>
        <v>6.8346999999999998</v>
      </c>
      <c r="R60" s="11">
        <f>VLOOKUP(A60,[1]Sheet1!$A:$G,3,FALSE)</f>
        <v>0.43</v>
      </c>
      <c r="S60" s="11">
        <f>VLOOKUP(A60,[1]Sheet1!$A:$G,4,FALSE)</f>
        <v>0.25369999999999998</v>
      </c>
      <c r="T60" s="11">
        <f>VLOOKUP(A60,[1]Sheet1!$A:$G,5,FALSE)</f>
        <v>11</v>
      </c>
      <c r="U60" s="11">
        <f>VLOOKUP(A60,[1]Sheet1!$A:$G,6,FALSE)</f>
        <v>33</v>
      </c>
      <c r="V60" s="18">
        <f>VLOOKUP(A60,[1]Sheet1!$A:$G,7,FALSE)</f>
        <v>44</v>
      </c>
    </row>
    <row r="61" spans="1:22" s="13" customFormat="1" ht="30" customHeight="1">
      <c r="A61" s="17">
        <v>57</v>
      </c>
      <c r="B61" s="8">
        <v>40603</v>
      </c>
      <c r="C61" s="8" t="str">
        <f t="shared" si="0"/>
        <v>Tuesday</v>
      </c>
      <c r="D61" s="9">
        <v>1</v>
      </c>
      <c r="E61" s="9">
        <v>0</v>
      </c>
      <c r="F61" s="9">
        <v>1</v>
      </c>
      <c r="G61" s="7">
        <v>11</v>
      </c>
      <c r="H61" s="9" t="b">
        <v>0</v>
      </c>
      <c r="I61" s="9">
        <v>1</v>
      </c>
      <c r="J61" s="38" t="str">
        <f>CHOOSE(Table1[[#This Row],[Weekday]]+1,"Sunday","Monday","Tuesday","Wednesday","Thursday","Friday","Saturday")</f>
        <v>Monday</v>
      </c>
      <c r="K61" s="9">
        <v>1</v>
      </c>
      <c r="L61" s="38" t="str">
        <f>IF(Table1[[#This Row],[Weather_code]]=1,"Clear",IF(Table1[[#This Row],[Weather_code]]=2,"Cloudy",IF(Table1[[#This Row],[Weather_code]]=3,"Light Rain",IF(Table1[[#This Row],[Weather_code]]=4,"Heavy Rain"))))</f>
        <v>Clear</v>
      </c>
      <c r="M61" s="10">
        <v>0.2</v>
      </c>
      <c r="N61" s="11" t="str">
        <f t="shared" si="1"/>
        <v>Winter</v>
      </c>
      <c r="O61" s="11" t="str">
        <f t="shared" si="2"/>
        <v>Weekday</v>
      </c>
      <c r="P61" s="11">
        <f>VLOOKUP(A61,[1]Sheet1!$A:$H,2, FALSE)</f>
        <v>0.18179999999999999</v>
      </c>
      <c r="Q61" s="40">
        <f>Table1[[#This Row],[A_Temperature]]*41</f>
        <v>7.4537999999999993</v>
      </c>
      <c r="R61" s="11">
        <f>VLOOKUP(A61,[1]Sheet1!$A:$G,3,FALSE)</f>
        <v>0.4</v>
      </c>
      <c r="S61" s="11">
        <f>VLOOKUP(A61,[1]Sheet1!$A:$G,4,FALSE)</f>
        <v>0.32840000000000003</v>
      </c>
      <c r="T61" s="11">
        <f>VLOOKUP(A61,[1]Sheet1!$A:$G,5,FALSE)</f>
        <v>10</v>
      </c>
      <c r="U61" s="11">
        <f>VLOOKUP(A61,[1]Sheet1!$A:$G,6,FALSE)</f>
        <v>41</v>
      </c>
      <c r="V61" s="18">
        <f>VLOOKUP(A61,[1]Sheet1!$A:$G,7,FALSE)</f>
        <v>51</v>
      </c>
    </row>
    <row r="62" spans="1:22" s="13" customFormat="1" ht="30" customHeight="1">
      <c r="A62" s="17">
        <v>58</v>
      </c>
      <c r="B62" s="8">
        <v>40603</v>
      </c>
      <c r="C62" s="8" t="str">
        <f t="shared" si="0"/>
        <v>Tuesday</v>
      </c>
      <c r="D62" s="9">
        <v>1</v>
      </c>
      <c r="E62" s="9">
        <v>0</v>
      </c>
      <c r="F62" s="9">
        <v>1</v>
      </c>
      <c r="G62" s="7">
        <v>12</v>
      </c>
      <c r="H62" s="9" t="b">
        <v>0</v>
      </c>
      <c r="I62" s="9">
        <v>1</v>
      </c>
      <c r="J62" s="38" t="str">
        <f>CHOOSE(Table1[[#This Row],[Weekday]]+1,"Sunday","Monday","Tuesday","Wednesday","Thursday","Friday","Saturday")</f>
        <v>Monday</v>
      </c>
      <c r="K62" s="9">
        <v>1</v>
      </c>
      <c r="L62" s="38" t="str">
        <f>IF(Table1[[#This Row],[Weather_code]]=1,"Clear",IF(Table1[[#This Row],[Weather_code]]=2,"Cloudy",IF(Table1[[#This Row],[Weather_code]]=3,"Light Rain",IF(Table1[[#This Row],[Weather_code]]=4,"Heavy Rain"))))</f>
        <v>Clear</v>
      </c>
      <c r="M62" s="10">
        <v>0.22</v>
      </c>
      <c r="N62" s="11" t="str">
        <f t="shared" si="1"/>
        <v>Winter</v>
      </c>
      <c r="O62" s="11" t="str">
        <f t="shared" si="2"/>
        <v>Weekday</v>
      </c>
      <c r="P62" s="11">
        <f>VLOOKUP(A62,[1]Sheet1!$A:$H,2, FALSE)</f>
        <v>0.21210000000000001</v>
      </c>
      <c r="Q62" s="40">
        <f>Table1[[#This Row],[A_Temperature]]*41</f>
        <v>8.6961000000000013</v>
      </c>
      <c r="R62" s="11">
        <f>VLOOKUP(A62,[1]Sheet1!$A:$G,3,FALSE)</f>
        <v>0.35</v>
      </c>
      <c r="S62" s="11">
        <f>VLOOKUP(A62,[1]Sheet1!$A:$G,4,FALSE)</f>
        <v>0.29849999999999999</v>
      </c>
      <c r="T62" s="11">
        <f>VLOOKUP(A62,[1]Sheet1!$A:$G,5,FALSE)</f>
        <v>13</v>
      </c>
      <c r="U62" s="11">
        <f>VLOOKUP(A62,[1]Sheet1!$A:$G,6,FALSE)</f>
        <v>48</v>
      </c>
      <c r="V62" s="18">
        <f>VLOOKUP(A62,[1]Sheet1!$A:$G,7,FALSE)</f>
        <v>61</v>
      </c>
    </row>
    <row r="63" spans="1:22" s="13" customFormat="1" ht="30" customHeight="1">
      <c r="A63" s="17">
        <v>59</v>
      </c>
      <c r="B63" s="8">
        <v>40603</v>
      </c>
      <c r="C63" s="8" t="str">
        <f t="shared" si="0"/>
        <v>Tuesday</v>
      </c>
      <c r="D63" s="9">
        <v>1</v>
      </c>
      <c r="E63" s="9">
        <v>0</v>
      </c>
      <c r="F63" s="9">
        <v>1</v>
      </c>
      <c r="G63" s="7">
        <v>13</v>
      </c>
      <c r="H63" s="9" t="b">
        <v>0</v>
      </c>
      <c r="I63" s="9">
        <v>1</v>
      </c>
      <c r="J63" s="38" t="str">
        <f>CHOOSE(Table1[[#This Row],[Weekday]]+1,"Sunday","Monday","Tuesday","Wednesday","Thursday","Friday","Saturday")</f>
        <v>Monday</v>
      </c>
      <c r="K63" s="9">
        <v>1</v>
      </c>
      <c r="L63" s="38" t="str">
        <f>IF(Table1[[#This Row],[Weather_code]]=1,"Clear",IF(Table1[[#This Row],[Weather_code]]=2,"Cloudy",IF(Table1[[#This Row],[Weather_code]]=3,"Light Rain",IF(Table1[[#This Row],[Weather_code]]=4,"Heavy Rain"))))</f>
        <v>Clear</v>
      </c>
      <c r="M63" s="10">
        <v>0.24</v>
      </c>
      <c r="N63" s="11" t="str">
        <f t="shared" si="1"/>
        <v>Winter</v>
      </c>
      <c r="O63" s="11" t="str">
        <f t="shared" si="2"/>
        <v>Weekday</v>
      </c>
      <c r="P63" s="11">
        <f>VLOOKUP(A63,[1]Sheet1!$A:$H,2, FALSE)</f>
        <v>0.19989999999999999</v>
      </c>
      <c r="Q63" s="40">
        <f>Table1[[#This Row],[A_Temperature]]*41</f>
        <v>8.1959</v>
      </c>
      <c r="R63" s="11">
        <f>VLOOKUP(A63,[1]Sheet1!$A:$G,3,FALSE)</f>
        <v>0.35</v>
      </c>
      <c r="S63" s="11">
        <f>VLOOKUP(A63,[1]Sheet1!$A:$G,4,FALSE)</f>
        <v>0.28360000000000002</v>
      </c>
      <c r="T63" s="11">
        <f>VLOOKUP(A63,[1]Sheet1!$A:$G,5,FALSE)</f>
        <v>8</v>
      </c>
      <c r="U63" s="11">
        <f>VLOOKUP(A63,[1]Sheet1!$A:$G,6,FALSE)</f>
        <v>53</v>
      </c>
      <c r="V63" s="18">
        <f>VLOOKUP(A63,[1]Sheet1!$A:$G,7,FALSE)</f>
        <v>61</v>
      </c>
    </row>
    <row r="64" spans="1:22" s="13" customFormat="1" ht="30" customHeight="1">
      <c r="A64" s="17">
        <v>60</v>
      </c>
      <c r="B64" s="8">
        <v>40603</v>
      </c>
      <c r="C64" s="8" t="str">
        <f t="shared" si="0"/>
        <v>Tuesday</v>
      </c>
      <c r="D64" s="9">
        <v>1</v>
      </c>
      <c r="E64" s="9">
        <v>0</v>
      </c>
      <c r="F64" s="9">
        <v>1</v>
      </c>
      <c r="G64" s="7">
        <v>14</v>
      </c>
      <c r="H64" s="9" t="b">
        <v>0</v>
      </c>
      <c r="I64" s="9">
        <v>1</v>
      </c>
      <c r="J64" s="38" t="str">
        <f>CHOOSE(Table1[[#This Row],[Weekday]]+1,"Sunday","Monday","Tuesday","Wednesday","Thursday","Friday","Saturday")</f>
        <v>Monday</v>
      </c>
      <c r="K64" s="9">
        <v>1</v>
      </c>
      <c r="L64" s="38" t="str">
        <f>IF(Table1[[#This Row],[Weather_code]]=1,"Clear",IF(Table1[[#This Row],[Weather_code]]=2,"Cloudy",IF(Table1[[#This Row],[Weather_code]]=3,"Light Rain",IF(Table1[[#This Row],[Weather_code]]=4,"Heavy Rain"))))</f>
        <v>Clear</v>
      </c>
      <c r="M64" s="10">
        <v>0.26</v>
      </c>
      <c r="N64" s="11" t="str">
        <f t="shared" si="1"/>
        <v>Winter</v>
      </c>
      <c r="O64" s="11" t="str">
        <f t="shared" si="2"/>
        <v>Weekday</v>
      </c>
      <c r="P64" s="11">
        <f>VLOOKUP(A64,[1]Sheet1!$A:$H,2, FALSE)</f>
        <v>0.2424</v>
      </c>
      <c r="Q64" s="40">
        <f>Table1[[#This Row],[A_Temperature]]*41</f>
        <v>9.9383999999999997</v>
      </c>
      <c r="R64" s="11">
        <f>VLOOKUP(A64,[1]Sheet1!$A:$G,3,FALSE)</f>
        <v>0.3</v>
      </c>
      <c r="S64" s="11">
        <f>VLOOKUP(A64,[1]Sheet1!$A:$G,4,FALSE)</f>
        <v>0.28360000000000002</v>
      </c>
      <c r="T64" s="11">
        <f>VLOOKUP(A64,[1]Sheet1!$A:$G,5,FALSE)</f>
        <v>11</v>
      </c>
      <c r="U64" s="11">
        <f>VLOOKUP(A64,[1]Sheet1!$A:$G,6,FALSE)</f>
        <v>66</v>
      </c>
      <c r="V64" s="18">
        <f>VLOOKUP(A64,[1]Sheet1!$A:$G,7,FALSE)</f>
        <v>77</v>
      </c>
    </row>
    <row r="65" spans="1:22" s="13" customFormat="1" ht="30" customHeight="1">
      <c r="A65" s="17">
        <v>61</v>
      </c>
      <c r="B65" s="8">
        <v>40603</v>
      </c>
      <c r="C65" s="8" t="str">
        <f t="shared" si="0"/>
        <v>Tuesday</v>
      </c>
      <c r="D65" s="9">
        <v>1</v>
      </c>
      <c r="E65" s="9">
        <v>0</v>
      </c>
      <c r="F65" s="9">
        <v>1</v>
      </c>
      <c r="G65" s="7">
        <v>15</v>
      </c>
      <c r="H65" s="9" t="b">
        <v>0</v>
      </c>
      <c r="I65" s="9">
        <v>1</v>
      </c>
      <c r="J65" s="38" t="str">
        <f>CHOOSE(Table1[[#This Row],[Weekday]]+1,"Sunday","Monday","Tuesday","Wednesday","Thursday","Friday","Saturday")</f>
        <v>Monday</v>
      </c>
      <c r="K65" s="9">
        <v>1</v>
      </c>
      <c r="L65" s="38" t="str">
        <f>IF(Table1[[#This Row],[Weather_code]]=1,"Clear",IF(Table1[[#This Row],[Weather_code]]=2,"Cloudy",IF(Table1[[#This Row],[Weather_code]]=3,"Light Rain",IF(Table1[[#This Row],[Weather_code]]=4,"Heavy Rain"))))</f>
        <v>Clear</v>
      </c>
      <c r="M65" s="10">
        <v>0.26</v>
      </c>
      <c r="N65" s="11" t="str">
        <f t="shared" si="1"/>
        <v>Winter</v>
      </c>
      <c r="O65" s="11" t="str">
        <f t="shared" si="2"/>
        <v>Weekday</v>
      </c>
      <c r="P65" s="11">
        <f>VLOOKUP(A65,[1]Sheet1!$A:$H,2, FALSE)</f>
        <v>0.2424</v>
      </c>
      <c r="Q65" s="40">
        <f>Table1[[#This Row],[A_Temperature]]*41</f>
        <v>9.9383999999999997</v>
      </c>
      <c r="R65" s="11">
        <f>VLOOKUP(A65,[1]Sheet1!$A:$G,3,FALSE)</f>
        <v>0.3</v>
      </c>
      <c r="S65" s="11">
        <f>VLOOKUP(A65,[1]Sheet1!$A:$G,4,FALSE)</f>
        <v>0.25369999999999998</v>
      </c>
      <c r="T65" s="11">
        <f>VLOOKUP(A65,[1]Sheet1!$A:$G,5,FALSE)</f>
        <v>14</v>
      </c>
      <c r="U65" s="11">
        <f>VLOOKUP(A65,[1]Sheet1!$A:$G,6,FALSE)</f>
        <v>58</v>
      </c>
      <c r="V65" s="18">
        <f>VLOOKUP(A65,[1]Sheet1!$A:$G,7,FALSE)</f>
        <v>72</v>
      </c>
    </row>
    <row r="66" spans="1:22" s="13" customFormat="1" ht="30" customHeight="1">
      <c r="A66" s="17">
        <v>62</v>
      </c>
      <c r="B66" s="8">
        <v>40603</v>
      </c>
      <c r="C66" s="8" t="str">
        <f t="shared" si="0"/>
        <v>Tuesday</v>
      </c>
      <c r="D66" s="9">
        <v>1</v>
      </c>
      <c r="E66" s="9">
        <v>0</v>
      </c>
      <c r="F66" s="9">
        <v>1</v>
      </c>
      <c r="G66" s="7">
        <v>16</v>
      </c>
      <c r="H66" s="9" t="b">
        <v>0</v>
      </c>
      <c r="I66" s="9">
        <v>1</v>
      </c>
      <c r="J66" s="38" t="str">
        <f>CHOOSE(Table1[[#This Row],[Weekday]]+1,"Sunday","Monday","Tuesday","Wednesday","Thursday","Friday","Saturday")</f>
        <v>Monday</v>
      </c>
      <c r="K66" s="9">
        <v>1</v>
      </c>
      <c r="L66" s="38" t="str">
        <f>IF(Table1[[#This Row],[Weather_code]]=1,"Clear",IF(Table1[[#This Row],[Weather_code]]=2,"Cloudy",IF(Table1[[#This Row],[Weather_code]]=3,"Light Rain",IF(Table1[[#This Row],[Weather_code]]=4,"Heavy Rain"))))</f>
        <v>Clear</v>
      </c>
      <c r="M66" s="10">
        <v>0.26</v>
      </c>
      <c r="N66" s="11" t="str">
        <f t="shared" si="1"/>
        <v>Winter</v>
      </c>
      <c r="O66" s="11" t="str">
        <f t="shared" si="2"/>
        <v>Weekday</v>
      </c>
      <c r="P66" s="11">
        <f>VLOOKUP(A66,[1]Sheet1!$A:$H,2, FALSE)</f>
        <v>0.2424</v>
      </c>
      <c r="Q66" s="40">
        <f>Table1[[#This Row],[A_Temperature]]*41</f>
        <v>9.9383999999999997</v>
      </c>
      <c r="R66" s="11">
        <f>VLOOKUP(A66,[1]Sheet1!$A:$G,3,FALSE)</f>
        <v>0.3</v>
      </c>
      <c r="S66" s="11">
        <f>VLOOKUP(A66,[1]Sheet1!$A:$G,4,FALSE)</f>
        <v>0.25369999999999998</v>
      </c>
      <c r="T66" s="11">
        <f>VLOOKUP(A66,[1]Sheet1!$A:$G,5,FALSE)</f>
        <v>9</v>
      </c>
      <c r="U66" s="11">
        <f>VLOOKUP(A66,[1]Sheet1!$A:$G,6,FALSE)</f>
        <v>67</v>
      </c>
      <c r="V66" s="18">
        <f>VLOOKUP(A66,[1]Sheet1!$A:$G,7,FALSE)</f>
        <v>76</v>
      </c>
    </row>
    <row r="67" spans="1:22" s="13" customFormat="1" ht="30" customHeight="1">
      <c r="A67" s="17">
        <v>63</v>
      </c>
      <c r="B67" s="8">
        <v>40603</v>
      </c>
      <c r="C67" s="8" t="str">
        <f t="shared" si="0"/>
        <v>Tuesday</v>
      </c>
      <c r="D67" s="9">
        <v>1</v>
      </c>
      <c r="E67" s="9">
        <v>0</v>
      </c>
      <c r="F67" s="9">
        <v>1</v>
      </c>
      <c r="G67" s="7">
        <v>17</v>
      </c>
      <c r="H67" s="9" t="b">
        <v>0</v>
      </c>
      <c r="I67" s="9">
        <v>1</v>
      </c>
      <c r="J67" s="38" t="str">
        <f>CHOOSE(Table1[[#This Row],[Weekday]]+1,"Sunday","Monday","Tuesday","Wednesday","Thursday","Friday","Saturday")</f>
        <v>Monday</v>
      </c>
      <c r="K67" s="9">
        <v>1</v>
      </c>
      <c r="L67" s="38" t="str">
        <f>IF(Table1[[#This Row],[Weather_code]]=1,"Clear",IF(Table1[[#This Row],[Weather_code]]=2,"Cloudy",IF(Table1[[#This Row],[Weather_code]]=3,"Light Rain",IF(Table1[[#This Row],[Weather_code]]=4,"Heavy Rain"))))</f>
        <v>Clear</v>
      </c>
      <c r="M67" s="10">
        <v>0.24</v>
      </c>
      <c r="N67" s="11" t="str">
        <f t="shared" si="1"/>
        <v>Winter</v>
      </c>
      <c r="O67" s="11" t="str">
        <f t="shared" si="2"/>
        <v>Weekday</v>
      </c>
      <c r="P67" s="11">
        <f>VLOOKUP(A67,[1]Sheet1!$A:$H,2, FALSE)</f>
        <v>0.2273</v>
      </c>
      <c r="Q67" s="40">
        <f>Table1[[#This Row],[A_Temperature]]*41</f>
        <v>9.3193000000000001</v>
      </c>
      <c r="R67" s="11">
        <f>VLOOKUP(A67,[1]Sheet1!$A:$G,3,FALSE)</f>
        <v>0.3</v>
      </c>
      <c r="S67" s="11">
        <f>VLOOKUP(A67,[1]Sheet1!$A:$G,4,FALSE)</f>
        <v>0.22389999999999999</v>
      </c>
      <c r="T67" s="11">
        <f>VLOOKUP(A67,[1]Sheet1!$A:$G,5,FALSE)</f>
        <v>11</v>
      </c>
      <c r="U67" s="11">
        <f>VLOOKUP(A67,[1]Sheet1!$A:$G,6,FALSE)</f>
        <v>146</v>
      </c>
      <c r="V67" s="18">
        <f>VLOOKUP(A67,[1]Sheet1!$A:$G,7,FALSE)</f>
        <v>157</v>
      </c>
    </row>
    <row r="68" spans="1:22" s="13" customFormat="1" ht="30" customHeight="1">
      <c r="A68" s="17">
        <v>64</v>
      </c>
      <c r="B68" s="8">
        <v>40603</v>
      </c>
      <c r="C68" s="8" t="str">
        <f t="shared" si="0"/>
        <v>Tuesday</v>
      </c>
      <c r="D68" s="9">
        <v>1</v>
      </c>
      <c r="E68" s="9">
        <v>0</v>
      </c>
      <c r="F68" s="9">
        <v>1</v>
      </c>
      <c r="G68" s="7">
        <v>18</v>
      </c>
      <c r="H68" s="9" t="b">
        <v>0</v>
      </c>
      <c r="I68" s="9">
        <v>1</v>
      </c>
      <c r="J68" s="38" t="str">
        <f>CHOOSE(Table1[[#This Row],[Weekday]]+1,"Sunday","Monday","Tuesday","Wednesday","Thursday","Friday","Saturday")</f>
        <v>Monday</v>
      </c>
      <c r="K68" s="9">
        <v>1</v>
      </c>
      <c r="L68" s="38" t="str">
        <f>IF(Table1[[#This Row],[Weather_code]]=1,"Clear",IF(Table1[[#This Row],[Weather_code]]=2,"Cloudy",IF(Table1[[#This Row],[Weather_code]]=3,"Light Rain",IF(Table1[[#This Row],[Weather_code]]=4,"Heavy Rain"))))</f>
        <v>Clear</v>
      </c>
      <c r="M68" s="10">
        <v>0.24</v>
      </c>
      <c r="N68" s="11" t="str">
        <f t="shared" si="1"/>
        <v>Winter</v>
      </c>
      <c r="O68" s="11" t="str">
        <f t="shared" si="2"/>
        <v>Weekday</v>
      </c>
      <c r="P68" s="11">
        <f>VLOOKUP(A68,[1]Sheet1!$A:$H,2, FALSE)</f>
        <v>0.2576</v>
      </c>
      <c r="Q68" s="40">
        <f>Table1[[#This Row],[A_Temperature]]*41</f>
        <v>10.5616</v>
      </c>
      <c r="R68" s="11">
        <f>VLOOKUP(A68,[1]Sheet1!$A:$G,3,FALSE)</f>
        <v>0.32</v>
      </c>
      <c r="S68" s="11">
        <f>VLOOKUP(A68,[1]Sheet1!$A:$G,4,FALSE)</f>
        <v>0.1045</v>
      </c>
      <c r="T68" s="11">
        <f>VLOOKUP(A68,[1]Sheet1!$A:$G,5,FALSE)</f>
        <v>9</v>
      </c>
      <c r="U68" s="11">
        <f>VLOOKUP(A68,[1]Sheet1!$A:$G,6,FALSE)</f>
        <v>148</v>
      </c>
      <c r="V68" s="18">
        <f>VLOOKUP(A68,[1]Sheet1!$A:$G,7,FALSE)</f>
        <v>157</v>
      </c>
    </row>
    <row r="69" spans="1:22" s="13" customFormat="1" ht="30" customHeight="1">
      <c r="A69" s="17">
        <v>65</v>
      </c>
      <c r="B69" s="8">
        <v>40603</v>
      </c>
      <c r="C69" s="8" t="str">
        <f t="shared" si="0"/>
        <v>Tuesday</v>
      </c>
      <c r="D69" s="9">
        <v>1</v>
      </c>
      <c r="E69" s="9">
        <v>0</v>
      </c>
      <c r="F69" s="9">
        <v>1</v>
      </c>
      <c r="G69" s="7">
        <v>19</v>
      </c>
      <c r="H69" s="9" t="b">
        <v>0</v>
      </c>
      <c r="I69" s="9">
        <v>1</v>
      </c>
      <c r="J69" s="38" t="str">
        <f>CHOOSE(Table1[[#This Row],[Weekday]]+1,"Sunday","Monday","Tuesday","Wednesday","Thursday","Friday","Saturday")</f>
        <v>Monday</v>
      </c>
      <c r="K69" s="9">
        <v>1</v>
      </c>
      <c r="L69" s="38" t="str">
        <f>IF(Table1[[#This Row],[Weather_code]]=1,"Clear",IF(Table1[[#This Row],[Weather_code]]=2,"Cloudy",IF(Table1[[#This Row],[Weather_code]]=3,"Light Rain",IF(Table1[[#This Row],[Weather_code]]=4,"Heavy Rain"))))</f>
        <v>Clear</v>
      </c>
      <c r="M69" s="10">
        <v>0.2</v>
      </c>
      <c r="N69" s="11" t="str">
        <f t="shared" si="1"/>
        <v>Winter</v>
      </c>
      <c r="O69" s="11" t="str">
        <f t="shared" si="2"/>
        <v>Weekday</v>
      </c>
      <c r="P69" s="11">
        <f>VLOOKUP(A69,[1]Sheet1!$A:$H,2, FALSE)</f>
        <v>0.2576</v>
      </c>
      <c r="Q69" s="40">
        <f>Table1[[#This Row],[A_Temperature]]*41</f>
        <v>10.5616</v>
      </c>
      <c r="R69" s="11">
        <f>VLOOKUP(A69,[1]Sheet1!$A:$G,3,FALSE)</f>
        <v>0.47</v>
      </c>
      <c r="S69" s="11">
        <f>VLOOKUP(A69,[1]Sheet1!$A:$G,4,FALSE)</f>
        <v>0</v>
      </c>
      <c r="T69" s="11">
        <f>VLOOKUP(A69,[1]Sheet1!$A:$G,5,FALSE)</f>
        <v>8</v>
      </c>
      <c r="U69" s="11">
        <f>VLOOKUP(A69,[1]Sheet1!$A:$G,6,FALSE)</f>
        <v>102</v>
      </c>
      <c r="V69" s="18">
        <f>VLOOKUP(A69,[1]Sheet1!$A:$G,7,FALSE)</f>
        <v>110</v>
      </c>
    </row>
    <row r="70" spans="1:22" s="13" customFormat="1" ht="30" customHeight="1">
      <c r="A70" s="17">
        <v>66</v>
      </c>
      <c r="B70" s="8">
        <v>40603</v>
      </c>
      <c r="C70" s="8" t="str">
        <f t="shared" ref="C70:C133" si="3">TEXT(B70,"DDDD")</f>
        <v>Tuesday</v>
      </c>
      <c r="D70" s="9">
        <v>1</v>
      </c>
      <c r="E70" s="9">
        <v>0</v>
      </c>
      <c r="F70" s="9">
        <v>1</v>
      </c>
      <c r="G70" s="7">
        <v>20</v>
      </c>
      <c r="H70" s="9" t="b">
        <v>0</v>
      </c>
      <c r="I70" s="9">
        <v>1</v>
      </c>
      <c r="J70" s="38" t="str">
        <f>CHOOSE(Table1[[#This Row],[Weekday]]+1,"Sunday","Monday","Tuesday","Wednesday","Thursday","Friday","Saturday")</f>
        <v>Monday</v>
      </c>
      <c r="K70" s="9">
        <v>1</v>
      </c>
      <c r="L70" s="38" t="str">
        <f>IF(Table1[[#This Row],[Weather_code]]=1,"Clear",IF(Table1[[#This Row],[Weather_code]]=2,"Cloudy",IF(Table1[[#This Row],[Weather_code]]=3,"Light Rain",IF(Table1[[#This Row],[Weather_code]]=4,"Heavy Rain"))))</f>
        <v>Clear</v>
      </c>
      <c r="M70" s="10">
        <v>0.2</v>
      </c>
      <c r="N70" s="11" t="str">
        <f t="shared" ref="N70:N133" si="4">CHOOSE(D70,"Winter","Spring","Summer","Fall")</f>
        <v>Winter</v>
      </c>
      <c r="O70" s="11" t="str">
        <f t="shared" ref="O70:O133" si="5">IF(OR(WEEKDAY(B70,2)=6,WEEKDAY(B70,2)=7),"Weekend","Weekday")</f>
        <v>Weekday</v>
      </c>
      <c r="P70" s="11">
        <f>VLOOKUP(A70,[1]Sheet1!$A:$H,2, FALSE)</f>
        <v>0.19989999999999999</v>
      </c>
      <c r="Q70" s="40">
        <f>Table1[[#This Row],[A_Temperature]]*41</f>
        <v>8.1959</v>
      </c>
      <c r="R70" s="11">
        <f>VLOOKUP(A70,[1]Sheet1!$A:$G,3,FALSE)</f>
        <v>0.47</v>
      </c>
      <c r="S70" s="11">
        <f>VLOOKUP(A70,[1]Sheet1!$A:$G,4,FALSE)</f>
        <v>0.1045</v>
      </c>
      <c r="T70" s="11">
        <f>VLOOKUP(A70,[1]Sheet1!$A:$G,5,FALSE)</f>
        <v>3</v>
      </c>
      <c r="U70" s="11">
        <f>VLOOKUP(A70,[1]Sheet1!$A:$G,6,FALSE)</f>
        <v>49</v>
      </c>
      <c r="V70" s="18">
        <f>VLOOKUP(A70,[1]Sheet1!$A:$G,7,FALSE)</f>
        <v>52</v>
      </c>
    </row>
    <row r="71" spans="1:22" s="13" customFormat="1" ht="30" customHeight="1">
      <c r="A71" s="17">
        <v>67</v>
      </c>
      <c r="B71" s="8">
        <v>40603</v>
      </c>
      <c r="C71" s="8" t="str">
        <f t="shared" si="3"/>
        <v>Tuesday</v>
      </c>
      <c r="D71" s="9">
        <v>1</v>
      </c>
      <c r="E71" s="9">
        <v>0</v>
      </c>
      <c r="F71" s="9">
        <v>1</v>
      </c>
      <c r="G71" s="7">
        <v>21</v>
      </c>
      <c r="H71" s="9" t="b">
        <v>0</v>
      </c>
      <c r="I71" s="9">
        <v>1</v>
      </c>
      <c r="J71" s="38" t="str">
        <f>CHOOSE(Table1[[#This Row],[Weekday]]+1,"Sunday","Monday","Tuesday","Wednesday","Thursday","Friday","Saturday")</f>
        <v>Monday</v>
      </c>
      <c r="K71" s="9">
        <v>1</v>
      </c>
      <c r="L71" s="38" t="str">
        <f>IF(Table1[[#This Row],[Weather_code]]=1,"Clear",IF(Table1[[#This Row],[Weather_code]]=2,"Cloudy",IF(Table1[[#This Row],[Weather_code]]=3,"Light Rain",IF(Table1[[#This Row],[Weather_code]]=4,"Heavy Rain"))))</f>
        <v>Clear</v>
      </c>
      <c r="M71" s="10">
        <v>0.18</v>
      </c>
      <c r="N71" s="11" t="str">
        <f t="shared" si="4"/>
        <v>Winter</v>
      </c>
      <c r="O71" s="11" t="str">
        <f t="shared" si="5"/>
        <v>Weekday</v>
      </c>
      <c r="P71" s="11">
        <f>VLOOKUP(A71,[1]Sheet1!$A:$H,2, FALSE)</f>
        <v>0.19700000000000001</v>
      </c>
      <c r="Q71" s="40">
        <f>Table1[[#This Row],[A_Temperature]]*41</f>
        <v>8.077</v>
      </c>
      <c r="R71" s="11">
        <f>VLOOKUP(A71,[1]Sheet1!$A:$G,3,FALSE)</f>
        <v>0.64</v>
      </c>
      <c r="S71" s="11">
        <f>VLOOKUP(A71,[1]Sheet1!$A:$G,4,FALSE)</f>
        <v>0.1343</v>
      </c>
      <c r="T71" s="11">
        <f>VLOOKUP(A71,[1]Sheet1!$A:$G,5,FALSE)</f>
        <v>3</v>
      </c>
      <c r="U71" s="11">
        <f>VLOOKUP(A71,[1]Sheet1!$A:$G,6,FALSE)</f>
        <v>49</v>
      </c>
      <c r="V71" s="18">
        <f>VLOOKUP(A71,[1]Sheet1!$A:$G,7,FALSE)</f>
        <v>52</v>
      </c>
    </row>
    <row r="72" spans="1:22" s="13" customFormat="1" ht="30" customHeight="1">
      <c r="A72" s="17">
        <v>68</v>
      </c>
      <c r="B72" s="8">
        <v>40603</v>
      </c>
      <c r="C72" s="8" t="str">
        <f t="shared" si="3"/>
        <v>Tuesday</v>
      </c>
      <c r="D72" s="9">
        <v>1</v>
      </c>
      <c r="E72" s="9">
        <v>0</v>
      </c>
      <c r="F72" s="9">
        <v>1</v>
      </c>
      <c r="G72" s="7">
        <v>22</v>
      </c>
      <c r="H72" s="9" t="b">
        <v>0</v>
      </c>
      <c r="I72" s="9">
        <v>1</v>
      </c>
      <c r="J72" s="38" t="str">
        <f>CHOOSE(Table1[[#This Row],[Weekday]]+1,"Sunday","Monday","Tuesday","Wednesday","Thursday","Friday","Saturday")</f>
        <v>Monday</v>
      </c>
      <c r="K72" s="9">
        <v>1</v>
      </c>
      <c r="L72" s="38" t="str">
        <f>IF(Table1[[#This Row],[Weather_code]]=1,"Clear",IF(Table1[[#This Row],[Weather_code]]=2,"Cloudy",IF(Table1[[#This Row],[Weather_code]]=3,"Light Rain",IF(Table1[[#This Row],[Weather_code]]=4,"Heavy Rain"))))</f>
        <v>Clear</v>
      </c>
      <c r="M72" s="10">
        <v>0.14000000000000001</v>
      </c>
      <c r="N72" s="11" t="str">
        <f t="shared" si="4"/>
        <v>Winter</v>
      </c>
      <c r="O72" s="11" t="str">
        <f t="shared" si="5"/>
        <v>Weekday</v>
      </c>
      <c r="P72" s="11">
        <f>VLOOKUP(A72,[1]Sheet1!$A:$H,2, FALSE)</f>
        <v>0.1515</v>
      </c>
      <c r="Q72" s="40">
        <f>Table1[[#This Row],[A_Temperature]]*41</f>
        <v>6.2115</v>
      </c>
      <c r="R72" s="11">
        <f>VLOOKUP(A72,[1]Sheet1!$A:$G,3,FALSE)</f>
        <v>0.69</v>
      </c>
      <c r="S72" s="11">
        <f>VLOOKUP(A72,[1]Sheet1!$A:$G,4,FALSE)</f>
        <v>0.1343</v>
      </c>
      <c r="T72" s="11">
        <f>VLOOKUP(A72,[1]Sheet1!$A:$G,5,FALSE)</f>
        <v>0</v>
      </c>
      <c r="U72" s="11">
        <f>VLOOKUP(A72,[1]Sheet1!$A:$G,6,FALSE)</f>
        <v>20</v>
      </c>
      <c r="V72" s="18">
        <f>VLOOKUP(A72,[1]Sheet1!$A:$G,7,FALSE)</f>
        <v>20</v>
      </c>
    </row>
    <row r="73" spans="1:22" s="13" customFormat="1" ht="30" customHeight="1">
      <c r="A73" s="17">
        <v>69</v>
      </c>
      <c r="B73" s="8">
        <v>40603</v>
      </c>
      <c r="C73" s="8" t="str">
        <f t="shared" si="3"/>
        <v>Tuesday</v>
      </c>
      <c r="D73" s="9">
        <v>1</v>
      </c>
      <c r="E73" s="9">
        <v>0</v>
      </c>
      <c r="F73" s="9">
        <v>1</v>
      </c>
      <c r="G73" s="7">
        <v>23</v>
      </c>
      <c r="H73" s="9" t="b">
        <v>0</v>
      </c>
      <c r="I73" s="9">
        <v>1</v>
      </c>
      <c r="J73" s="38" t="str">
        <f>CHOOSE(Table1[[#This Row],[Weekday]]+1,"Sunday","Monday","Tuesday","Wednesday","Thursday","Friday","Saturday")</f>
        <v>Monday</v>
      </c>
      <c r="K73" s="9">
        <v>1</v>
      </c>
      <c r="L73" s="38" t="str">
        <f>IF(Table1[[#This Row],[Weather_code]]=1,"Clear",IF(Table1[[#This Row],[Weather_code]]=2,"Cloudy",IF(Table1[[#This Row],[Weather_code]]=3,"Light Rain",IF(Table1[[#This Row],[Weather_code]]=4,"Heavy Rain"))))</f>
        <v>Clear</v>
      </c>
      <c r="M73" s="10">
        <v>0.18</v>
      </c>
      <c r="N73" s="11" t="str">
        <f t="shared" si="4"/>
        <v>Winter</v>
      </c>
      <c r="O73" s="11" t="str">
        <f t="shared" si="5"/>
        <v>Weekday</v>
      </c>
      <c r="P73" s="11">
        <f>VLOOKUP(A73,[1]Sheet1!$A:$H,2, FALSE)</f>
        <v>0.21210000000000001</v>
      </c>
      <c r="Q73" s="40">
        <f>Table1[[#This Row],[A_Temperature]]*41</f>
        <v>8.6961000000000013</v>
      </c>
      <c r="R73" s="11">
        <f>VLOOKUP(A73,[1]Sheet1!$A:$G,3,FALSE)</f>
        <v>0.55000000000000004</v>
      </c>
      <c r="S73" s="11">
        <f>VLOOKUP(A73,[1]Sheet1!$A:$G,4,FALSE)</f>
        <v>0.1045</v>
      </c>
      <c r="T73" s="11">
        <f>VLOOKUP(A73,[1]Sheet1!$A:$G,5,FALSE)</f>
        <v>1</v>
      </c>
      <c r="U73" s="11">
        <f>VLOOKUP(A73,[1]Sheet1!$A:$G,6,FALSE)</f>
        <v>11</v>
      </c>
      <c r="V73" s="18">
        <f>VLOOKUP(A73,[1]Sheet1!$A:$G,7,FALSE)</f>
        <v>12</v>
      </c>
    </row>
    <row r="74" spans="1:22" s="13" customFormat="1" ht="30" customHeight="1">
      <c r="A74" s="17">
        <v>70</v>
      </c>
      <c r="B74" s="8">
        <v>40634</v>
      </c>
      <c r="C74" s="8" t="str">
        <f t="shared" si="3"/>
        <v>Friday</v>
      </c>
      <c r="D74" s="9">
        <v>1</v>
      </c>
      <c r="E74" s="9">
        <v>0</v>
      </c>
      <c r="F74" s="9">
        <v>1</v>
      </c>
      <c r="G74" s="7">
        <v>0</v>
      </c>
      <c r="H74" s="9" t="b">
        <v>0</v>
      </c>
      <c r="I74" s="9">
        <v>2</v>
      </c>
      <c r="J74" s="38" t="str">
        <f>CHOOSE(Table1[[#This Row],[Weekday]]+1,"Sunday","Monday","Tuesday","Wednesday","Thursday","Friday","Saturday")</f>
        <v>Tuesday</v>
      </c>
      <c r="K74" s="9">
        <v>1</v>
      </c>
      <c r="L74" s="38" t="str">
        <f>IF(Table1[[#This Row],[Weather_code]]=1,"Clear",IF(Table1[[#This Row],[Weather_code]]=2,"Cloudy",IF(Table1[[#This Row],[Weather_code]]=3,"Light Rain",IF(Table1[[#This Row],[Weather_code]]=4,"Heavy Rain"))))</f>
        <v>Clear</v>
      </c>
      <c r="M74" s="10">
        <v>0.16</v>
      </c>
      <c r="N74" s="11" t="str">
        <f t="shared" si="4"/>
        <v>Winter</v>
      </c>
      <c r="O74" s="11" t="str">
        <f t="shared" si="5"/>
        <v>Weekday</v>
      </c>
      <c r="P74" s="11">
        <f>VLOOKUP(A74,[1]Sheet1!$A:$H,2, FALSE)</f>
        <v>0.19989999999999999</v>
      </c>
      <c r="Q74" s="40">
        <f>Table1[[#This Row],[A_Temperature]]*41</f>
        <v>8.1959</v>
      </c>
      <c r="R74" s="11">
        <f>VLOOKUP(A74,[1]Sheet1!$A:$G,3,FALSE)</f>
        <v>0.55000000000000004</v>
      </c>
      <c r="S74" s="11">
        <f>VLOOKUP(A74,[1]Sheet1!$A:$G,4,FALSE)</f>
        <v>0.1045</v>
      </c>
      <c r="T74" s="11">
        <f>VLOOKUP(A74,[1]Sheet1!$A:$G,5,FALSE)</f>
        <v>0</v>
      </c>
      <c r="U74" s="11">
        <f>VLOOKUP(A74,[1]Sheet1!$A:$G,6,FALSE)</f>
        <v>5</v>
      </c>
      <c r="V74" s="18">
        <f>VLOOKUP(A74,[1]Sheet1!$A:$G,7,FALSE)</f>
        <v>5</v>
      </c>
    </row>
    <row r="75" spans="1:22" s="13" customFormat="1" ht="30" customHeight="1">
      <c r="A75" s="17">
        <v>71</v>
      </c>
      <c r="B75" s="8">
        <v>40634</v>
      </c>
      <c r="C75" s="8" t="str">
        <f t="shared" si="3"/>
        <v>Friday</v>
      </c>
      <c r="D75" s="9">
        <v>1</v>
      </c>
      <c r="E75" s="9">
        <v>0</v>
      </c>
      <c r="F75" s="9">
        <v>1</v>
      </c>
      <c r="G75" s="7">
        <v>1</v>
      </c>
      <c r="H75" s="9" t="b">
        <v>0</v>
      </c>
      <c r="I75" s="9">
        <v>2</v>
      </c>
      <c r="J75" s="38" t="str">
        <f>CHOOSE(Table1[[#This Row],[Weekday]]+1,"Sunday","Monday","Tuesday","Wednesday","Thursday","Friday","Saturday")</f>
        <v>Tuesday</v>
      </c>
      <c r="K75" s="9">
        <v>1</v>
      </c>
      <c r="L75" s="38" t="str">
        <f>IF(Table1[[#This Row],[Weather_code]]=1,"Clear",IF(Table1[[#This Row],[Weather_code]]=2,"Cloudy",IF(Table1[[#This Row],[Weather_code]]=3,"Light Rain",IF(Table1[[#This Row],[Weather_code]]=4,"Heavy Rain"))))</f>
        <v>Clear</v>
      </c>
      <c r="M75" s="10">
        <v>0.16</v>
      </c>
      <c r="N75" s="11" t="str">
        <f t="shared" si="4"/>
        <v>Winter</v>
      </c>
      <c r="O75" s="11" t="str">
        <f t="shared" si="5"/>
        <v>Weekday</v>
      </c>
      <c r="P75" s="11">
        <f>VLOOKUP(A75,[1]Sheet1!$A:$H,2, FALSE)</f>
        <v>0.18179999999999999</v>
      </c>
      <c r="Q75" s="40">
        <f>Table1[[#This Row],[A_Temperature]]*41</f>
        <v>7.4537999999999993</v>
      </c>
      <c r="R75" s="11">
        <f>VLOOKUP(A75,[1]Sheet1!$A:$G,3,FALSE)</f>
        <v>0.59</v>
      </c>
      <c r="S75" s="11">
        <f>VLOOKUP(A75,[1]Sheet1!$A:$G,4,FALSE)</f>
        <v>0.1045</v>
      </c>
      <c r="T75" s="11">
        <f>VLOOKUP(A75,[1]Sheet1!$A:$G,5,FALSE)</f>
        <v>0</v>
      </c>
      <c r="U75" s="11">
        <f>VLOOKUP(A75,[1]Sheet1!$A:$G,6,FALSE)</f>
        <v>2</v>
      </c>
      <c r="V75" s="18">
        <f>VLOOKUP(A75,[1]Sheet1!$A:$G,7,FALSE)</f>
        <v>2</v>
      </c>
    </row>
    <row r="76" spans="1:22" s="13" customFormat="1" ht="30" customHeight="1">
      <c r="A76" s="17">
        <v>72</v>
      </c>
      <c r="B76" s="8">
        <v>40634</v>
      </c>
      <c r="C76" s="8" t="str">
        <f t="shared" si="3"/>
        <v>Friday</v>
      </c>
      <c r="D76" s="9">
        <v>1</v>
      </c>
      <c r="E76" s="9">
        <v>0</v>
      </c>
      <c r="F76" s="9">
        <v>1</v>
      </c>
      <c r="G76" s="7">
        <v>2</v>
      </c>
      <c r="H76" s="9" t="b">
        <v>0</v>
      </c>
      <c r="I76" s="9">
        <v>2</v>
      </c>
      <c r="J76" s="38" t="str">
        <f>CHOOSE(Table1[[#This Row],[Weekday]]+1,"Sunday","Monday","Tuesday","Wednesday","Thursday","Friday","Saturday")</f>
        <v>Tuesday</v>
      </c>
      <c r="K76" s="9">
        <v>1</v>
      </c>
      <c r="L76" s="38" t="str">
        <f>IF(Table1[[#This Row],[Weather_code]]=1,"Clear",IF(Table1[[#This Row],[Weather_code]]=2,"Cloudy",IF(Table1[[#This Row],[Weather_code]]=3,"Light Rain",IF(Table1[[#This Row],[Weather_code]]=4,"Heavy Rain"))))</f>
        <v>Clear</v>
      </c>
      <c r="M76" s="10">
        <v>0.14000000000000001</v>
      </c>
      <c r="N76" s="11" t="str">
        <f t="shared" si="4"/>
        <v>Winter</v>
      </c>
      <c r="O76" s="11" t="str">
        <f t="shared" si="5"/>
        <v>Weekday</v>
      </c>
      <c r="P76" s="11">
        <f>VLOOKUP(A76,[1]Sheet1!$A:$H,2, FALSE)</f>
        <v>0.1515</v>
      </c>
      <c r="Q76" s="40">
        <f>Table1[[#This Row],[A_Temperature]]*41</f>
        <v>6.2115</v>
      </c>
      <c r="R76" s="11">
        <f>VLOOKUP(A76,[1]Sheet1!$A:$G,3,FALSE)</f>
        <v>0.63</v>
      </c>
      <c r="S76" s="11">
        <f>VLOOKUP(A76,[1]Sheet1!$A:$G,4,FALSE)</f>
        <v>0.1343</v>
      </c>
      <c r="T76" s="11">
        <f>VLOOKUP(A76,[1]Sheet1!$A:$G,5,FALSE)</f>
        <v>0</v>
      </c>
      <c r="U76" s="11">
        <f>VLOOKUP(A76,[1]Sheet1!$A:$G,6,FALSE)</f>
        <v>1</v>
      </c>
      <c r="V76" s="18">
        <f>VLOOKUP(A76,[1]Sheet1!$A:$G,7,FALSE)</f>
        <v>1</v>
      </c>
    </row>
    <row r="77" spans="1:22" s="13" customFormat="1" ht="30" customHeight="1">
      <c r="A77" s="17">
        <v>73</v>
      </c>
      <c r="B77" s="8">
        <v>40634</v>
      </c>
      <c r="C77" s="8" t="str">
        <f t="shared" si="3"/>
        <v>Friday</v>
      </c>
      <c r="D77" s="9">
        <v>1</v>
      </c>
      <c r="E77" s="9">
        <v>0</v>
      </c>
      <c r="F77" s="9">
        <v>1</v>
      </c>
      <c r="G77" s="7">
        <v>4</v>
      </c>
      <c r="H77" s="9" t="b">
        <v>0</v>
      </c>
      <c r="I77" s="9">
        <v>2</v>
      </c>
      <c r="J77" s="38" t="str">
        <f>CHOOSE(Table1[[#This Row],[Weekday]]+1,"Sunday","Monday","Tuesday","Wednesday","Thursday","Friday","Saturday")</f>
        <v>Tuesday</v>
      </c>
      <c r="K77" s="9">
        <v>1</v>
      </c>
      <c r="L77" s="38" t="str">
        <f>IF(Table1[[#This Row],[Weather_code]]=1,"Clear",IF(Table1[[#This Row],[Weather_code]]=2,"Cloudy",IF(Table1[[#This Row],[Weather_code]]=3,"Light Rain",IF(Table1[[#This Row],[Weather_code]]=4,"Heavy Rain"))))</f>
        <v>Clear</v>
      </c>
      <c r="M77" s="10">
        <v>0.14000000000000001</v>
      </c>
      <c r="N77" s="11" t="str">
        <f t="shared" si="4"/>
        <v>Winter</v>
      </c>
      <c r="O77" s="11" t="str">
        <f t="shared" si="5"/>
        <v>Weekday</v>
      </c>
      <c r="P77" s="11">
        <f>VLOOKUP(A77,[1]Sheet1!$A:$H,2, FALSE)</f>
        <v>0.18179999999999999</v>
      </c>
      <c r="Q77" s="40">
        <f>Table1[[#This Row],[A_Temperature]]*41</f>
        <v>7.4537999999999993</v>
      </c>
      <c r="R77" s="11">
        <f>VLOOKUP(A77,[1]Sheet1!$A:$G,3,FALSE)</f>
        <v>0.63</v>
      </c>
      <c r="S77" s="11">
        <f>VLOOKUP(A77,[1]Sheet1!$A:$G,4,FALSE)</f>
        <v>8.9599999999999999E-2</v>
      </c>
      <c r="T77" s="11">
        <f>VLOOKUP(A77,[1]Sheet1!$A:$G,5,FALSE)</f>
        <v>0</v>
      </c>
      <c r="U77" s="11">
        <f>VLOOKUP(A77,[1]Sheet1!$A:$G,6,FALSE)</f>
        <v>2</v>
      </c>
      <c r="V77" s="18">
        <f>VLOOKUP(A77,[1]Sheet1!$A:$G,7,FALSE)</f>
        <v>2</v>
      </c>
    </row>
    <row r="78" spans="1:22" s="13" customFormat="1" ht="30" customHeight="1">
      <c r="A78" s="17">
        <v>74</v>
      </c>
      <c r="B78" s="8">
        <v>40634</v>
      </c>
      <c r="C78" s="8" t="str">
        <f t="shared" si="3"/>
        <v>Friday</v>
      </c>
      <c r="D78" s="9">
        <v>1</v>
      </c>
      <c r="E78" s="9">
        <v>0</v>
      </c>
      <c r="F78" s="9">
        <v>1</v>
      </c>
      <c r="G78" s="7">
        <v>5</v>
      </c>
      <c r="H78" s="9" t="b">
        <v>0</v>
      </c>
      <c r="I78" s="9">
        <v>2</v>
      </c>
      <c r="J78" s="38" t="str">
        <f>CHOOSE(Table1[[#This Row],[Weekday]]+1,"Sunday","Monday","Tuesday","Wednesday","Thursday","Friday","Saturday")</f>
        <v>Tuesday</v>
      </c>
      <c r="K78" s="9">
        <v>1</v>
      </c>
      <c r="L78" s="38" t="str">
        <f>IF(Table1[[#This Row],[Weather_code]]=1,"Clear",IF(Table1[[#This Row],[Weather_code]]=2,"Cloudy",IF(Table1[[#This Row],[Weather_code]]=3,"Light Rain",IF(Table1[[#This Row],[Weather_code]]=4,"Heavy Rain"))))</f>
        <v>Clear</v>
      </c>
      <c r="M78" s="10">
        <v>0.12</v>
      </c>
      <c r="N78" s="11" t="str">
        <f t="shared" si="4"/>
        <v>Winter</v>
      </c>
      <c r="O78" s="11" t="str">
        <f t="shared" si="5"/>
        <v>Weekday</v>
      </c>
      <c r="P78" s="11">
        <f>VLOOKUP(A78,[1]Sheet1!$A:$H,2, FALSE)</f>
        <v>0.1515</v>
      </c>
      <c r="Q78" s="40">
        <f>Table1[[#This Row],[A_Temperature]]*41</f>
        <v>6.2115</v>
      </c>
      <c r="R78" s="11">
        <f>VLOOKUP(A78,[1]Sheet1!$A:$G,3,FALSE)</f>
        <v>0.68</v>
      </c>
      <c r="S78" s="11">
        <f>VLOOKUP(A78,[1]Sheet1!$A:$G,4,FALSE)</f>
        <v>0.1045</v>
      </c>
      <c r="T78" s="11">
        <f>VLOOKUP(A78,[1]Sheet1!$A:$G,5,FALSE)</f>
        <v>0</v>
      </c>
      <c r="U78" s="11">
        <f>VLOOKUP(A78,[1]Sheet1!$A:$G,6,FALSE)</f>
        <v>4</v>
      </c>
      <c r="V78" s="18">
        <f>VLOOKUP(A78,[1]Sheet1!$A:$G,7,FALSE)</f>
        <v>4</v>
      </c>
    </row>
    <row r="79" spans="1:22" s="13" customFormat="1" ht="30" customHeight="1">
      <c r="A79" s="17">
        <v>75</v>
      </c>
      <c r="B79" s="8">
        <v>40634</v>
      </c>
      <c r="C79" s="8" t="str">
        <f t="shared" si="3"/>
        <v>Friday</v>
      </c>
      <c r="D79" s="9">
        <v>1</v>
      </c>
      <c r="E79" s="9">
        <v>0</v>
      </c>
      <c r="F79" s="9">
        <v>1</v>
      </c>
      <c r="G79" s="7">
        <v>6</v>
      </c>
      <c r="H79" s="9" t="b">
        <v>0</v>
      </c>
      <c r="I79" s="9">
        <v>2</v>
      </c>
      <c r="J79" s="38" t="str">
        <f>CHOOSE(Table1[[#This Row],[Weekday]]+1,"Sunday","Monday","Tuesday","Wednesday","Thursday","Friday","Saturday")</f>
        <v>Tuesday</v>
      </c>
      <c r="K79" s="9">
        <v>1</v>
      </c>
      <c r="L79" s="38" t="str">
        <f>IF(Table1[[#This Row],[Weather_code]]=1,"Clear",IF(Table1[[#This Row],[Weather_code]]=2,"Cloudy",IF(Table1[[#This Row],[Weather_code]]=3,"Light Rain",IF(Table1[[#This Row],[Weather_code]]=4,"Heavy Rain"))))</f>
        <v>Clear</v>
      </c>
      <c r="M79" s="10">
        <v>0.12</v>
      </c>
      <c r="N79" s="11" t="str">
        <f t="shared" si="4"/>
        <v>Winter</v>
      </c>
      <c r="O79" s="11" t="str">
        <f t="shared" si="5"/>
        <v>Weekday</v>
      </c>
      <c r="P79" s="11">
        <f>VLOOKUP(A79,[1]Sheet1!$A:$H,2, FALSE)</f>
        <v>0.1515</v>
      </c>
      <c r="Q79" s="40">
        <f>Table1[[#This Row],[A_Temperature]]*41</f>
        <v>6.2115</v>
      </c>
      <c r="R79" s="11">
        <f>VLOOKUP(A79,[1]Sheet1!$A:$G,3,FALSE)</f>
        <v>0.74</v>
      </c>
      <c r="S79" s="11">
        <f>VLOOKUP(A79,[1]Sheet1!$A:$G,4,FALSE)</f>
        <v>0.1045</v>
      </c>
      <c r="T79" s="11">
        <f>VLOOKUP(A79,[1]Sheet1!$A:$G,5,FALSE)</f>
        <v>0</v>
      </c>
      <c r="U79" s="11">
        <f>VLOOKUP(A79,[1]Sheet1!$A:$G,6,FALSE)</f>
        <v>36</v>
      </c>
      <c r="V79" s="18">
        <f>VLOOKUP(A79,[1]Sheet1!$A:$G,7,FALSE)</f>
        <v>36</v>
      </c>
    </row>
    <row r="80" spans="1:22" s="13" customFormat="1" ht="30" customHeight="1">
      <c r="A80" s="17">
        <v>76</v>
      </c>
      <c r="B80" s="8">
        <v>40634</v>
      </c>
      <c r="C80" s="8" t="str">
        <f t="shared" si="3"/>
        <v>Friday</v>
      </c>
      <c r="D80" s="9">
        <v>1</v>
      </c>
      <c r="E80" s="9">
        <v>0</v>
      </c>
      <c r="F80" s="9">
        <v>1</v>
      </c>
      <c r="G80" s="7">
        <v>7</v>
      </c>
      <c r="H80" s="9" t="b">
        <v>0</v>
      </c>
      <c r="I80" s="9">
        <v>2</v>
      </c>
      <c r="J80" s="38" t="str">
        <f>CHOOSE(Table1[[#This Row],[Weekday]]+1,"Sunday","Monday","Tuesday","Wednesday","Thursday","Friday","Saturday")</f>
        <v>Tuesday</v>
      </c>
      <c r="K80" s="9">
        <v>1</v>
      </c>
      <c r="L80" s="38" t="str">
        <f>IF(Table1[[#This Row],[Weather_code]]=1,"Clear",IF(Table1[[#This Row],[Weather_code]]=2,"Cloudy",IF(Table1[[#This Row],[Weather_code]]=3,"Light Rain",IF(Table1[[#This Row],[Weather_code]]=4,"Heavy Rain"))))</f>
        <v>Clear</v>
      </c>
      <c r="M80" s="10">
        <v>0.12</v>
      </c>
      <c r="N80" s="11" t="str">
        <f t="shared" si="4"/>
        <v>Winter</v>
      </c>
      <c r="O80" s="11" t="str">
        <f t="shared" si="5"/>
        <v>Weekday</v>
      </c>
      <c r="P80" s="11">
        <f>VLOOKUP(A80,[1]Sheet1!$A:$H,2, FALSE)</f>
        <v>0.1515</v>
      </c>
      <c r="Q80" s="40">
        <f>Table1[[#This Row],[A_Temperature]]*41</f>
        <v>6.2115</v>
      </c>
      <c r="R80" s="11">
        <f>VLOOKUP(A80,[1]Sheet1!$A:$G,3,FALSE)</f>
        <v>0.74</v>
      </c>
      <c r="S80" s="11">
        <f>VLOOKUP(A80,[1]Sheet1!$A:$G,4,FALSE)</f>
        <v>0.1343</v>
      </c>
      <c r="T80" s="11">
        <f>VLOOKUP(A80,[1]Sheet1!$A:$G,5,FALSE)</f>
        <v>2</v>
      </c>
      <c r="U80" s="11">
        <f>VLOOKUP(A80,[1]Sheet1!$A:$G,6,FALSE)</f>
        <v>92</v>
      </c>
      <c r="V80" s="18">
        <f>VLOOKUP(A80,[1]Sheet1!$A:$G,7,FALSE)</f>
        <v>94</v>
      </c>
    </row>
    <row r="81" spans="1:22" s="13" customFormat="1" ht="30" customHeight="1">
      <c r="A81" s="17">
        <v>77</v>
      </c>
      <c r="B81" s="8">
        <v>40634</v>
      </c>
      <c r="C81" s="8" t="str">
        <f t="shared" si="3"/>
        <v>Friday</v>
      </c>
      <c r="D81" s="9">
        <v>1</v>
      </c>
      <c r="E81" s="9">
        <v>0</v>
      </c>
      <c r="F81" s="9">
        <v>1</v>
      </c>
      <c r="G81" s="7">
        <v>8</v>
      </c>
      <c r="H81" s="9" t="b">
        <v>0</v>
      </c>
      <c r="I81" s="9">
        <v>2</v>
      </c>
      <c r="J81" s="38" t="str">
        <f>CHOOSE(Table1[[#This Row],[Weekday]]+1,"Sunday","Monday","Tuesday","Wednesday","Thursday","Friday","Saturday")</f>
        <v>Tuesday</v>
      </c>
      <c r="K81" s="9">
        <v>1</v>
      </c>
      <c r="L81" s="38" t="str">
        <f>IF(Table1[[#This Row],[Weather_code]]=1,"Clear",IF(Table1[[#This Row],[Weather_code]]=2,"Cloudy",IF(Table1[[#This Row],[Weather_code]]=3,"Light Rain",IF(Table1[[#This Row],[Weather_code]]=4,"Heavy Rain"))))</f>
        <v>Clear</v>
      </c>
      <c r="M81" s="10">
        <v>0.14000000000000001</v>
      </c>
      <c r="N81" s="11" t="str">
        <f t="shared" si="4"/>
        <v>Winter</v>
      </c>
      <c r="O81" s="11" t="str">
        <f t="shared" si="5"/>
        <v>Weekday</v>
      </c>
      <c r="P81" s="11">
        <f>VLOOKUP(A81,[1]Sheet1!$A:$H,2, FALSE)</f>
        <v>0.1515</v>
      </c>
      <c r="Q81" s="40">
        <f>Table1[[#This Row],[A_Temperature]]*41</f>
        <v>6.2115</v>
      </c>
      <c r="R81" s="11">
        <f>VLOOKUP(A81,[1]Sheet1!$A:$G,3,FALSE)</f>
        <v>0.69</v>
      </c>
      <c r="S81" s="11">
        <f>VLOOKUP(A81,[1]Sheet1!$A:$G,4,FALSE)</f>
        <v>0.16420000000000001</v>
      </c>
      <c r="T81" s="11">
        <f>VLOOKUP(A81,[1]Sheet1!$A:$G,5,FALSE)</f>
        <v>2</v>
      </c>
      <c r="U81" s="11">
        <f>VLOOKUP(A81,[1]Sheet1!$A:$G,6,FALSE)</f>
        <v>177</v>
      </c>
      <c r="V81" s="18">
        <f>VLOOKUP(A81,[1]Sheet1!$A:$G,7,FALSE)</f>
        <v>179</v>
      </c>
    </row>
    <row r="82" spans="1:22" s="13" customFormat="1" ht="30" customHeight="1">
      <c r="A82" s="17">
        <v>78</v>
      </c>
      <c r="B82" s="8">
        <v>40634</v>
      </c>
      <c r="C82" s="8" t="str">
        <f t="shared" si="3"/>
        <v>Friday</v>
      </c>
      <c r="D82" s="9">
        <v>1</v>
      </c>
      <c r="E82" s="9">
        <v>0</v>
      </c>
      <c r="F82" s="9">
        <v>1</v>
      </c>
      <c r="G82" s="7">
        <v>9</v>
      </c>
      <c r="H82" s="9" t="b">
        <v>0</v>
      </c>
      <c r="I82" s="9">
        <v>2</v>
      </c>
      <c r="J82" s="38" t="str">
        <f>CHOOSE(Table1[[#This Row],[Weekday]]+1,"Sunday","Monday","Tuesday","Wednesday","Thursday","Friday","Saturday")</f>
        <v>Tuesday</v>
      </c>
      <c r="K82" s="9">
        <v>1</v>
      </c>
      <c r="L82" s="38" t="str">
        <f>IF(Table1[[#This Row],[Weather_code]]=1,"Clear",IF(Table1[[#This Row],[Weather_code]]=2,"Cloudy",IF(Table1[[#This Row],[Weather_code]]=3,"Light Rain",IF(Table1[[#This Row],[Weather_code]]=4,"Heavy Rain"))))</f>
        <v>Clear</v>
      </c>
      <c r="M82" s="10">
        <v>0.16</v>
      </c>
      <c r="N82" s="11" t="str">
        <f t="shared" si="4"/>
        <v>Winter</v>
      </c>
      <c r="O82" s="11" t="str">
        <f t="shared" si="5"/>
        <v>Weekday</v>
      </c>
      <c r="P82" s="11">
        <f>VLOOKUP(A82,[1]Sheet1!$A:$H,2, FALSE)</f>
        <v>0.1515</v>
      </c>
      <c r="Q82" s="40">
        <f>Table1[[#This Row],[A_Temperature]]*41</f>
        <v>6.2115</v>
      </c>
      <c r="R82" s="11">
        <f>VLOOKUP(A82,[1]Sheet1!$A:$G,3,FALSE)</f>
        <v>0.64</v>
      </c>
      <c r="S82" s="11">
        <f>VLOOKUP(A82,[1]Sheet1!$A:$G,4,FALSE)</f>
        <v>0.22389999999999999</v>
      </c>
      <c r="T82" s="11">
        <f>VLOOKUP(A82,[1]Sheet1!$A:$G,5,FALSE)</f>
        <v>2</v>
      </c>
      <c r="U82" s="11">
        <f>VLOOKUP(A82,[1]Sheet1!$A:$G,6,FALSE)</f>
        <v>98</v>
      </c>
      <c r="V82" s="18">
        <f>VLOOKUP(A82,[1]Sheet1!$A:$G,7,FALSE)</f>
        <v>100</v>
      </c>
    </row>
    <row r="83" spans="1:22" s="13" customFormat="1" ht="30" customHeight="1">
      <c r="A83" s="17">
        <v>79</v>
      </c>
      <c r="B83" s="8">
        <v>40634</v>
      </c>
      <c r="C83" s="8" t="str">
        <f t="shared" si="3"/>
        <v>Friday</v>
      </c>
      <c r="D83" s="9">
        <v>1</v>
      </c>
      <c r="E83" s="9">
        <v>0</v>
      </c>
      <c r="F83" s="9">
        <v>1</v>
      </c>
      <c r="G83" s="7">
        <v>10</v>
      </c>
      <c r="H83" s="9" t="b">
        <v>0</v>
      </c>
      <c r="I83" s="9">
        <v>2</v>
      </c>
      <c r="J83" s="38" t="str">
        <f>CHOOSE(Table1[[#This Row],[Weekday]]+1,"Sunday","Monday","Tuesday","Wednesday","Thursday","Friday","Saturday")</f>
        <v>Tuesday</v>
      </c>
      <c r="K83" s="9">
        <v>2</v>
      </c>
      <c r="L83" s="38" t="str">
        <f>IF(Table1[[#This Row],[Weather_code]]=1,"Clear",IF(Table1[[#This Row],[Weather_code]]=2,"Cloudy",IF(Table1[[#This Row],[Weather_code]]=3,"Light Rain",IF(Table1[[#This Row],[Weather_code]]=4,"Heavy Rain"))))</f>
        <v>Cloudy</v>
      </c>
      <c r="M83" s="10">
        <v>0.16</v>
      </c>
      <c r="N83" s="11" t="str">
        <f t="shared" si="4"/>
        <v>Winter</v>
      </c>
      <c r="O83" s="11" t="str">
        <f t="shared" si="5"/>
        <v>Weekday</v>
      </c>
      <c r="P83" s="11">
        <f>VLOOKUP(A83,[1]Sheet1!$A:$H,2, FALSE)</f>
        <v>0.13639999999999999</v>
      </c>
      <c r="Q83" s="40">
        <f>Table1[[#This Row],[A_Temperature]]*41</f>
        <v>5.5923999999999996</v>
      </c>
      <c r="R83" s="11">
        <f>VLOOKUP(A83,[1]Sheet1!$A:$G,3,FALSE)</f>
        <v>0.69</v>
      </c>
      <c r="S83" s="11">
        <f>VLOOKUP(A83,[1]Sheet1!$A:$G,4,FALSE)</f>
        <v>0.32840000000000003</v>
      </c>
      <c r="T83" s="11">
        <f>VLOOKUP(A83,[1]Sheet1!$A:$G,5,FALSE)</f>
        <v>5</v>
      </c>
      <c r="U83" s="11">
        <f>VLOOKUP(A83,[1]Sheet1!$A:$G,6,FALSE)</f>
        <v>37</v>
      </c>
      <c r="V83" s="18">
        <f>VLOOKUP(A83,[1]Sheet1!$A:$G,7,FALSE)</f>
        <v>42</v>
      </c>
    </row>
    <row r="84" spans="1:22" s="13" customFormat="1" ht="30" customHeight="1">
      <c r="A84" s="17">
        <v>80</v>
      </c>
      <c r="B84" s="8">
        <v>40634</v>
      </c>
      <c r="C84" s="8" t="str">
        <f t="shared" si="3"/>
        <v>Friday</v>
      </c>
      <c r="D84" s="9">
        <v>1</v>
      </c>
      <c r="E84" s="9">
        <v>0</v>
      </c>
      <c r="F84" s="9">
        <v>1</v>
      </c>
      <c r="G84" s="7">
        <v>11</v>
      </c>
      <c r="H84" s="9" t="b">
        <v>0</v>
      </c>
      <c r="I84" s="9">
        <v>2</v>
      </c>
      <c r="J84" s="38" t="str">
        <f>CHOOSE(Table1[[#This Row],[Weekday]]+1,"Sunday","Monday","Tuesday","Wednesday","Thursday","Friday","Saturday")</f>
        <v>Tuesday</v>
      </c>
      <c r="K84" s="9">
        <v>1</v>
      </c>
      <c r="L84" s="38" t="str">
        <f>IF(Table1[[#This Row],[Weather_code]]=1,"Clear",IF(Table1[[#This Row],[Weather_code]]=2,"Cloudy",IF(Table1[[#This Row],[Weather_code]]=3,"Light Rain",IF(Table1[[#This Row],[Weather_code]]=4,"Heavy Rain"))))</f>
        <v>Clear</v>
      </c>
      <c r="M84" s="10">
        <v>0.22</v>
      </c>
      <c r="N84" s="11" t="str">
        <f t="shared" si="4"/>
        <v>Winter</v>
      </c>
      <c r="O84" s="11" t="str">
        <f t="shared" si="5"/>
        <v>Weekday</v>
      </c>
      <c r="P84" s="11">
        <f>VLOOKUP(A84,[1]Sheet1!$A:$H,2, FALSE)</f>
        <v>0.21210000000000001</v>
      </c>
      <c r="Q84" s="40">
        <f>Table1[[#This Row],[A_Temperature]]*41</f>
        <v>8.6961000000000013</v>
      </c>
      <c r="R84" s="11">
        <f>VLOOKUP(A84,[1]Sheet1!$A:$G,3,FALSE)</f>
        <v>0.51</v>
      </c>
      <c r="S84" s="11">
        <f>VLOOKUP(A84,[1]Sheet1!$A:$G,4,FALSE)</f>
        <v>0.29849999999999999</v>
      </c>
      <c r="T84" s="11">
        <f>VLOOKUP(A84,[1]Sheet1!$A:$G,5,FALSE)</f>
        <v>7</v>
      </c>
      <c r="U84" s="11">
        <f>VLOOKUP(A84,[1]Sheet1!$A:$G,6,FALSE)</f>
        <v>50</v>
      </c>
      <c r="V84" s="18">
        <f>VLOOKUP(A84,[1]Sheet1!$A:$G,7,FALSE)</f>
        <v>57</v>
      </c>
    </row>
    <row r="85" spans="1:22" s="13" customFormat="1" ht="30" customHeight="1">
      <c r="A85" s="17">
        <v>81</v>
      </c>
      <c r="B85" s="8">
        <v>40634</v>
      </c>
      <c r="C85" s="8" t="str">
        <f t="shared" si="3"/>
        <v>Friday</v>
      </c>
      <c r="D85" s="9">
        <v>1</v>
      </c>
      <c r="E85" s="9">
        <v>0</v>
      </c>
      <c r="F85" s="9">
        <v>1</v>
      </c>
      <c r="G85" s="7">
        <v>12</v>
      </c>
      <c r="H85" s="9" t="b">
        <v>0</v>
      </c>
      <c r="I85" s="9">
        <v>2</v>
      </c>
      <c r="J85" s="38" t="str">
        <f>CHOOSE(Table1[[#This Row],[Weekday]]+1,"Sunday","Monday","Tuesday","Wednesday","Thursday","Friday","Saturday")</f>
        <v>Tuesday</v>
      </c>
      <c r="K85" s="9">
        <v>1</v>
      </c>
      <c r="L85" s="38" t="str">
        <f>IF(Table1[[#This Row],[Weather_code]]=1,"Clear",IF(Table1[[#This Row],[Weather_code]]=2,"Cloudy",IF(Table1[[#This Row],[Weather_code]]=3,"Light Rain",IF(Table1[[#This Row],[Weather_code]]=4,"Heavy Rain"))))</f>
        <v>Clear</v>
      </c>
      <c r="M85" s="10">
        <v>0.22</v>
      </c>
      <c r="N85" s="11" t="str">
        <f t="shared" si="4"/>
        <v>Winter</v>
      </c>
      <c r="O85" s="11" t="str">
        <f t="shared" si="5"/>
        <v>Weekday</v>
      </c>
      <c r="P85" s="11">
        <f>VLOOKUP(A85,[1]Sheet1!$A:$H,2, FALSE)</f>
        <v>0.2273</v>
      </c>
      <c r="Q85" s="40">
        <f>Table1[[#This Row],[A_Temperature]]*41</f>
        <v>9.3193000000000001</v>
      </c>
      <c r="R85" s="11">
        <f>VLOOKUP(A85,[1]Sheet1!$A:$G,3,FALSE)</f>
        <v>0.51</v>
      </c>
      <c r="S85" s="11">
        <f>VLOOKUP(A85,[1]Sheet1!$A:$G,4,FALSE)</f>
        <v>0.16420000000000001</v>
      </c>
      <c r="T85" s="11">
        <f>VLOOKUP(A85,[1]Sheet1!$A:$G,5,FALSE)</f>
        <v>12</v>
      </c>
      <c r="U85" s="11">
        <f>VLOOKUP(A85,[1]Sheet1!$A:$G,6,FALSE)</f>
        <v>66</v>
      </c>
      <c r="V85" s="18">
        <f>VLOOKUP(A85,[1]Sheet1!$A:$G,7,FALSE)</f>
        <v>78</v>
      </c>
    </row>
    <row r="86" spans="1:22" s="13" customFormat="1" ht="30" customHeight="1">
      <c r="A86" s="17">
        <v>82</v>
      </c>
      <c r="B86" s="8">
        <v>40634</v>
      </c>
      <c r="C86" s="8" t="str">
        <f t="shared" si="3"/>
        <v>Friday</v>
      </c>
      <c r="D86" s="9">
        <v>1</v>
      </c>
      <c r="E86" s="9">
        <v>0</v>
      </c>
      <c r="F86" s="9">
        <v>1</v>
      </c>
      <c r="G86" s="7">
        <v>13</v>
      </c>
      <c r="H86" s="9" t="b">
        <v>0</v>
      </c>
      <c r="I86" s="9">
        <v>2</v>
      </c>
      <c r="J86" s="38" t="str">
        <f>CHOOSE(Table1[[#This Row],[Weekday]]+1,"Sunday","Monday","Tuesday","Wednesday","Thursday","Friday","Saturday")</f>
        <v>Tuesday</v>
      </c>
      <c r="K86" s="9">
        <v>1</v>
      </c>
      <c r="L86" s="38" t="str">
        <f>IF(Table1[[#This Row],[Weather_code]]=1,"Clear",IF(Table1[[#This Row],[Weather_code]]=2,"Cloudy",IF(Table1[[#This Row],[Weather_code]]=3,"Light Rain",IF(Table1[[#This Row],[Weather_code]]=4,"Heavy Rain"))))</f>
        <v>Clear</v>
      </c>
      <c r="M86" s="10">
        <v>0.24</v>
      </c>
      <c r="N86" s="11" t="str">
        <f t="shared" si="4"/>
        <v>Winter</v>
      </c>
      <c r="O86" s="11" t="str">
        <f t="shared" si="5"/>
        <v>Weekday</v>
      </c>
      <c r="P86" s="11">
        <f>VLOOKUP(A86,[1]Sheet1!$A:$H,2, FALSE)</f>
        <v>0.2273</v>
      </c>
      <c r="Q86" s="40">
        <f>Table1[[#This Row],[A_Temperature]]*41</f>
        <v>9.3193000000000001</v>
      </c>
      <c r="R86" s="11">
        <f>VLOOKUP(A86,[1]Sheet1!$A:$G,3,FALSE)</f>
        <v>0.56000000000000005</v>
      </c>
      <c r="S86" s="11">
        <f>VLOOKUP(A86,[1]Sheet1!$A:$G,4,FALSE)</f>
        <v>0.19400000000000001</v>
      </c>
      <c r="T86" s="11">
        <f>VLOOKUP(A86,[1]Sheet1!$A:$G,5,FALSE)</f>
        <v>18</v>
      </c>
      <c r="U86" s="11">
        <f>VLOOKUP(A86,[1]Sheet1!$A:$G,6,FALSE)</f>
        <v>79</v>
      </c>
      <c r="V86" s="18">
        <f>VLOOKUP(A86,[1]Sheet1!$A:$G,7,FALSE)</f>
        <v>97</v>
      </c>
    </row>
    <row r="87" spans="1:22" s="13" customFormat="1" ht="30" customHeight="1">
      <c r="A87" s="17">
        <v>83</v>
      </c>
      <c r="B87" s="8">
        <v>40634</v>
      </c>
      <c r="C87" s="8" t="str">
        <f t="shared" si="3"/>
        <v>Friday</v>
      </c>
      <c r="D87" s="9">
        <v>1</v>
      </c>
      <c r="E87" s="9">
        <v>0</v>
      </c>
      <c r="F87" s="9">
        <v>1</v>
      </c>
      <c r="G87" s="7">
        <v>14</v>
      </c>
      <c r="H87" s="9" t="b">
        <v>0</v>
      </c>
      <c r="I87" s="9">
        <v>2</v>
      </c>
      <c r="J87" s="38" t="str">
        <f>CHOOSE(Table1[[#This Row],[Weekday]]+1,"Sunday","Monday","Tuesday","Wednesday","Thursday","Friday","Saturday")</f>
        <v>Tuesday</v>
      </c>
      <c r="K87" s="9">
        <v>1</v>
      </c>
      <c r="L87" s="38" t="str">
        <f>IF(Table1[[#This Row],[Weather_code]]=1,"Clear",IF(Table1[[#This Row],[Weather_code]]=2,"Cloudy",IF(Table1[[#This Row],[Weather_code]]=3,"Light Rain",IF(Table1[[#This Row],[Weather_code]]=4,"Heavy Rain"))))</f>
        <v>Clear</v>
      </c>
      <c r="M87" s="10">
        <v>0.26</v>
      </c>
      <c r="N87" s="11" t="str">
        <f t="shared" si="4"/>
        <v>Winter</v>
      </c>
      <c r="O87" s="11" t="str">
        <f t="shared" si="5"/>
        <v>Weekday</v>
      </c>
      <c r="P87" s="11">
        <f>VLOOKUP(A87,[1]Sheet1!$A:$H,2, FALSE)</f>
        <v>0.2576</v>
      </c>
      <c r="Q87" s="40">
        <f>Table1[[#This Row],[A_Temperature]]*41</f>
        <v>10.5616</v>
      </c>
      <c r="R87" s="11">
        <f>VLOOKUP(A87,[1]Sheet1!$A:$G,3,FALSE)</f>
        <v>0.52</v>
      </c>
      <c r="S87" s="11">
        <f>VLOOKUP(A87,[1]Sheet1!$A:$G,4,FALSE)</f>
        <v>0.22389999999999999</v>
      </c>
      <c r="T87" s="11">
        <f>VLOOKUP(A87,[1]Sheet1!$A:$G,5,FALSE)</f>
        <v>9</v>
      </c>
      <c r="U87" s="11">
        <f>VLOOKUP(A87,[1]Sheet1!$A:$G,6,FALSE)</f>
        <v>54</v>
      </c>
      <c r="V87" s="18">
        <f>VLOOKUP(A87,[1]Sheet1!$A:$G,7,FALSE)</f>
        <v>63</v>
      </c>
    </row>
    <row r="88" spans="1:22" s="13" customFormat="1" ht="30" customHeight="1">
      <c r="A88" s="17">
        <v>84</v>
      </c>
      <c r="B88" s="8">
        <v>40634</v>
      </c>
      <c r="C88" s="8" t="str">
        <f t="shared" si="3"/>
        <v>Friday</v>
      </c>
      <c r="D88" s="9">
        <v>1</v>
      </c>
      <c r="E88" s="9">
        <v>0</v>
      </c>
      <c r="F88" s="9">
        <v>1</v>
      </c>
      <c r="G88" s="7">
        <v>15</v>
      </c>
      <c r="H88" s="9" t="b">
        <v>0</v>
      </c>
      <c r="I88" s="9">
        <v>2</v>
      </c>
      <c r="J88" s="38" t="str">
        <f>CHOOSE(Table1[[#This Row],[Weekday]]+1,"Sunday","Monday","Tuesday","Wednesday","Thursday","Friday","Saturday")</f>
        <v>Tuesday</v>
      </c>
      <c r="K88" s="9">
        <v>1</v>
      </c>
      <c r="L88" s="38" t="str">
        <f>IF(Table1[[#This Row],[Weather_code]]=1,"Clear",IF(Table1[[#This Row],[Weather_code]]=2,"Cloudy",IF(Table1[[#This Row],[Weather_code]]=3,"Light Rain",IF(Table1[[#This Row],[Weather_code]]=4,"Heavy Rain"))))</f>
        <v>Clear</v>
      </c>
      <c r="M88" s="10">
        <v>0.28000000000000003</v>
      </c>
      <c r="N88" s="11" t="str">
        <f t="shared" si="4"/>
        <v>Winter</v>
      </c>
      <c r="O88" s="11" t="str">
        <f t="shared" si="5"/>
        <v>Weekday</v>
      </c>
      <c r="P88" s="11">
        <f>VLOOKUP(A88,[1]Sheet1!$A:$H,2, FALSE)</f>
        <v>0.2727</v>
      </c>
      <c r="Q88" s="40">
        <f>Table1[[#This Row],[A_Temperature]]*41</f>
        <v>11.1807</v>
      </c>
      <c r="R88" s="11">
        <f>VLOOKUP(A88,[1]Sheet1!$A:$G,3,FALSE)</f>
        <v>0.52</v>
      </c>
      <c r="S88" s="11">
        <f>VLOOKUP(A88,[1]Sheet1!$A:$G,4,FALSE)</f>
        <v>0.25369999999999998</v>
      </c>
      <c r="T88" s="11">
        <f>VLOOKUP(A88,[1]Sheet1!$A:$G,5,FALSE)</f>
        <v>17</v>
      </c>
      <c r="U88" s="11">
        <f>VLOOKUP(A88,[1]Sheet1!$A:$G,6,FALSE)</f>
        <v>48</v>
      </c>
      <c r="V88" s="18">
        <f>VLOOKUP(A88,[1]Sheet1!$A:$G,7,FALSE)</f>
        <v>65</v>
      </c>
    </row>
    <row r="89" spans="1:22" s="13" customFormat="1" ht="30" customHeight="1">
      <c r="A89" s="17">
        <v>85</v>
      </c>
      <c r="B89" s="8">
        <v>40634</v>
      </c>
      <c r="C89" s="8" t="str">
        <f t="shared" si="3"/>
        <v>Friday</v>
      </c>
      <c r="D89" s="9">
        <v>1</v>
      </c>
      <c r="E89" s="9">
        <v>0</v>
      </c>
      <c r="F89" s="9">
        <v>1</v>
      </c>
      <c r="G89" s="7">
        <v>16</v>
      </c>
      <c r="H89" s="9" t="b">
        <v>0</v>
      </c>
      <c r="I89" s="9">
        <v>2</v>
      </c>
      <c r="J89" s="38" t="str">
        <f>CHOOSE(Table1[[#This Row],[Weekday]]+1,"Sunday","Monday","Tuesday","Wednesday","Thursday","Friday","Saturday")</f>
        <v>Tuesday</v>
      </c>
      <c r="K89" s="9">
        <v>1</v>
      </c>
      <c r="L89" s="38" t="str">
        <f>IF(Table1[[#This Row],[Weather_code]]=1,"Clear",IF(Table1[[#This Row],[Weather_code]]=2,"Cloudy",IF(Table1[[#This Row],[Weather_code]]=3,"Light Rain",IF(Table1[[#This Row],[Weather_code]]=4,"Heavy Rain"))))</f>
        <v>Clear</v>
      </c>
      <c r="M89" s="10">
        <v>0.3</v>
      </c>
      <c r="N89" s="11" t="str">
        <f t="shared" si="4"/>
        <v>Winter</v>
      </c>
      <c r="O89" s="11" t="str">
        <f t="shared" si="5"/>
        <v>Weekday</v>
      </c>
      <c r="P89" s="11">
        <f>VLOOKUP(A89,[1]Sheet1!$A:$H,2, FALSE)</f>
        <v>0.28789999999999999</v>
      </c>
      <c r="Q89" s="40">
        <f>Table1[[#This Row],[A_Temperature]]*41</f>
        <v>11.803899999999999</v>
      </c>
      <c r="R89" s="11">
        <f>VLOOKUP(A89,[1]Sheet1!$A:$G,3,FALSE)</f>
        <v>0.49</v>
      </c>
      <c r="S89" s="11">
        <f>VLOOKUP(A89,[1]Sheet1!$A:$G,4,FALSE)</f>
        <v>0.25369999999999998</v>
      </c>
      <c r="T89" s="11">
        <f>VLOOKUP(A89,[1]Sheet1!$A:$G,5,FALSE)</f>
        <v>15</v>
      </c>
      <c r="U89" s="11">
        <f>VLOOKUP(A89,[1]Sheet1!$A:$G,6,FALSE)</f>
        <v>68</v>
      </c>
      <c r="V89" s="18">
        <f>VLOOKUP(A89,[1]Sheet1!$A:$G,7,FALSE)</f>
        <v>83</v>
      </c>
    </row>
    <row r="90" spans="1:22" s="13" customFormat="1" ht="30" customHeight="1">
      <c r="A90" s="17">
        <v>86</v>
      </c>
      <c r="B90" s="8">
        <v>40634</v>
      </c>
      <c r="C90" s="8" t="str">
        <f t="shared" si="3"/>
        <v>Friday</v>
      </c>
      <c r="D90" s="9">
        <v>1</v>
      </c>
      <c r="E90" s="9">
        <v>0</v>
      </c>
      <c r="F90" s="9">
        <v>1</v>
      </c>
      <c r="G90" s="7">
        <v>17</v>
      </c>
      <c r="H90" s="9" t="b">
        <v>0</v>
      </c>
      <c r="I90" s="9">
        <v>2</v>
      </c>
      <c r="J90" s="38" t="str">
        <f>CHOOSE(Table1[[#This Row],[Weekday]]+1,"Sunday","Monday","Tuesday","Wednesday","Thursday","Friday","Saturday")</f>
        <v>Tuesday</v>
      </c>
      <c r="K90" s="9">
        <v>1</v>
      </c>
      <c r="L90" s="38" t="str">
        <f>IF(Table1[[#This Row],[Weather_code]]=1,"Clear",IF(Table1[[#This Row],[Weather_code]]=2,"Cloudy",IF(Table1[[#This Row],[Weather_code]]=3,"Light Rain",IF(Table1[[#This Row],[Weather_code]]=4,"Heavy Rain"))))</f>
        <v>Clear</v>
      </c>
      <c r="M90" s="10">
        <v>0.28000000000000003</v>
      </c>
      <c r="N90" s="11" t="str">
        <f t="shared" si="4"/>
        <v>Winter</v>
      </c>
      <c r="O90" s="11" t="str">
        <f t="shared" si="5"/>
        <v>Weekday</v>
      </c>
      <c r="P90" s="11">
        <f>VLOOKUP(A90,[1]Sheet1!$A:$H,2, FALSE)</f>
        <v>0.2727</v>
      </c>
      <c r="Q90" s="40">
        <f>Table1[[#This Row],[A_Temperature]]*41</f>
        <v>11.1807</v>
      </c>
      <c r="R90" s="11">
        <f>VLOOKUP(A90,[1]Sheet1!$A:$G,3,FALSE)</f>
        <v>0.48</v>
      </c>
      <c r="S90" s="11">
        <f>VLOOKUP(A90,[1]Sheet1!$A:$G,4,FALSE)</f>
        <v>0.22389999999999999</v>
      </c>
      <c r="T90" s="11">
        <f>VLOOKUP(A90,[1]Sheet1!$A:$G,5,FALSE)</f>
        <v>10</v>
      </c>
      <c r="U90" s="11">
        <f>VLOOKUP(A90,[1]Sheet1!$A:$G,6,FALSE)</f>
        <v>202</v>
      </c>
      <c r="V90" s="18">
        <f>VLOOKUP(A90,[1]Sheet1!$A:$G,7,FALSE)</f>
        <v>212</v>
      </c>
    </row>
    <row r="91" spans="1:22" s="13" customFormat="1" ht="30" customHeight="1">
      <c r="A91" s="17">
        <v>87</v>
      </c>
      <c r="B91" s="8">
        <v>40634</v>
      </c>
      <c r="C91" s="8" t="str">
        <f t="shared" si="3"/>
        <v>Friday</v>
      </c>
      <c r="D91" s="9">
        <v>1</v>
      </c>
      <c r="E91" s="9">
        <v>0</v>
      </c>
      <c r="F91" s="9">
        <v>1</v>
      </c>
      <c r="G91" s="7">
        <v>18</v>
      </c>
      <c r="H91" s="9" t="b">
        <v>0</v>
      </c>
      <c r="I91" s="9">
        <v>2</v>
      </c>
      <c r="J91" s="38" t="str">
        <f>CHOOSE(Table1[[#This Row],[Weekday]]+1,"Sunday","Monday","Tuesday","Wednesday","Thursday","Friday","Saturday")</f>
        <v>Tuesday</v>
      </c>
      <c r="K91" s="9">
        <v>1</v>
      </c>
      <c r="L91" s="38" t="str">
        <f>IF(Table1[[#This Row],[Weather_code]]=1,"Clear",IF(Table1[[#This Row],[Weather_code]]=2,"Cloudy",IF(Table1[[#This Row],[Weather_code]]=3,"Light Rain",IF(Table1[[#This Row],[Weather_code]]=4,"Heavy Rain"))))</f>
        <v>Clear</v>
      </c>
      <c r="M91" s="10">
        <v>0.26</v>
      </c>
      <c r="N91" s="11" t="str">
        <f t="shared" si="4"/>
        <v>Winter</v>
      </c>
      <c r="O91" s="11" t="str">
        <f t="shared" si="5"/>
        <v>Weekday</v>
      </c>
      <c r="P91" s="11">
        <f>VLOOKUP(A91,[1]Sheet1!$A:$H,2, FALSE)</f>
        <v>0.2576</v>
      </c>
      <c r="Q91" s="40">
        <f>Table1[[#This Row],[A_Temperature]]*41</f>
        <v>10.5616</v>
      </c>
      <c r="R91" s="11">
        <f>VLOOKUP(A91,[1]Sheet1!$A:$G,3,FALSE)</f>
        <v>0.48</v>
      </c>
      <c r="S91" s="11">
        <f>VLOOKUP(A91,[1]Sheet1!$A:$G,4,FALSE)</f>
        <v>0.19400000000000001</v>
      </c>
      <c r="T91" s="11">
        <f>VLOOKUP(A91,[1]Sheet1!$A:$G,5,FALSE)</f>
        <v>3</v>
      </c>
      <c r="U91" s="11">
        <f>VLOOKUP(A91,[1]Sheet1!$A:$G,6,FALSE)</f>
        <v>179</v>
      </c>
      <c r="V91" s="18">
        <f>VLOOKUP(A91,[1]Sheet1!$A:$G,7,FALSE)</f>
        <v>182</v>
      </c>
    </row>
    <row r="92" spans="1:22" s="13" customFormat="1" ht="30" customHeight="1">
      <c r="A92" s="17">
        <v>88</v>
      </c>
      <c r="B92" s="8">
        <v>40634</v>
      </c>
      <c r="C92" s="8" t="str">
        <f t="shared" si="3"/>
        <v>Friday</v>
      </c>
      <c r="D92" s="9">
        <v>1</v>
      </c>
      <c r="E92" s="9">
        <v>0</v>
      </c>
      <c r="F92" s="9">
        <v>1</v>
      </c>
      <c r="G92" s="7">
        <v>19</v>
      </c>
      <c r="H92" s="9" t="b">
        <v>0</v>
      </c>
      <c r="I92" s="9">
        <v>2</v>
      </c>
      <c r="J92" s="38" t="str">
        <f>CHOOSE(Table1[[#This Row],[Weekday]]+1,"Sunday","Monday","Tuesday","Wednesday","Thursday","Friday","Saturday")</f>
        <v>Tuesday</v>
      </c>
      <c r="K92" s="9">
        <v>1</v>
      </c>
      <c r="L92" s="38" t="str">
        <f>IF(Table1[[#This Row],[Weather_code]]=1,"Clear",IF(Table1[[#This Row],[Weather_code]]=2,"Cloudy",IF(Table1[[#This Row],[Weather_code]]=3,"Light Rain",IF(Table1[[#This Row],[Weather_code]]=4,"Heavy Rain"))))</f>
        <v>Clear</v>
      </c>
      <c r="M92" s="10">
        <v>0.24</v>
      </c>
      <c r="N92" s="11" t="str">
        <f t="shared" si="4"/>
        <v>Winter</v>
      </c>
      <c r="O92" s="11" t="str">
        <f t="shared" si="5"/>
        <v>Weekday</v>
      </c>
      <c r="P92" s="11">
        <f>VLOOKUP(A92,[1]Sheet1!$A:$H,2, FALSE)</f>
        <v>0.2576</v>
      </c>
      <c r="Q92" s="40">
        <f>Table1[[#This Row],[A_Temperature]]*41</f>
        <v>10.5616</v>
      </c>
      <c r="R92" s="11">
        <f>VLOOKUP(A92,[1]Sheet1!$A:$G,3,FALSE)</f>
        <v>0.48</v>
      </c>
      <c r="S92" s="11">
        <f>VLOOKUP(A92,[1]Sheet1!$A:$G,4,FALSE)</f>
        <v>0.1045</v>
      </c>
      <c r="T92" s="11">
        <f>VLOOKUP(A92,[1]Sheet1!$A:$G,5,FALSE)</f>
        <v>2</v>
      </c>
      <c r="U92" s="11">
        <f>VLOOKUP(A92,[1]Sheet1!$A:$G,6,FALSE)</f>
        <v>110</v>
      </c>
      <c r="V92" s="18">
        <f>VLOOKUP(A92,[1]Sheet1!$A:$G,7,FALSE)</f>
        <v>112</v>
      </c>
    </row>
    <row r="93" spans="1:22" s="13" customFormat="1" ht="30" customHeight="1">
      <c r="A93" s="17">
        <v>89</v>
      </c>
      <c r="B93" s="8">
        <v>40634</v>
      </c>
      <c r="C93" s="8" t="str">
        <f t="shared" si="3"/>
        <v>Friday</v>
      </c>
      <c r="D93" s="9">
        <v>1</v>
      </c>
      <c r="E93" s="9">
        <v>0</v>
      </c>
      <c r="F93" s="9">
        <v>1</v>
      </c>
      <c r="G93" s="7">
        <v>20</v>
      </c>
      <c r="H93" s="9" t="b">
        <v>0</v>
      </c>
      <c r="I93" s="9">
        <v>2</v>
      </c>
      <c r="J93" s="38" t="str">
        <f>CHOOSE(Table1[[#This Row],[Weekday]]+1,"Sunday","Monday","Tuesday","Wednesday","Thursday","Friday","Saturday")</f>
        <v>Tuesday</v>
      </c>
      <c r="K93" s="9">
        <v>1</v>
      </c>
      <c r="L93" s="38" t="str">
        <f>IF(Table1[[#This Row],[Weather_code]]=1,"Clear",IF(Table1[[#This Row],[Weather_code]]=2,"Cloudy",IF(Table1[[#This Row],[Weather_code]]=3,"Light Rain",IF(Table1[[#This Row],[Weather_code]]=4,"Heavy Rain"))))</f>
        <v>Clear</v>
      </c>
      <c r="M93" s="10">
        <v>0.24</v>
      </c>
      <c r="N93" s="11" t="str">
        <f t="shared" si="4"/>
        <v>Winter</v>
      </c>
      <c r="O93" s="11" t="str">
        <f t="shared" si="5"/>
        <v>Weekday</v>
      </c>
      <c r="P93" s="11">
        <f>VLOOKUP(A93,[1]Sheet1!$A:$H,2, FALSE)</f>
        <v>0.2576</v>
      </c>
      <c r="Q93" s="40">
        <f>Table1[[#This Row],[A_Temperature]]*41</f>
        <v>10.5616</v>
      </c>
      <c r="R93" s="11">
        <f>VLOOKUP(A93,[1]Sheet1!$A:$G,3,FALSE)</f>
        <v>0.48</v>
      </c>
      <c r="S93" s="11">
        <f>VLOOKUP(A93,[1]Sheet1!$A:$G,4,FALSE)</f>
        <v>0.1045</v>
      </c>
      <c r="T93" s="11">
        <f>VLOOKUP(A93,[1]Sheet1!$A:$G,5,FALSE)</f>
        <v>1</v>
      </c>
      <c r="U93" s="11">
        <f>VLOOKUP(A93,[1]Sheet1!$A:$G,6,FALSE)</f>
        <v>53</v>
      </c>
      <c r="V93" s="18">
        <f>VLOOKUP(A93,[1]Sheet1!$A:$G,7,FALSE)</f>
        <v>54</v>
      </c>
    </row>
    <row r="94" spans="1:22" s="13" customFormat="1" ht="30" customHeight="1">
      <c r="A94" s="17">
        <v>90</v>
      </c>
      <c r="B94" s="8">
        <v>40634</v>
      </c>
      <c r="C94" s="8" t="str">
        <f t="shared" si="3"/>
        <v>Friday</v>
      </c>
      <c r="D94" s="9">
        <v>1</v>
      </c>
      <c r="E94" s="9">
        <v>0</v>
      </c>
      <c r="F94" s="9">
        <v>1</v>
      </c>
      <c r="G94" s="7">
        <v>21</v>
      </c>
      <c r="H94" s="9" t="b">
        <v>0</v>
      </c>
      <c r="I94" s="9">
        <v>2</v>
      </c>
      <c r="J94" s="38" t="str">
        <f>CHOOSE(Table1[[#This Row],[Weekday]]+1,"Sunday","Monday","Tuesday","Wednesday","Thursday","Friday","Saturday")</f>
        <v>Tuesday</v>
      </c>
      <c r="K94" s="9">
        <v>1</v>
      </c>
      <c r="L94" s="38" t="str">
        <f>IF(Table1[[#This Row],[Weather_code]]=1,"Clear",IF(Table1[[#This Row],[Weather_code]]=2,"Cloudy",IF(Table1[[#This Row],[Weather_code]]=3,"Light Rain",IF(Table1[[#This Row],[Weather_code]]=4,"Heavy Rain"))))</f>
        <v>Clear</v>
      </c>
      <c r="M94" s="10">
        <v>0.22</v>
      </c>
      <c r="N94" s="11" t="str">
        <f t="shared" si="4"/>
        <v>Winter</v>
      </c>
      <c r="O94" s="11" t="str">
        <f t="shared" si="5"/>
        <v>Weekday</v>
      </c>
      <c r="P94" s="11">
        <f>VLOOKUP(A94,[1]Sheet1!$A:$H,2, FALSE)</f>
        <v>0.2727</v>
      </c>
      <c r="Q94" s="40">
        <f>Table1[[#This Row],[A_Temperature]]*41</f>
        <v>11.1807</v>
      </c>
      <c r="R94" s="11">
        <f>VLOOKUP(A94,[1]Sheet1!$A:$G,3,FALSE)</f>
        <v>0.64</v>
      </c>
      <c r="S94" s="11">
        <f>VLOOKUP(A94,[1]Sheet1!$A:$G,4,FALSE)</f>
        <v>0</v>
      </c>
      <c r="T94" s="11">
        <f>VLOOKUP(A94,[1]Sheet1!$A:$G,5,FALSE)</f>
        <v>0</v>
      </c>
      <c r="U94" s="11">
        <f>VLOOKUP(A94,[1]Sheet1!$A:$G,6,FALSE)</f>
        <v>48</v>
      </c>
      <c r="V94" s="18">
        <f>VLOOKUP(A94,[1]Sheet1!$A:$G,7,FALSE)</f>
        <v>48</v>
      </c>
    </row>
    <row r="95" spans="1:22" s="13" customFormat="1" ht="30" customHeight="1">
      <c r="A95" s="17">
        <v>91</v>
      </c>
      <c r="B95" s="8">
        <v>40634</v>
      </c>
      <c r="C95" s="8" t="str">
        <f t="shared" si="3"/>
        <v>Friday</v>
      </c>
      <c r="D95" s="9">
        <v>1</v>
      </c>
      <c r="E95" s="9">
        <v>0</v>
      </c>
      <c r="F95" s="9">
        <v>1</v>
      </c>
      <c r="G95" s="7">
        <v>22</v>
      </c>
      <c r="H95" s="9" t="b">
        <v>0</v>
      </c>
      <c r="I95" s="9">
        <v>2</v>
      </c>
      <c r="J95" s="38" t="str">
        <f>CHOOSE(Table1[[#This Row],[Weekday]]+1,"Sunday","Monday","Tuesday","Wednesday","Thursday","Friday","Saturday")</f>
        <v>Tuesday</v>
      </c>
      <c r="K95" s="9">
        <v>1</v>
      </c>
      <c r="L95" s="38" t="str">
        <f>IF(Table1[[#This Row],[Weather_code]]=1,"Clear",IF(Table1[[#This Row],[Weather_code]]=2,"Cloudy",IF(Table1[[#This Row],[Weather_code]]=3,"Light Rain",IF(Table1[[#This Row],[Weather_code]]=4,"Heavy Rain"))))</f>
        <v>Clear</v>
      </c>
      <c r="M95" s="10">
        <v>0.22</v>
      </c>
      <c r="N95" s="11" t="str">
        <f t="shared" si="4"/>
        <v>Winter</v>
      </c>
      <c r="O95" s="11" t="str">
        <f t="shared" si="5"/>
        <v>Weekday</v>
      </c>
      <c r="P95" s="11">
        <f>VLOOKUP(A95,[1]Sheet1!$A:$H,2, FALSE)</f>
        <v>0.2576</v>
      </c>
      <c r="Q95" s="40">
        <f>Table1[[#This Row],[A_Temperature]]*41</f>
        <v>10.5616</v>
      </c>
      <c r="R95" s="11">
        <f>VLOOKUP(A95,[1]Sheet1!$A:$G,3,FALSE)</f>
        <v>0.64</v>
      </c>
      <c r="S95" s="11">
        <f>VLOOKUP(A95,[1]Sheet1!$A:$G,4,FALSE)</f>
        <v>8.9599999999999999E-2</v>
      </c>
      <c r="T95" s="11">
        <f>VLOOKUP(A95,[1]Sheet1!$A:$G,5,FALSE)</f>
        <v>1</v>
      </c>
      <c r="U95" s="11">
        <f>VLOOKUP(A95,[1]Sheet1!$A:$G,6,FALSE)</f>
        <v>34</v>
      </c>
      <c r="V95" s="18">
        <f>VLOOKUP(A95,[1]Sheet1!$A:$G,7,FALSE)</f>
        <v>35</v>
      </c>
    </row>
    <row r="96" spans="1:22" s="13" customFormat="1" ht="30" customHeight="1">
      <c r="A96" s="17">
        <v>92</v>
      </c>
      <c r="B96" s="8">
        <v>40634</v>
      </c>
      <c r="C96" s="8" t="str">
        <f t="shared" si="3"/>
        <v>Friday</v>
      </c>
      <c r="D96" s="9">
        <v>1</v>
      </c>
      <c r="E96" s="9">
        <v>0</v>
      </c>
      <c r="F96" s="9">
        <v>1</v>
      </c>
      <c r="G96" s="7">
        <v>23</v>
      </c>
      <c r="H96" s="9" t="b">
        <v>0</v>
      </c>
      <c r="I96" s="9">
        <v>2</v>
      </c>
      <c r="J96" s="38" t="str">
        <f>CHOOSE(Table1[[#This Row],[Weekday]]+1,"Sunday","Monday","Tuesday","Wednesday","Thursday","Friday","Saturday")</f>
        <v>Tuesday</v>
      </c>
      <c r="K96" s="9">
        <v>1</v>
      </c>
      <c r="L96" s="38" t="str">
        <f>IF(Table1[[#This Row],[Weather_code]]=1,"Clear",IF(Table1[[#This Row],[Weather_code]]=2,"Cloudy",IF(Table1[[#This Row],[Weather_code]]=3,"Light Rain",IF(Table1[[#This Row],[Weather_code]]=4,"Heavy Rain"))))</f>
        <v>Clear</v>
      </c>
      <c r="M96" s="10">
        <v>0.2</v>
      </c>
      <c r="N96" s="11" t="str">
        <f t="shared" si="4"/>
        <v>Winter</v>
      </c>
      <c r="O96" s="11" t="str">
        <f t="shared" si="5"/>
        <v>Weekday</v>
      </c>
      <c r="P96" s="11">
        <f>VLOOKUP(A96,[1]Sheet1!$A:$H,2, FALSE)</f>
        <v>0.2273</v>
      </c>
      <c r="Q96" s="40">
        <f>Table1[[#This Row],[A_Temperature]]*41</f>
        <v>9.3193000000000001</v>
      </c>
      <c r="R96" s="11">
        <f>VLOOKUP(A96,[1]Sheet1!$A:$G,3,FALSE)</f>
        <v>0.69</v>
      </c>
      <c r="S96" s="11">
        <f>VLOOKUP(A96,[1]Sheet1!$A:$G,4,FALSE)</f>
        <v>8.9599999999999999E-2</v>
      </c>
      <c r="T96" s="11">
        <f>VLOOKUP(A96,[1]Sheet1!$A:$G,5,FALSE)</f>
        <v>2</v>
      </c>
      <c r="U96" s="11">
        <f>VLOOKUP(A96,[1]Sheet1!$A:$G,6,FALSE)</f>
        <v>9</v>
      </c>
      <c r="V96" s="18">
        <f>VLOOKUP(A96,[1]Sheet1!$A:$G,7,FALSE)</f>
        <v>11</v>
      </c>
    </row>
    <row r="97" spans="1:22" s="13" customFormat="1" ht="30" customHeight="1">
      <c r="A97" s="17">
        <v>93</v>
      </c>
      <c r="B97" s="8">
        <v>40664</v>
      </c>
      <c r="C97" s="8" t="str">
        <f t="shared" si="3"/>
        <v>Sunday</v>
      </c>
      <c r="D97" s="9">
        <v>1</v>
      </c>
      <c r="E97" s="9">
        <v>0</v>
      </c>
      <c r="F97" s="9">
        <v>1</v>
      </c>
      <c r="G97" s="7">
        <v>0</v>
      </c>
      <c r="H97" s="9" t="b">
        <v>0</v>
      </c>
      <c r="I97" s="9">
        <v>3</v>
      </c>
      <c r="J97" s="38" t="str">
        <f>CHOOSE(Table1[[#This Row],[Weekday]]+1,"Sunday","Monday","Tuesday","Wednesday","Thursday","Friday","Saturday")</f>
        <v>Wednesday</v>
      </c>
      <c r="K97" s="9">
        <v>1</v>
      </c>
      <c r="L97" s="38" t="str">
        <f>IF(Table1[[#This Row],[Weather_code]]=1,"Clear",IF(Table1[[#This Row],[Weather_code]]=2,"Cloudy",IF(Table1[[#This Row],[Weather_code]]=3,"Light Rain",IF(Table1[[#This Row],[Weather_code]]=4,"Heavy Rain"))))</f>
        <v>Clear</v>
      </c>
      <c r="M97" s="10">
        <v>0.2</v>
      </c>
      <c r="N97" s="11" t="str">
        <f t="shared" si="4"/>
        <v>Winter</v>
      </c>
      <c r="O97" s="11" t="str">
        <f t="shared" si="5"/>
        <v>Weekend</v>
      </c>
      <c r="P97" s="11">
        <f>VLOOKUP(A97,[1]Sheet1!$A:$H,2, FALSE)</f>
        <v>0.2576</v>
      </c>
      <c r="Q97" s="40">
        <f>Table1[[#This Row],[A_Temperature]]*41</f>
        <v>10.5616</v>
      </c>
      <c r="R97" s="11">
        <f>VLOOKUP(A97,[1]Sheet1!$A:$G,3,FALSE)</f>
        <v>0.64</v>
      </c>
      <c r="S97" s="11">
        <f>VLOOKUP(A97,[1]Sheet1!$A:$G,4,FALSE)</f>
        <v>0</v>
      </c>
      <c r="T97" s="11">
        <f>VLOOKUP(A97,[1]Sheet1!$A:$G,5,FALSE)</f>
        <v>0</v>
      </c>
      <c r="U97" s="11">
        <f>VLOOKUP(A97,[1]Sheet1!$A:$G,6,FALSE)</f>
        <v>6</v>
      </c>
      <c r="V97" s="18">
        <f>VLOOKUP(A97,[1]Sheet1!$A:$G,7,FALSE)</f>
        <v>6</v>
      </c>
    </row>
    <row r="98" spans="1:22" s="13" customFormat="1" ht="30" customHeight="1">
      <c r="A98" s="17">
        <v>94</v>
      </c>
      <c r="B98" s="8">
        <v>40664</v>
      </c>
      <c r="C98" s="8" t="str">
        <f t="shared" si="3"/>
        <v>Sunday</v>
      </c>
      <c r="D98" s="9">
        <v>1</v>
      </c>
      <c r="E98" s="9">
        <v>0</v>
      </c>
      <c r="F98" s="9">
        <v>1</v>
      </c>
      <c r="G98" s="7">
        <v>1</v>
      </c>
      <c r="H98" s="9" t="b">
        <v>0</v>
      </c>
      <c r="I98" s="9">
        <v>3</v>
      </c>
      <c r="J98" s="38" t="str">
        <f>CHOOSE(Table1[[#This Row],[Weekday]]+1,"Sunday","Monday","Tuesday","Wednesday","Thursday","Friday","Saturday")</f>
        <v>Wednesday</v>
      </c>
      <c r="K98" s="9">
        <v>1</v>
      </c>
      <c r="L98" s="38" t="str">
        <f>IF(Table1[[#This Row],[Weather_code]]=1,"Clear",IF(Table1[[#This Row],[Weather_code]]=2,"Cloudy",IF(Table1[[#This Row],[Weather_code]]=3,"Light Rain",IF(Table1[[#This Row],[Weather_code]]=4,"Heavy Rain"))))</f>
        <v>Clear</v>
      </c>
      <c r="M98" s="10">
        <v>0.16</v>
      </c>
      <c r="N98" s="11" t="str">
        <f t="shared" si="4"/>
        <v>Winter</v>
      </c>
      <c r="O98" s="11" t="str">
        <f t="shared" si="5"/>
        <v>Weekend</v>
      </c>
      <c r="P98" s="11">
        <f>VLOOKUP(A98,[1]Sheet1!$A:$H,2, FALSE)</f>
        <v>0.19700000000000001</v>
      </c>
      <c r="Q98" s="40">
        <f>Table1[[#This Row],[A_Temperature]]*41</f>
        <v>8.077</v>
      </c>
      <c r="R98" s="11">
        <f>VLOOKUP(A98,[1]Sheet1!$A:$G,3,FALSE)</f>
        <v>0.74</v>
      </c>
      <c r="S98" s="11">
        <f>VLOOKUP(A98,[1]Sheet1!$A:$G,4,FALSE)</f>
        <v>8.9599999999999999E-2</v>
      </c>
      <c r="T98" s="11">
        <f>VLOOKUP(A98,[1]Sheet1!$A:$G,5,FALSE)</f>
        <v>0</v>
      </c>
      <c r="U98" s="11">
        <f>VLOOKUP(A98,[1]Sheet1!$A:$G,6,FALSE)</f>
        <v>6</v>
      </c>
      <c r="V98" s="18">
        <f>VLOOKUP(A98,[1]Sheet1!$A:$G,7,FALSE)</f>
        <v>6</v>
      </c>
    </row>
    <row r="99" spans="1:22" s="13" customFormat="1" ht="30" customHeight="1">
      <c r="A99" s="17">
        <v>95</v>
      </c>
      <c r="B99" s="8">
        <v>40664</v>
      </c>
      <c r="C99" s="8" t="str">
        <f t="shared" si="3"/>
        <v>Sunday</v>
      </c>
      <c r="D99" s="9">
        <v>1</v>
      </c>
      <c r="E99" s="9">
        <v>0</v>
      </c>
      <c r="F99" s="9">
        <v>1</v>
      </c>
      <c r="G99" s="7">
        <v>2</v>
      </c>
      <c r="H99" s="9" t="b">
        <v>0</v>
      </c>
      <c r="I99" s="9">
        <v>3</v>
      </c>
      <c r="J99" s="38" t="str">
        <f>CHOOSE(Table1[[#This Row],[Weekday]]+1,"Sunday","Monday","Tuesday","Wednesday","Thursday","Friday","Saturday")</f>
        <v>Wednesday</v>
      </c>
      <c r="K99" s="9">
        <v>1</v>
      </c>
      <c r="L99" s="38" t="str">
        <f>IF(Table1[[#This Row],[Weather_code]]=1,"Clear",IF(Table1[[#This Row],[Weather_code]]=2,"Cloudy",IF(Table1[[#This Row],[Weather_code]]=3,"Light Rain",IF(Table1[[#This Row],[Weather_code]]=4,"Heavy Rain"))))</f>
        <v>Clear</v>
      </c>
      <c r="M99" s="10">
        <v>0.16</v>
      </c>
      <c r="N99" s="11" t="str">
        <f t="shared" si="4"/>
        <v>Winter</v>
      </c>
      <c r="O99" s="11" t="str">
        <f t="shared" si="5"/>
        <v>Weekend</v>
      </c>
      <c r="P99" s="11">
        <f>VLOOKUP(A99,[1]Sheet1!$A:$H,2, FALSE)</f>
        <v>0.19700000000000001</v>
      </c>
      <c r="Q99" s="40">
        <f>Table1[[#This Row],[A_Temperature]]*41</f>
        <v>8.077</v>
      </c>
      <c r="R99" s="11">
        <f>VLOOKUP(A99,[1]Sheet1!$A:$G,3,FALSE)</f>
        <v>0.74</v>
      </c>
      <c r="S99" s="11">
        <f>VLOOKUP(A99,[1]Sheet1!$A:$G,4,FALSE)</f>
        <v>8.9599999999999999E-2</v>
      </c>
      <c r="T99" s="11">
        <f>VLOOKUP(A99,[1]Sheet1!$A:$G,5,FALSE)</f>
        <v>0</v>
      </c>
      <c r="U99" s="11">
        <f>VLOOKUP(A99,[1]Sheet1!$A:$G,6,FALSE)</f>
        <v>2</v>
      </c>
      <c r="V99" s="18">
        <f>VLOOKUP(A99,[1]Sheet1!$A:$G,7,FALSE)</f>
        <v>2</v>
      </c>
    </row>
    <row r="100" spans="1:22" s="13" customFormat="1" ht="30" customHeight="1">
      <c r="A100" s="17">
        <v>96</v>
      </c>
      <c r="B100" s="8">
        <v>40664</v>
      </c>
      <c r="C100" s="8" t="str">
        <f t="shared" si="3"/>
        <v>Sunday</v>
      </c>
      <c r="D100" s="9">
        <v>1</v>
      </c>
      <c r="E100" s="9">
        <v>0</v>
      </c>
      <c r="F100" s="9">
        <v>1</v>
      </c>
      <c r="G100" s="7">
        <v>4</v>
      </c>
      <c r="H100" s="9" t="b">
        <v>0</v>
      </c>
      <c r="I100" s="9">
        <v>3</v>
      </c>
      <c r="J100" s="38" t="str">
        <f>CHOOSE(Table1[[#This Row],[Weekday]]+1,"Sunday","Monday","Tuesday","Wednesday","Thursday","Friday","Saturday")</f>
        <v>Wednesday</v>
      </c>
      <c r="K100" s="9">
        <v>1</v>
      </c>
      <c r="L100" s="38" t="str">
        <f>IF(Table1[[#This Row],[Weather_code]]=1,"Clear",IF(Table1[[#This Row],[Weather_code]]=2,"Cloudy",IF(Table1[[#This Row],[Weather_code]]=3,"Light Rain",IF(Table1[[#This Row],[Weather_code]]=4,"Heavy Rain"))))</f>
        <v>Clear</v>
      </c>
      <c r="M100" s="10">
        <v>0.24</v>
      </c>
      <c r="N100" s="11" t="str">
        <f t="shared" si="4"/>
        <v>Winter</v>
      </c>
      <c r="O100" s="11" t="str">
        <f t="shared" si="5"/>
        <v>Weekend</v>
      </c>
      <c r="P100" s="11">
        <f>VLOOKUP(A100,[1]Sheet1!$A:$H,2, FALSE)</f>
        <v>0.2273</v>
      </c>
      <c r="Q100" s="40">
        <f>Table1[[#This Row],[A_Temperature]]*41</f>
        <v>9.3193000000000001</v>
      </c>
      <c r="R100" s="11">
        <f>VLOOKUP(A100,[1]Sheet1!$A:$G,3,FALSE)</f>
        <v>0.48</v>
      </c>
      <c r="S100" s="11">
        <f>VLOOKUP(A100,[1]Sheet1!$A:$G,4,FALSE)</f>
        <v>0.22389999999999999</v>
      </c>
      <c r="T100" s="11">
        <f>VLOOKUP(A100,[1]Sheet1!$A:$G,5,FALSE)</f>
        <v>0</v>
      </c>
      <c r="U100" s="11">
        <f>VLOOKUP(A100,[1]Sheet1!$A:$G,6,FALSE)</f>
        <v>2</v>
      </c>
      <c r="V100" s="18">
        <f>VLOOKUP(A100,[1]Sheet1!$A:$G,7,FALSE)</f>
        <v>2</v>
      </c>
    </row>
    <row r="101" spans="1:22" s="13" customFormat="1" ht="30" customHeight="1">
      <c r="A101" s="17">
        <v>97</v>
      </c>
      <c r="B101" s="8">
        <v>40664</v>
      </c>
      <c r="C101" s="8" t="str">
        <f t="shared" si="3"/>
        <v>Sunday</v>
      </c>
      <c r="D101" s="9">
        <v>1</v>
      </c>
      <c r="E101" s="9">
        <v>0</v>
      </c>
      <c r="F101" s="9">
        <v>1</v>
      </c>
      <c r="G101" s="7">
        <v>5</v>
      </c>
      <c r="H101" s="9" t="b">
        <v>0</v>
      </c>
      <c r="I101" s="9">
        <v>3</v>
      </c>
      <c r="J101" s="38" t="str">
        <f>CHOOSE(Table1[[#This Row],[Weekday]]+1,"Sunday","Monday","Tuesday","Wednesday","Thursday","Friday","Saturday")</f>
        <v>Wednesday</v>
      </c>
      <c r="K101" s="9">
        <v>1</v>
      </c>
      <c r="L101" s="38" t="str">
        <f>IF(Table1[[#This Row],[Weather_code]]=1,"Clear",IF(Table1[[#This Row],[Weather_code]]=2,"Cloudy",IF(Table1[[#This Row],[Weather_code]]=3,"Light Rain",IF(Table1[[#This Row],[Weather_code]]=4,"Heavy Rain"))))</f>
        <v>Clear</v>
      </c>
      <c r="M101" s="10">
        <v>0.22</v>
      </c>
      <c r="N101" s="11" t="str">
        <f t="shared" si="4"/>
        <v>Winter</v>
      </c>
      <c r="O101" s="11" t="str">
        <f t="shared" si="5"/>
        <v>Weekend</v>
      </c>
      <c r="P101" s="11">
        <f>VLOOKUP(A101,[1]Sheet1!$A:$H,2, FALSE)</f>
        <v>0.2273</v>
      </c>
      <c r="Q101" s="40">
        <f>Table1[[#This Row],[A_Temperature]]*41</f>
        <v>9.3193000000000001</v>
      </c>
      <c r="R101" s="11">
        <f>VLOOKUP(A101,[1]Sheet1!$A:$G,3,FALSE)</f>
        <v>0.47</v>
      </c>
      <c r="S101" s="11">
        <f>VLOOKUP(A101,[1]Sheet1!$A:$G,4,FALSE)</f>
        <v>0.16420000000000001</v>
      </c>
      <c r="T101" s="11">
        <f>VLOOKUP(A101,[1]Sheet1!$A:$G,5,FALSE)</f>
        <v>0</v>
      </c>
      <c r="U101" s="11">
        <f>VLOOKUP(A101,[1]Sheet1!$A:$G,6,FALSE)</f>
        <v>3</v>
      </c>
      <c r="V101" s="18">
        <f>VLOOKUP(A101,[1]Sheet1!$A:$G,7,FALSE)</f>
        <v>3</v>
      </c>
    </row>
    <row r="102" spans="1:22" s="13" customFormat="1" ht="30" customHeight="1">
      <c r="A102" s="17">
        <v>98</v>
      </c>
      <c r="B102" s="8">
        <v>40664</v>
      </c>
      <c r="C102" s="8" t="str">
        <f t="shared" si="3"/>
        <v>Sunday</v>
      </c>
      <c r="D102" s="9">
        <v>1</v>
      </c>
      <c r="E102" s="9">
        <v>0</v>
      </c>
      <c r="F102" s="9">
        <v>1</v>
      </c>
      <c r="G102" s="7">
        <v>6</v>
      </c>
      <c r="H102" s="9" t="b">
        <v>0</v>
      </c>
      <c r="I102" s="9">
        <v>3</v>
      </c>
      <c r="J102" s="38" t="str">
        <f>CHOOSE(Table1[[#This Row],[Weekday]]+1,"Sunday","Monday","Tuesday","Wednesday","Thursday","Friday","Saturday")</f>
        <v>Wednesday</v>
      </c>
      <c r="K102" s="9">
        <v>1</v>
      </c>
      <c r="L102" s="38" t="str">
        <f>IF(Table1[[#This Row],[Weather_code]]=1,"Clear",IF(Table1[[#This Row],[Weather_code]]=2,"Cloudy",IF(Table1[[#This Row],[Weather_code]]=3,"Light Rain",IF(Table1[[#This Row],[Weather_code]]=4,"Heavy Rain"))))</f>
        <v>Clear</v>
      </c>
      <c r="M102" s="10">
        <v>0.2</v>
      </c>
      <c r="N102" s="11" t="str">
        <f t="shared" si="4"/>
        <v>Winter</v>
      </c>
      <c r="O102" s="11" t="str">
        <f t="shared" si="5"/>
        <v>Weekend</v>
      </c>
      <c r="P102" s="11">
        <f>VLOOKUP(A102,[1]Sheet1!$A:$H,2, FALSE)</f>
        <v>0.19700000000000001</v>
      </c>
      <c r="Q102" s="40">
        <f>Table1[[#This Row],[A_Temperature]]*41</f>
        <v>8.077</v>
      </c>
      <c r="R102" s="11">
        <f>VLOOKUP(A102,[1]Sheet1!$A:$G,3,FALSE)</f>
        <v>0.47</v>
      </c>
      <c r="S102" s="11">
        <f>VLOOKUP(A102,[1]Sheet1!$A:$G,4,FALSE)</f>
        <v>0.22389999999999999</v>
      </c>
      <c r="T102" s="11">
        <f>VLOOKUP(A102,[1]Sheet1!$A:$G,5,FALSE)</f>
        <v>0</v>
      </c>
      <c r="U102" s="11">
        <f>VLOOKUP(A102,[1]Sheet1!$A:$G,6,FALSE)</f>
        <v>33</v>
      </c>
      <c r="V102" s="18">
        <f>VLOOKUP(A102,[1]Sheet1!$A:$G,7,FALSE)</f>
        <v>33</v>
      </c>
    </row>
    <row r="103" spans="1:22" s="13" customFormat="1" ht="30" customHeight="1">
      <c r="A103" s="17">
        <v>99</v>
      </c>
      <c r="B103" s="8">
        <v>40664</v>
      </c>
      <c r="C103" s="8" t="str">
        <f t="shared" si="3"/>
        <v>Sunday</v>
      </c>
      <c r="D103" s="9">
        <v>1</v>
      </c>
      <c r="E103" s="9">
        <v>0</v>
      </c>
      <c r="F103" s="9">
        <v>1</v>
      </c>
      <c r="G103" s="7">
        <v>7</v>
      </c>
      <c r="H103" s="9" t="b">
        <v>0</v>
      </c>
      <c r="I103" s="9">
        <v>3</v>
      </c>
      <c r="J103" s="38" t="str">
        <f>CHOOSE(Table1[[#This Row],[Weekday]]+1,"Sunday","Monday","Tuesday","Wednesday","Thursday","Friday","Saturday")</f>
        <v>Wednesday</v>
      </c>
      <c r="K103" s="9">
        <v>1</v>
      </c>
      <c r="L103" s="38" t="str">
        <f>IF(Table1[[#This Row],[Weather_code]]=1,"Clear",IF(Table1[[#This Row],[Weather_code]]=2,"Cloudy",IF(Table1[[#This Row],[Weather_code]]=3,"Light Rain",IF(Table1[[#This Row],[Weather_code]]=4,"Heavy Rain"))))</f>
        <v>Clear</v>
      </c>
      <c r="M103" s="10">
        <v>0.18</v>
      </c>
      <c r="N103" s="11" t="str">
        <f t="shared" si="4"/>
        <v>Winter</v>
      </c>
      <c r="O103" s="11" t="str">
        <f t="shared" si="5"/>
        <v>Weekend</v>
      </c>
      <c r="P103" s="11">
        <f>VLOOKUP(A103,[1]Sheet1!$A:$H,2, FALSE)</f>
        <v>0.18179999999999999</v>
      </c>
      <c r="Q103" s="40">
        <f>Table1[[#This Row],[A_Temperature]]*41</f>
        <v>7.4537999999999993</v>
      </c>
      <c r="R103" s="11">
        <f>VLOOKUP(A103,[1]Sheet1!$A:$G,3,FALSE)</f>
        <v>0.43</v>
      </c>
      <c r="S103" s="11">
        <f>VLOOKUP(A103,[1]Sheet1!$A:$G,4,FALSE)</f>
        <v>0.19400000000000001</v>
      </c>
      <c r="T103" s="11">
        <f>VLOOKUP(A103,[1]Sheet1!$A:$G,5,FALSE)</f>
        <v>1</v>
      </c>
      <c r="U103" s="11">
        <f>VLOOKUP(A103,[1]Sheet1!$A:$G,6,FALSE)</f>
        <v>87</v>
      </c>
      <c r="V103" s="18">
        <f>VLOOKUP(A103,[1]Sheet1!$A:$G,7,FALSE)</f>
        <v>88</v>
      </c>
    </row>
    <row r="104" spans="1:22" s="13" customFormat="1" ht="30" customHeight="1">
      <c r="A104" s="17">
        <v>100</v>
      </c>
      <c r="B104" s="8">
        <v>40664</v>
      </c>
      <c r="C104" s="8" t="str">
        <f t="shared" si="3"/>
        <v>Sunday</v>
      </c>
      <c r="D104" s="9">
        <v>1</v>
      </c>
      <c r="E104" s="9">
        <v>0</v>
      </c>
      <c r="F104" s="9">
        <v>1</v>
      </c>
      <c r="G104" s="7">
        <v>8</v>
      </c>
      <c r="H104" s="9" t="b">
        <v>0</v>
      </c>
      <c r="I104" s="9">
        <v>3</v>
      </c>
      <c r="J104" s="38" t="str">
        <f>CHOOSE(Table1[[#This Row],[Weekday]]+1,"Sunday","Monday","Tuesday","Wednesday","Thursday","Friday","Saturday")</f>
        <v>Wednesday</v>
      </c>
      <c r="K104" s="9">
        <v>1</v>
      </c>
      <c r="L104" s="38" t="str">
        <f>IF(Table1[[#This Row],[Weather_code]]=1,"Clear",IF(Table1[[#This Row],[Weather_code]]=2,"Cloudy",IF(Table1[[#This Row],[Weather_code]]=3,"Light Rain",IF(Table1[[#This Row],[Weather_code]]=4,"Heavy Rain"))))</f>
        <v>Clear</v>
      </c>
      <c r="M104" s="10">
        <v>0.2</v>
      </c>
      <c r="N104" s="11" t="str">
        <f t="shared" si="4"/>
        <v>Winter</v>
      </c>
      <c r="O104" s="11" t="str">
        <f t="shared" si="5"/>
        <v>Weekend</v>
      </c>
      <c r="P104" s="11">
        <f>VLOOKUP(A104,[1]Sheet1!$A:$H,2, FALSE)</f>
        <v>0.18179999999999999</v>
      </c>
      <c r="Q104" s="40">
        <f>Table1[[#This Row],[A_Temperature]]*41</f>
        <v>7.4537999999999993</v>
      </c>
      <c r="R104" s="11">
        <f>VLOOKUP(A104,[1]Sheet1!$A:$G,3,FALSE)</f>
        <v>0.4</v>
      </c>
      <c r="S104" s="11">
        <f>VLOOKUP(A104,[1]Sheet1!$A:$G,4,FALSE)</f>
        <v>0.29849999999999999</v>
      </c>
      <c r="T104" s="11">
        <f>VLOOKUP(A104,[1]Sheet1!$A:$G,5,FALSE)</f>
        <v>3</v>
      </c>
      <c r="U104" s="11">
        <f>VLOOKUP(A104,[1]Sheet1!$A:$G,6,FALSE)</f>
        <v>192</v>
      </c>
      <c r="V104" s="18">
        <f>VLOOKUP(A104,[1]Sheet1!$A:$G,7,FALSE)</f>
        <v>195</v>
      </c>
    </row>
    <row r="105" spans="1:22" s="13" customFormat="1" ht="30" customHeight="1">
      <c r="A105" s="17">
        <v>101</v>
      </c>
      <c r="B105" s="8">
        <v>40664</v>
      </c>
      <c r="C105" s="8" t="str">
        <f t="shared" si="3"/>
        <v>Sunday</v>
      </c>
      <c r="D105" s="9">
        <v>1</v>
      </c>
      <c r="E105" s="9">
        <v>0</v>
      </c>
      <c r="F105" s="9">
        <v>1</v>
      </c>
      <c r="G105" s="7">
        <v>9</v>
      </c>
      <c r="H105" s="9" t="b">
        <v>0</v>
      </c>
      <c r="I105" s="9">
        <v>3</v>
      </c>
      <c r="J105" s="38" t="str">
        <f>CHOOSE(Table1[[#This Row],[Weekday]]+1,"Sunday","Monday","Tuesday","Wednesday","Thursday","Friday","Saturday")</f>
        <v>Wednesday</v>
      </c>
      <c r="K105" s="9">
        <v>1</v>
      </c>
      <c r="L105" s="38" t="str">
        <f>IF(Table1[[#This Row],[Weather_code]]=1,"Clear",IF(Table1[[#This Row],[Weather_code]]=2,"Cloudy",IF(Table1[[#This Row],[Weather_code]]=3,"Light Rain",IF(Table1[[#This Row],[Weather_code]]=4,"Heavy Rain"))))</f>
        <v>Clear</v>
      </c>
      <c r="M105" s="10">
        <v>0.22</v>
      </c>
      <c r="N105" s="11" t="str">
        <f t="shared" si="4"/>
        <v>Winter</v>
      </c>
      <c r="O105" s="11" t="str">
        <f t="shared" si="5"/>
        <v>Weekend</v>
      </c>
      <c r="P105" s="11">
        <f>VLOOKUP(A105,[1]Sheet1!$A:$H,2, FALSE)</f>
        <v>0.19700000000000001</v>
      </c>
      <c r="Q105" s="40">
        <f>Table1[[#This Row],[A_Temperature]]*41</f>
        <v>8.077</v>
      </c>
      <c r="R105" s="11">
        <f>VLOOKUP(A105,[1]Sheet1!$A:$G,3,FALSE)</f>
        <v>0.37</v>
      </c>
      <c r="S105" s="11">
        <f>VLOOKUP(A105,[1]Sheet1!$A:$G,4,FALSE)</f>
        <v>0.32840000000000003</v>
      </c>
      <c r="T105" s="11">
        <f>VLOOKUP(A105,[1]Sheet1!$A:$G,5,FALSE)</f>
        <v>6</v>
      </c>
      <c r="U105" s="11">
        <f>VLOOKUP(A105,[1]Sheet1!$A:$G,6,FALSE)</f>
        <v>109</v>
      </c>
      <c r="V105" s="18">
        <f>VLOOKUP(A105,[1]Sheet1!$A:$G,7,FALSE)</f>
        <v>115</v>
      </c>
    </row>
    <row r="106" spans="1:22" s="13" customFormat="1" ht="30" customHeight="1">
      <c r="A106" s="17">
        <v>102</v>
      </c>
      <c r="B106" s="8">
        <v>40664</v>
      </c>
      <c r="C106" s="8" t="str">
        <f t="shared" si="3"/>
        <v>Sunday</v>
      </c>
      <c r="D106" s="9">
        <v>1</v>
      </c>
      <c r="E106" s="9">
        <v>0</v>
      </c>
      <c r="F106" s="9">
        <v>1</v>
      </c>
      <c r="G106" s="7">
        <v>10</v>
      </c>
      <c r="H106" s="9" t="b">
        <v>0</v>
      </c>
      <c r="I106" s="9">
        <v>3</v>
      </c>
      <c r="J106" s="38" t="str">
        <f>CHOOSE(Table1[[#This Row],[Weekday]]+1,"Sunday","Monday","Tuesday","Wednesday","Thursday","Friday","Saturday")</f>
        <v>Wednesday</v>
      </c>
      <c r="K106" s="9">
        <v>1</v>
      </c>
      <c r="L106" s="38" t="str">
        <f>IF(Table1[[#This Row],[Weather_code]]=1,"Clear",IF(Table1[[#This Row],[Weather_code]]=2,"Cloudy",IF(Table1[[#This Row],[Weather_code]]=3,"Light Rain",IF(Table1[[#This Row],[Weather_code]]=4,"Heavy Rain"))))</f>
        <v>Clear</v>
      </c>
      <c r="M106" s="10">
        <v>0.22</v>
      </c>
      <c r="N106" s="11" t="str">
        <f t="shared" si="4"/>
        <v>Winter</v>
      </c>
      <c r="O106" s="11" t="str">
        <f t="shared" si="5"/>
        <v>Weekend</v>
      </c>
      <c r="P106" s="11">
        <f>VLOOKUP(A106,[1]Sheet1!$A:$H,2, FALSE)</f>
        <v>0.19700000000000001</v>
      </c>
      <c r="Q106" s="40">
        <f>Table1[[#This Row],[A_Temperature]]*41</f>
        <v>8.077</v>
      </c>
      <c r="R106" s="11">
        <f>VLOOKUP(A106,[1]Sheet1!$A:$G,3,FALSE)</f>
        <v>0.37</v>
      </c>
      <c r="S106" s="11">
        <f>VLOOKUP(A106,[1]Sheet1!$A:$G,4,FALSE)</f>
        <v>0.32840000000000003</v>
      </c>
      <c r="T106" s="11">
        <f>VLOOKUP(A106,[1]Sheet1!$A:$G,5,FALSE)</f>
        <v>4</v>
      </c>
      <c r="U106" s="11">
        <f>VLOOKUP(A106,[1]Sheet1!$A:$G,6,FALSE)</f>
        <v>53</v>
      </c>
      <c r="V106" s="18">
        <f>VLOOKUP(A106,[1]Sheet1!$A:$G,7,FALSE)</f>
        <v>57</v>
      </c>
    </row>
    <row r="107" spans="1:22" s="13" customFormat="1" ht="30" customHeight="1">
      <c r="A107" s="17">
        <v>103</v>
      </c>
      <c r="B107" s="8">
        <v>40664</v>
      </c>
      <c r="C107" s="8" t="str">
        <f t="shared" si="3"/>
        <v>Sunday</v>
      </c>
      <c r="D107" s="9">
        <v>1</v>
      </c>
      <c r="E107" s="9">
        <v>0</v>
      </c>
      <c r="F107" s="9">
        <v>1</v>
      </c>
      <c r="G107" s="7">
        <v>11</v>
      </c>
      <c r="H107" s="9" t="b">
        <v>0</v>
      </c>
      <c r="I107" s="9">
        <v>3</v>
      </c>
      <c r="J107" s="38" t="str">
        <f>CHOOSE(Table1[[#This Row],[Weekday]]+1,"Sunday","Monday","Tuesday","Wednesday","Thursday","Friday","Saturday")</f>
        <v>Wednesday</v>
      </c>
      <c r="K107" s="9">
        <v>1</v>
      </c>
      <c r="L107" s="38" t="str">
        <f>IF(Table1[[#This Row],[Weather_code]]=1,"Clear",IF(Table1[[#This Row],[Weather_code]]=2,"Cloudy",IF(Table1[[#This Row],[Weather_code]]=3,"Light Rain",IF(Table1[[#This Row],[Weather_code]]=4,"Heavy Rain"))))</f>
        <v>Clear</v>
      </c>
      <c r="M107" s="10">
        <v>0.26</v>
      </c>
      <c r="N107" s="11" t="str">
        <f t="shared" si="4"/>
        <v>Winter</v>
      </c>
      <c r="O107" s="11" t="str">
        <f t="shared" si="5"/>
        <v>Weekend</v>
      </c>
      <c r="P107" s="11">
        <f>VLOOKUP(A107,[1]Sheet1!$A:$H,2, FALSE)</f>
        <v>0.2273</v>
      </c>
      <c r="Q107" s="40">
        <f>Table1[[#This Row],[A_Temperature]]*41</f>
        <v>9.3193000000000001</v>
      </c>
      <c r="R107" s="11">
        <f>VLOOKUP(A107,[1]Sheet1!$A:$G,3,FALSE)</f>
        <v>0.33</v>
      </c>
      <c r="S107" s="11">
        <f>VLOOKUP(A107,[1]Sheet1!$A:$G,4,FALSE)</f>
        <v>0.32840000000000003</v>
      </c>
      <c r="T107" s="11">
        <f>VLOOKUP(A107,[1]Sheet1!$A:$G,5,FALSE)</f>
        <v>12</v>
      </c>
      <c r="U107" s="11">
        <f>VLOOKUP(A107,[1]Sheet1!$A:$G,6,FALSE)</f>
        <v>34</v>
      </c>
      <c r="V107" s="18">
        <f>VLOOKUP(A107,[1]Sheet1!$A:$G,7,FALSE)</f>
        <v>46</v>
      </c>
    </row>
    <row r="108" spans="1:22" s="13" customFormat="1" ht="30" customHeight="1">
      <c r="A108" s="17">
        <v>104</v>
      </c>
      <c r="B108" s="8">
        <v>40664</v>
      </c>
      <c r="C108" s="8" t="str">
        <f t="shared" si="3"/>
        <v>Sunday</v>
      </c>
      <c r="D108" s="9">
        <v>1</v>
      </c>
      <c r="E108" s="9">
        <v>0</v>
      </c>
      <c r="F108" s="9">
        <v>1</v>
      </c>
      <c r="G108" s="7">
        <v>12</v>
      </c>
      <c r="H108" s="9" t="b">
        <v>0</v>
      </c>
      <c r="I108" s="9">
        <v>3</v>
      </c>
      <c r="J108" s="38" t="str">
        <f>CHOOSE(Table1[[#This Row],[Weekday]]+1,"Sunday","Monday","Tuesday","Wednesday","Thursday","Friday","Saturday")</f>
        <v>Wednesday</v>
      </c>
      <c r="K108" s="9">
        <v>1</v>
      </c>
      <c r="L108" s="38" t="str">
        <f>IF(Table1[[#This Row],[Weather_code]]=1,"Clear",IF(Table1[[#This Row],[Weather_code]]=2,"Cloudy",IF(Table1[[#This Row],[Weather_code]]=3,"Light Rain",IF(Table1[[#This Row],[Weather_code]]=4,"Heavy Rain"))))</f>
        <v>Clear</v>
      </c>
      <c r="M108" s="10">
        <v>0.26</v>
      </c>
      <c r="N108" s="11" t="str">
        <f t="shared" si="4"/>
        <v>Winter</v>
      </c>
      <c r="O108" s="11" t="str">
        <f t="shared" si="5"/>
        <v>Weekend</v>
      </c>
      <c r="P108" s="11">
        <f>VLOOKUP(A108,[1]Sheet1!$A:$H,2, FALSE)</f>
        <v>0.2273</v>
      </c>
      <c r="Q108" s="40">
        <f>Table1[[#This Row],[A_Temperature]]*41</f>
        <v>9.3193000000000001</v>
      </c>
      <c r="R108" s="11">
        <f>VLOOKUP(A108,[1]Sheet1!$A:$G,3,FALSE)</f>
        <v>0.33</v>
      </c>
      <c r="S108" s="11">
        <f>VLOOKUP(A108,[1]Sheet1!$A:$G,4,FALSE)</f>
        <v>0.32840000000000003</v>
      </c>
      <c r="T108" s="11">
        <f>VLOOKUP(A108,[1]Sheet1!$A:$G,5,FALSE)</f>
        <v>5</v>
      </c>
      <c r="U108" s="11">
        <f>VLOOKUP(A108,[1]Sheet1!$A:$G,6,FALSE)</f>
        <v>74</v>
      </c>
      <c r="V108" s="18">
        <f>VLOOKUP(A108,[1]Sheet1!$A:$G,7,FALSE)</f>
        <v>79</v>
      </c>
    </row>
    <row r="109" spans="1:22" s="13" customFormat="1" ht="30" customHeight="1">
      <c r="A109" s="17">
        <v>105</v>
      </c>
      <c r="B109" s="8">
        <v>40664</v>
      </c>
      <c r="C109" s="8" t="str">
        <f t="shared" si="3"/>
        <v>Sunday</v>
      </c>
      <c r="D109" s="9">
        <v>1</v>
      </c>
      <c r="E109" s="9">
        <v>0</v>
      </c>
      <c r="F109" s="9">
        <v>1</v>
      </c>
      <c r="G109" s="7">
        <v>13</v>
      </c>
      <c r="H109" s="9" t="b">
        <v>0</v>
      </c>
      <c r="I109" s="9">
        <v>3</v>
      </c>
      <c r="J109" s="38" t="str">
        <f>CHOOSE(Table1[[#This Row],[Weekday]]+1,"Sunday","Monday","Tuesday","Wednesday","Thursday","Friday","Saturday")</f>
        <v>Wednesday</v>
      </c>
      <c r="K109" s="9">
        <v>1</v>
      </c>
      <c r="L109" s="38" t="str">
        <f>IF(Table1[[#This Row],[Weather_code]]=1,"Clear",IF(Table1[[#This Row],[Weather_code]]=2,"Cloudy",IF(Table1[[#This Row],[Weather_code]]=3,"Light Rain",IF(Table1[[#This Row],[Weather_code]]=4,"Heavy Rain"))))</f>
        <v>Clear</v>
      </c>
      <c r="M109" s="10">
        <v>0.28000000000000003</v>
      </c>
      <c r="N109" s="11" t="str">
        <f t="shared" si="4"/>
        <v>Winter</v>
      </c>
      <c r="O109" s="11" t="str">
        <f t="shared" si="5"/>
        <v>Weekend</v>
      </c>
      <c r="P109" s="11">
        <f>VLOOKUP(A109,[1]Sheet1!$A:$H,2, FALSE)</f>
        <v>0.2576</v>
      </c>
      <c r="Q109" s="40">
        <f>Table1[[#This Row],[A_Temperature]]*41</f>
        <v>10.5616</v>
      </c>
      <c r="R109" s="11">
        <f>VLOOKUP(A109,[1]Sheet1!$A:$G,3,FALSE)</f>
        <v>0.3</v>
      </c>
      <c r="S109" s="11">
        <f>VLOOKUP(A109,[1]Sheet1!$A:$G,4,FALSE)</f>
        <v>0.29849999999999999</v>
      </c>
      <c r="T109" s="11">
        <f>VLOOKUP(A109,[1]Sheet1!$A:$G,5,FALSE)</f>
        <v>6</v>
      </c>
      <c r="U109" s="11">
        <f>VLOOKUP(A109,[1]Sheet1!$A:$G,6,FALSE)</f>
        <v>65</v>
      </c>
      <c r="V109" s="18">
        <f>VLOOKUP(A109,[1]Sheet1!$A:$G,7,FALSE)</f>
        <v>71</v>
      </c>
    </row>
    <row r="110" spans="1:22" s="13" customFormat="1" ht="30" customHeight="1">
      <c r="A110" s="17">
        <v>106</v>
      </c>
      <c r="B110" s="8">
        <v>40664</v>
      </c>
      <c r="C110" s="8" t="str">
        <f t="shared" si="3"/>
        <v>Sunday</v>
      </c>
      <c r="D110" s="9">
        <v>1</v>
      </c>
      <c r="E110" s="9">
        <v>0</v>
      </c>
      <c r="F110" s="9">
        <v>1</v>
      </c>
      <c r="G110" s="7">
        <v>14</v>
      </c>
      <c r="H110" s="9" t="b">
        <v>0</v>
      </c>
      <c r="I110" s="9">
        <v>3</v>
      </c>
      <c r="J110" s="38" t="str">
        <f>CHOOSE(Table1[[#This Row],[Weekday]]+1,"Sunday","Monday","Tuesday","Wednesday","Thursday","Friday","Saturday")</f>
        <v>Wednesday</v>
      </c>
      <c r="K110" s="9">
        <v>1</v>
      </c>
      <c r="L110" s="38" t="str">
        <f>IF(Table1[[#This Row],[Weather_code]]=1,"Clear",IF(Table1[[#This Row],[Weather_code]]=2,"Cloudy",IF(Table1[[#This Row],[Weather_code]]=3,"Light Rain",IF(Table1[[#This Row],[Weather_code]]=4,"Heavy Rain"))))</f>
        <v>Clear</v>
      </c>
      <c r="M110" s="10">
        <v>0.3</v>
      </c>
      <c r="N110" s="11" t="str">
        <f t="shared" si="4"/>
        <v>Winter</v>
      </c>
      <c r="O110" s="11" t="str">
        <f t="shared" si="5"/>
        <v>Weekend</v>
      </c>
      <c r="P110" s="11">
        <f>VLOOKUP(A110,[1]Sheet1!$A:$H,2, FALSE)</f>
        <v>0.28789999999999999</v>
      </c>
      <c r="Q110" s="40">
        <f>Table1[[#This Row],[A_Temperature]]*41</f>
        <v>11.803899999999999</v>
      </c>
      <c r="R110" s="11">
        <f>VLOOKUP(A110,[1]Sheet1!$A:$G,3,FALSE)</f>
        <v>0.28000000000000003</v>
      </c>
      <c r="S110" s="11">
        <f>VLOOKUP(A110,[1]Sheet1!$A:$G,4,FALSE)</f>
        <v>0.19400000000000001</v>
      </c>
      <c r="T110" s="11">
        <f>VLOOKUP(A110,[1]Sheet1!$A:$G,5,FALSE)</f>
        <v>10</v>
      </c>
      <c r="U110" s="11">
        <f>VLOOKUP(A110,[1]Sheet1!$A:$G,6,FALSE)</f>
        <v>52</v>
      </c>
      <c r="V110" s="18">
        <f>VLOOKUP(A110,[1]Sheet1!$A:$G,7,FALSE)</f>
        <v>62</v>
      </c>
    </row>
    <row r="111" spans="1:22" s="13" customFormat="1" ht="30" customHeight="1">
      <c r="A111" s="17">
        <v>107</v>
      </c>
      <c r="B111" s="8">
        <v>40664</v>
      </c>
      <c r="C111" s="8" t="str">
        <f t="shared" si="3"/>
        <v>Sunday</v>
      </c>
      <c r="D111" s="9">
        <v>1</v>
      </c>
      <c r="E111" s="9">
        <v>0</v>
      </c>
      <c r="F111" s="9">
        <v>1</v>
      </c>
      <c r="G111" s="7">
        <v>15</v>
      </c>
      <c r="H111" s="9" t="b">
        <v>0</v>
      </c>
      <c r="I111" s="9">
        <v>3</v>
      </c>
      <c r="J111" s="38" t="str">
        <f>CHOOSE(Table1[[#This Row],[Weekday]]+1,"Sunday","Monday","Tuesday","Wednesday","Thursday","Friday","Saturday")</f>
        <v>Wednesday</v>
      </c>
      <c r="K111" s="9">
        <v>1</v>
      </c>
      <c r="L111" s="38" t="str">
        <f>IF(Table1[[#This Row],[Weather_code]]=1,"Clear",IF(Table1[[#This Row],[Weather_code]]=2,"Cloudy",IF(Table1[[#This Row],[Weather_code]]=3,"Light Rain",IF(Table1[[#This Row],[Weather_code]]=4,"Heavy Rain"))))</f>
        <v>Clear</v>
      </c>
      <c r="M111" s="10">
        <v>0.3</v>
      </c>
      <c r="N111" s="11" t="str">
        <f t="shared" si="4"/>
        <v>Winter</v>
      </c>
      <c r="O111" s="11" t="str">
        <f t="shared" si="5"/>
        <v>Weekend</v>
      </c>
      <c r="P111" s="11">
        <f>VLOOKUP(A111,[1]Sheet1!$A:$H,2, FALSE)</f>
        <v>0.28789999999999999</v>
      </c>
      <c r="Q111" s="40">
        <f>Table1[[#This Row],[A_Temperature]]*41</f>
        <v>11.803899999999999</v>
      </c>
      <c r="R111" s="11">
        <f>VLOOKUP(A111,[1]Sheet1!$A:$G,3,FALSE)</f>
        <v>0.28000000000000003</v>
      </c>
      <c r="S111" s="11">
        <f>VLOOKUP(A111,[1]Sheet1!$A:$G,4,FALSE)</f>
        <v>0.19400000000000001</v>
      </c>
      <c r="T111" s="11">
        <f>VLOOKUP(A111,[1]Sheet1!$A:$G,5,FALSE)</f>
        <v>7</v>
      </c>
      <c r="U111" s="11">
        <f>VLOOKUP(A111,[1]Sheet1!$A:$G,6,FALSE)</f>
        <v>55</v>
      </c>
      <c r="V111" s="18">
        <f>VLOOKUP(A111,[1]Sheet1!$A:$G,7,FALSE)</f>
        <v>62</v>
      </c>
    </row>
    <row r="112" spans="1:22" s="13" customFormat="1" ht="30" customHeight="1">
      <c r="A112" s="17">
        <v>108</v>
      </c>
      <c r="B112" s="8">
        <v>40664</v>
      </c>
      <c r="C112" s="8" t="str">
        <f t="shared" si="3"/>
        <v>Sunday</v>
      </c>
      <c r="D112" s="9">
        <v>1</v>
      </c>
      <c r="E112" s="9">
        <v>0</v>
      </c>
      <c r="F112" s="9">
        <v>1</v>
      </c>
      <c r="G112" s="7">
        <v>16</v>
      </c>
      <c r="H112" s="9" t="b">
        <v>0</v>
      </c>
      <c r="I112" s="9">
        <v>3</v>
      </c>
      <c r="J112" s="38" t="str">
        <f>CHOOSE(Table1[[#This Row],[Weekday]]+1,"Sunday","Monday","Tuesday","Wednesday","Thursday","Friday","Saturday")</f>
        <v>Wednesday</v>
      </c>
      <c r="K112" s="9">
        <v>1</v>
      </c>
      <c r="L112" s="38" t="str">
        <f>IF(Table1[[#This Row],[Weather_code]]=1,"Clear",IF(Table1[[#This Row],[Weather_code]]=2,"Cloudy",IF(Table1[[#This Row],[Weather_code]]=3,"Light Rain",IF(Table1[[#This Row],[Weather_code]]=4,"Heavy Rain"))))</f>
        <v>Clear</v>
      </c>
      <c r="M112" s="10">
        <v>0.3</v>
      </c>
      <c r="N112" s="11" t="str">
        <f t="shared" si="4"/>
        <v>Winter</v>
      </c>
      <c r="O112" s="11" t="str">
        <f t="shared" si="5"/>
        <v>Weekend</v>
      </c>
      <c r="P112" s="11">
        <f>VLOOKUP(A112,[1]Sheet1!$A:$H,2, FALSE)</f>
        <v>0.31819999999999998</v>
      </c>
      <c r="Q112" s="40">
        <f>Table1[[#This Row],[A_Temperature]]*41</f>
        <v>13.046199999999999</v>
      </c>
      <c r="R112" s="11">
        <f>VLOOKUP(A112,[1]Sheet1!$A:$G,3,FALSE)</f>
        <v>0.28000000000000003</v>
      </c>
      <c r="S112" s="11">
        <f>VLOOKUP(A112,[1]Sheet1!$A:$G,4,FALSE)</f>
        <v>8.9599999999999999E-2</v>
      </c>
      <c r="T112" s="11">
        <f>VLOOKUP(A112,[1]Sheet1!$A:$G,5,FALSE)</f>
        <v>4</v>
      </c>
      <c r="U112" s="11">
        <f>VLOOKUP(A112,[1]Sheet1!$A:$G,6,FALSE)</f>
        <v>85</v>
      </c>
      <c r="V112" s="18">
        <f>VLOOKUP(A112,[1]Sheet1!$A:$G,7,FALSE)</f>
        <v>89</v>
      </c>
    </row>
    <row r="113" spans="1:22" s="13" customFormat="1" ht="30" customHeight="1">
      <c r="A113" s="17">
        <v>109</v>
      </c>
      <c r="B113" s="8">
        <v>40664</v>
      </c>
      <c r="C113" s="8" t="str">
        <f t="shared" si="3"/>
        <v>Sunday</v>
      </c>
      <c r="D113" s="9">
        <v>1</v>
      </c>
      <c r="E113" s="9">
        <v>0</v>
      </c>
      <c r="F113" s="9">
        <v>1</v>
      </c>
      <c r="G113" s="7">
        <v>17</v>
      </c>
      <c r="H113" s="9" t="b">
        <v>0</v>
      </c>
      <c r="I113" s="9">
        <v>3</v>
      </c>
      <c r="J113" s="38" t="str">
        <f>CHOOSE(Table1[[#This Row],[Weekday]]+1,"Sunday","Monday","Tuesday","Wednesday","Thursday","Friday","Saturday")</f>
        <v>Wednesday</v>
      </c>
      <c r="K113" s="9">
        <v>1</v>
      </c>
      <c r="L113" s="38" t="str">
        <f>IF(Table1[[#This Row],[Weather_code]]=1,"Clear",IF(Table1[[#This Row],[Weather_code]]=2,"Cloudy",IF(Table1[[#This Row],[Weather_code]]=3,"Light Rain",IF(Table1[[#This Row],[Weather_code]]=4,"Heavy Rain"))))</f>
        <v>Clear</v>
      </c>
      <c r="M113" s="10">
        <v>0.24</v>
      </c>
      <c r="N113" s="11" t="str">
        <f t="shared" si="4"/>
        <v>Winter</v>
      </c>
      <c r="O113" s="11" t="str">
        <f t="shared" si="5"/>
        <v>Weekend</v>
      </c>
      <c r="P113" s="11">
        <f>VLOOKUP(A113,[1]Sheet1!$A:$H,2, FALSE)</f>
        <v>0.2273</v>
      </c>
      <c r="Q113" s="40">
        <f>Table1[[#This Row],[A_Temperature]]*41</f>
        <v>9.3193000000000001</v>
      </c>
      <c r="R113" s="11">
        <f>VLOOKUP(A113,[1]Sheet1!$A:$G,3,FALSE)</f>
        <v>0.38</v>
      </c>
      <c r="S113" s="11">
        <f>VLOOKUP(A113,[1]Sheet1!$A:$G,4,FALSE)</f>
        <v>0.19400000000000001</v>
      </c>
      <c r="T113" s="11">
        <f>VLOOKUP(A113,[1]Sheet1!$A:$G,5,FALSE)</f>
        <v>4</v>
      </c>
      <c r="U113" s="11">
        <f>VLOOKUP(A113,[1]Sheet1!$A:$G,6,FALSE)</f>
        <v>186</v>
      </c>
      <c r="V113" s="18">
        <f>VLOOKUP(A113,[1]Sheet1!$A:$G,7,FALSE)</f>
        <v>190</v>
      </c>
    </row>
    <row r="114" spans="1:22" s="13" customFormat="1" ht="30" customHeight="1">
      <c r="A114" s="17">
        <v>110</v>
      </c>
      <c r="B114" s="8">
        <v>40664</v>
      </c>
      <c r="C114" s="8" t="str">
        <f t="shared" si="3"/>
        <v>Sunday</v>
      </c>
      <c r="D114" s="9">
        <v>1</v>
      </c>
      <c r="E114" s="9">
        <v>0</v>
      </c>
      <c r="F114" s="9">
        <v>1</v>
      </c>
      <c r="G114" s="7">
        <v>18</v>
      </c>
      <c r="H114" s="9" t="b">
        <v>0</v>
      </c>
      <c r="I114" s="9">
        <v>3</v>
      </c>
      <c r="J114" s="38" t="str">
        <f>CHOOSE(Table1[[#This Row],[Weekday]]+1,"Sunday","Monday","Tuesday","Wednesday","Thursday","Friday","Saturday")</f>
        <v>Wednesday</v>
      </c>
      <c r="K114" s="9">
        <v>1</v>
      </c>
      <c r="L114" s="38" t="str">
        <f>IF(Table1[[#This Row],[Weather_code]]=1,"Clear",IF(Table1[[#This Row],[Weather_code]]=2,"Cloudy",IF(Table1[[#This Row],[Weather_code]]=3,"Light Rain",IF(Table1[[#This Row],[Weather_code]]=4,"Heavy Rain"))))</f>
        <v>Clear</v>
      </c>
      <c r="M114" s="10">
        <v>0.24</v>
      </c>
      <c r="N114" s="11" t="str">
        <f t="shared" si="4"/>
        <v>Winter</v>
      </c>
      <c r="O114" s="11" t="str">
        <f t="shared" si="5"/>
        <v>Weekend</v>
      </c>
      <c r="P114" s="11">
        <f>VLOOKUP(A114,[1]Sheet1!$A:$H,2, FALSE)</f>
        <v>0.2424</v>
      </c>
      <c r="Q114" s="40">
        <f>Table1[[#This Row],[A_Temperature]]*41</f>
        <v>9.9383999999999997</v>
      </c>
      <c r="R114" s="11">
        <f>VLOOKUP(A114,[1]Sheet1!$A:$G,3,FALSE)</f>
        <v>0.38</v>
      </c>
      <c r="S114" s="11">
        <f>VLOOKUP(A114,[1]Sheet1!$A:$G,4,FALSE)</f>
        <v>0.1343</v>
      </c>
      <c r="T114" s="11">
        <f>VLOOKUP(A114,[1]Sheet1!$A:$G,5,FALSE)</f>
        <v>3</v>
      </c>
      <c r="U114" s="11">
        <f>VLOOKUP(A114,[1]Sheet1!$A:$G,6,FALSE)</f>
        <v>166</v>
      </c>
      <c r="V114" s="18">
        <f>VLOOKUP(A114,[1]Sheet1!$A:$G,7,FALSE)</f>
        <v>169</v>
      </c>
    </row>
    <row r="115" spans="1:22" s="13" customFormat="1" ht="30" customHeight="1">
      <c r="A115" s="17">
        <v>111</v>
      </c>
      <c r="B115" s="8">
        <v>40664</v>
      </c>
      <c r="C115" s="8" t="str">
        <f t="shared" si="3"/>
        <v>Sunday</v>
      </c>
      <c r="D115" s="9">
        <v>1</v>
      </c>
      <c r="E115" s="9">
        <v>0</v>
      </c>
      <c r="F115" s="9">
        <v>1</v>
      </c>
      <c r="G115" s="7">
        <v>19</v>
      </c>
      <c r="H115" s="9" t="b">
        <v>0</v>
      </c>
      <c r="I115" s="9">
        <v>3</v>
      </c>
      <c r="J115" s="38" t="str">
        <f>CHOOSE(Table1[[#This Row],[Weekday]]+1,"Sunday","Monday","Tuesday","Wednesday","Thursday","Friday","Saturday")</f>
        <v>Wednesday</v>
      </c>
      <c r="K115" s="9">
        <v>1</v>
      </c>
      <c r="L115" s="38" t="str">
        <f>IF(Table1[[#This Row],[Weather_code]]=1,"Clear",IF(Table1[[#This Row],[Weather_code]]=2,"Cloudy",IF(Table1[[#This Row],[Weather_code]]=3,"Light Rain",IF(Table1[[#This Row],[Weather_code]]=4,"Heavy Rain"))))</f>
        <v>Clear</v>
      </c>
      <c r="M115" s="10">
        <v>0.24</v>
      </c>
      <c r="N115" s="11" t="str">
        <f t="shared" si="4"/>
        <v>Winter</v>
      </c>
      <c r="O115" s="11" t="str">
        <f t="shared" si="5"/>
        <v>Weekend</v>
      </c>
      <c r="P115" s="11">
        <f>VLOOKUP(A115,[1]Sheet1!$A:$H,2, FALSE)</f>
        <v>0.2576</v>
      </c>
      <c r="Q115" s="40">
        <f>Table1[[#This Row],[A_Temperature]]*41</f>
        <v>10.5616</v>
      </c>
      <c r="R115" s="11">
        <f>VLOOKUP(A115,[1]Sheet1!$A:$G,3,FALSE)</f>
        <v>0.38</v>
      </c>
      <c r="S115" s="11">
        <f>VLOOKUP(A115,[1]Sheet1!$A:$G,4,FALSE)</f>
        <v>0.1045</v>
      </c>
      <c r="T115" s="11">
        <f>VLOOKUP(A115,[1]Sheet1!$A:$G,5,FALSE)</f>
        <v>5</v>
      </c>
      <c r="U115" s="11">
        <f>VLOOKUP(A115,[1]Sheet1!$A:$G,6,FALSE)</f>
        <v>127</v>
      </c>
      <c r="V115" s="18">
        <f>VLOOKUP(A115,[1]Sheet1!$A:$G,7,FALSE)</f>
        <v>132</v>
      </c>
    </row>
    <row r="116" spans="1:22" s="13" customFormat="1" ht="30" customHeight="1">
      <c r="A116" s="17">
        <v>112</v>
      </c>
      <c r="B116" s="8">
        <v>40664</v>
      </c>
      <c r="C116" s="8" t="str">
        <f t="shared" si="3"/>
        <v>Sunday</v>
      </c>
      <c r="D116" s="9">
        <v>1</v>
      </c>
      <c r="E116" s="9">
        <v>0</v>
      </c>
      <c r="F116" s="9">
        <v>1</v>
      </c>
      <c r="G116" s="7">
        <v>20</v>
      </c>
      <c r="H116" s="9" t="b">
        <v>0</v>
      </c>
      <c r="I116" s="9">
        <v>3</v>
      </c>
      <c r="J116" s="38" t="str">
        <f>CHOOSE(Table1[[#This Row],[Weekday]]+1,"Sunday","Monday","Tuesday","Wednesday","Thursday","Friday","Saturday")</f>
        <v>Wednesday</v>
      </c>
      <c r="K116" s="9">
        <v>1</v>
      </c>
      <c r="L116" s="38" t="str">
        <f>IF(Table1[[#This Row],[Weather_code]]=1,"Clear",IF(Table1[[#This Row],[Weather_code]]=2,"Cloudy",IF(Table1[[#This Row],[Weather_code]]=3,"Light Rain",IF(Table1[[#This Row],[Weather_code]]=4,"Heavy Rain"))))</f>
        <v>Clear</v>
      </c>
      <c r="M116" s="10">
        <v>0.22</v>
      </c>
      <c r="N116" s="11" t="str">
        <f t="shared" si="4"/>
        <v>Winter</v>
      </c>
      <c r="O116" s="11" t="str">
        <f t="shared" si="5"/>
        <v>Weekend</v>
      </c>
      <c r="P116" s="11">
        <f>VLOOKUP(A116,[1]Sheet1!$A:$H,2, FALSE)</f>
        <v>0.2273</v>
      </c>
      <c r="Q116" s="40">
        <f>Table1[[#This Row],[A_Temperature]]*41</f>
        <v>9.3193000000000001</v>
      </c>
      <c r="R116" s="11">
        <f>VLOOKUP(A116,[1]Sheet1!$A:$G,3,FALSE)</f>
        <v>0.47</v>
      </c>
      <c r="S116" s="11">
        <f>VLOOKUP(A116,[1]Sheet1!$A:$G,4,FALSE)</f>
        <v>0.16420000000000001</v>
      </c>
      <c r="T116" s="11">
        <f>VLOOKUP(A116,[1]Sheet1!$A:$G,5,FALSE)</f>
        <v>7</v>
      </c>
      <c r="U116" s="11">
        <f>VLOOKUP(A116,[1]Sheet1!$A:$G,6,FALSE)</f>
        <v>82</v>
      </c>
      <c r="V116" s="18">
        <f>VLOOKUP(A116,[1]Sheet1!$A:$G,7,FALSE)</f>
        <v>89</v>
      </c>
    </row>
    <row r="117" spans="1:22" s="13" customFormat="1" ht="30" customHeight="1">
      <c r="A117" s="17">
        <v>113</v>
      </c>
      <c r="B117" s="8">
        <v>40664</v>
      </c>
      <c r="C117" s="8" t="str">
        <f t="shared" si="3"/>
        <v>Sunday</v>
      </c>
      <c r="D117" s="9">
        <v>1</v>
      </c>
      <c r="E117" s="9">
        <v>0</v>
      </c>
      <c r="F117" s="9">
        <v>1</v>
      </c>
      <c r="G117" s="7">
        <v>21</v>
      </c>
      <c r="H117" s="9" t="b">
        <v>0</v>
      </c>
      <c r="I117" s="9">
        <v>3</v>
      </c>
      <c r="J117" s="38" t="str">
        <f>CHOOSE(Table1[[#This Row],[Weekday]]+1,"Sunday","Monday","Tuesday","Wednesday","Thursday","Friday","Saturday")</f>
        <v>Wednesday</v>
      </c>
      <c r="K117" s="9">
        <v>1</v>
      </c>
      <c r="L117" s="38" t="str">
        <f>IF(Table1[[#This Row],[Weather_code]]=1,"Clear",IF(Table1[[#This Row],[Weather_code]]=2,"Cloudy",IF(Table1[[#This Row],[Weather_code]]=3,"Light Rain",IF(Table1[[#This Row],[Weather_code]]=4,"Heavy Rain"))))</f>
        <v>Clear</v>
      </c>
      <c r="M117" s="10">
        <v>0.2</v>
      </c>
      <c r="N117" s="11" t="str">
        <f t="shared" si="4"/>
        <v>Winter</v>
      </c>
      <c r="O117" s="11" t="str">
        <f t="shared" si="5"/>
        <v>Weekend</v>
      </c>
      <c r="P117" s="11">
        <f>VLOOKUP(A117,[1]Sheet1!$A:$H,2, FALSE)</f>
        <v>0.19700000000000001</v>
      </c>
      <c r="Q117" s="40">
        <f>Table1[[#This Row],[A_Temperature]]*41</f>
        <v>8.077</v>
      </c>
      <c r="R117" s="11">
        <f>VLOOKUP(A117,[1]Sheet1!$A:$G,3,FALSE)</f>
        <v>0.51</v>
      </c>
      <c r="S117" s="11">
        <f>VLOOKUP(A117,[1]Sheet1!$A:$G,4,FALSE)</f>
        <v>0.19400000000000001</v>
      </c>
      <c r="T117" s="11">
        <f>VLOOKUP(A117,[1]Sheet1!$A:$G,5,FALSE)</f>
        <v>3</v>
      </c>
      <c r="U117" s="11">
        <f>VLOOKUP(A117,[1]Sheet1!$A:$G,6,FALSE)</f>
        <v>40</v>
      </c>
      <c r="V117" s="18">
        <f>VLOOKUP(A117,[1]Sheet1!$A:$G,7,FALSE)</f>
        <v>43</v>
      </c>
    </row>
    <row r="118" spans="1:22" s="13" customFormat="1" ht="30" customHeight="1">
      <c r="A118" s="17">
        <v>114</v>
      </c>
      <c r="B118" s="8">
        <v>40664</v>
      </c>
      <c r="C118" s="8" t="str">
        <f t="shared" si="3"/>
        <v>Sunday</v>
      </c>
      <c r="D118" s="9">
        <v>1</v>
      </c>
      <c r="E118" s="9">
        <v>0</v>
      </c>
      <c r="F118" s="9">
        <v>1</v>
      </c>
      <c r="G118" s="7">
        <v>22</v>
      </c>
      <c r="H118" s="9" t="b">
        <v>0</v>
      </c>
      <c r="I118" s="9">
        <v>3</v>
      </c>
      <c r="J118" s="38" t="str">
        <f>CHOOSE(Table1[[#This Row],[Weekday]]+1,"Sunday","Monday","Tuesday","Wednesday","Thursday","Friday","Saturday")</f>
        <v>Wednesday</v>
      </c>
      <c r="K118" s="9">
        <v>1</v>
      </c>
      <c r="L118" s="38" t="str">
        <f>IF(Table1[[#This Row],[Weather_code]]=1,"Clear",IF(Table1[[#This Row],[Weather_code]]=2,"Cloudy",IF(Table1[[#This Row],[Weather_code]]=3,"Light Rain",IF(Table1[[#This Row],[Weather_code]]=4,"Heavy Rain"))))</f>
        <v>Clear</v>
      </c>
      <c r="M118" s="10">
        <v>0.18</v>
      </c>
      <c r="N118" s="11" t="str">
        <f t="shared" si="4"/>
        <v>Winter</v>
      </c>
      <c r="O118" s="11" t="str">
        <f t="shared" si="5"/>
        <v>Weekend</v>
      </c>
      <c r="P118" s="11">
        <f>VLOOKUP(A118,[1]Sheet1!$A:$H,2, FALSE)</f>
        <v>0.19700000000000001</v>
      </c>
      <c r="Q118" s="40">
        <f>Table1[[#This Row],[A_Temperature]]*41</f>
        <v>8.077</v>
      </c>
      <c r="R118" s="11">
        <f>VLOOKUP(A118,[1]Sheet1!$A:$G,3,FALSE)</f>
        <v>0.55000000000000004</v>
      </c>
      <c r="S118" s="11">
        <f>VLOOKUP(A118,[1]Sheet1!$A:$G,4,FALSE)</f>
        <v>0.1343</v>
      </c>
      <c r="T118" s="11">
        <f>VLOOKUP(A118,[1]Sheet1!$A:$G,5,FALSE)</f>
        <v>1</v>
      </c>
      <c r="U118" s="11">
        <f>VLOOKUP(A118,[1]Sheet1!$A:$G,6,FALSE)</f>
        <v>41</v>
      </c>
      <c r="V118" s="18">
        <f>VLOOKUP(A118,[1]Sheet1!$A:$G,7,FALSE)</f>
        <v>42</v>
      </c>
    </row>
    <row r="119" spans="1:22" s="13" customFormat="1" ht="30" customHeight="1">
      <c r="A119" s="17">
        <v>115</v>
      </c>
      <c r="B119" s="8">
        <v>40664</v>
      </c>
      <c r="C119" s="8" t="str">
        <f t="shared" si="3"/>
        <v>Sunday</v>
      </c>
      <c r="D119" s="9">
        <v>1</v>
      </c>
      <c r="E119" s="9">
        <v>0</v>
      </c>
      <c r="F119" s="9">
        <v>1</v>
      </c>
      <c r="G119" s="7">
        <v>23</v>
      </c>
      <c r="H119" s="9" t="b">
        <v>0</v>
      </c>
      <c r="I119" s="9">
        <v>3</v>
      </c>
      <c r="J119" s="38" t="str">
        <f>CHOOSE(Table1[[#This Row],[Weekday]]+1,"Sunday","Monday","Tuesday","Wednesday","Thursday","Friday","Saturday")</f>
        <v>Wednesday</v>
      </c>
      <c r="K119" s="9">
        <v>1</v>
      </c>
      <c r="L119" s="38" t="str">
        <f>IF(Table1[[#This Row],[Weather_code]]=1,"Clear",IF(Table1[[#This Row],[Weather_code]]=2,"Cloudy",IF(Table1[[#This Row],[Weather_code]]=3,"Light Rain",IF(Table1[[#This Row],[Weather_code]]=4,"Heavy Rain"))))</f>
        <v>Clear</v>
      </c>
      <c r="M119" s="10">
        <v>0.2</v>
      </c>
      <c r="N119" s="11" t="str">
        <f t="shared" si="4"/>
        <v>Winter</v>
      </c>
      <c r="O119" s="11" t="str">
        <f t="shared" si="5"/>
        <v>Weekend</v>
      </c>
      <c r="P119" s="11">
        <f>VLOOKUP(A119,[1]Sheet1!$A:$H,2, FALSE)</f>
        <v>0.2576</v>
      </c>
      <c r="Q119" s="40">
        <f>Table1[[#This Row],[A_Temperature]]*41</f>
        <v>10.5616</v>
      </c>
      <c r="R119" s="11">
        <f>VLOOKUP(A119,[1]Sheet1!$A:$G,3,FALSE)</f>
        <v>0.47</v>
      </c>
      <c r="S119" s="11">
        <f>VLOOKUP(A119,[1]Sheet1!$A:$G,4,FALSE)</f>
        <v>0</v>
      </c>
      <c r="T119" s="11">
        <f>VLOOKUP(A119,[1]Sheet1!$A:$G,5,FALSE)</f>
        <v>1</v>
      </c>
      <c r="U119" s="11">
        <f>VLOOKUP(A119,[1]Sheet1!$A:$G,6,FALSE)</f>
        <v>18</v>
      </c>
      <c r="V119" s="18">
        <f>VLOOKUP(A119,[1]Sheet1!$A:$G,7,FALSE)</f>
        <v>19</v>
      </c>
    </row>
    <row r="120" spans="1:22" s="13" customFormat="1" ht="30" customHeight="1">
      <c r="A120" s="17">
        <v>116</v>
      </c>
      <c r="B120" s="8">
        <v>40695</v>
      </c>
      <c r="C120" s="8" t="str">
        <f t="shared" si="3"/>
        <v>Wednesday</v>
      </c>
      <c r="D120" s="9">
        <v>1</v>
      </c>
      <c r="E120" s="9">
        <v>0</v>
      </c>
      <c r="F120" s="9">
        <v>1</v>
      </c>
      <c r="G120" s="7">
        <v>0</v>
      </c>
      <c r="H120" s="9" t="b">
        <v>0</v>
      </c>
      <c r="I120" s="9">
        <v>4</v>
      </c>
      <c r="J120" s="38" t="str">
        <f>CHOOSE(Table1[[#This Row],[Weekday]]+1,"Sunday","Monday","Tuesday","Wednesday","Thursday","Friday","Saturday")</f>
        <v>Thursday</v>
      </c>
      <c r="K120" s="9">
        <v>1</v>
      </c>
      <c r="L120" s="38" t="str">
        <f>IF(Table1[[#This Row],[Weather_code]]=1,"Clear",IF(Table1[[#This Row],[Weather_code]]=2,"Cloudy",IF(Table1[[#This Row],[Weather_code]]=3,"Light Rain",IF(Table1[[#This Row],[Weather_code]]=4,"Heavy Rain"))))</f>
        <v>Clear</v>
      </c>
      <c r="M120" s="10">
        <v>0.18</v>
      </c>
      <c r="N120" s="11" t="str">
        <f t="shared" si="4"/>
        <v>Winter</v>
      </c>
      <c r="O120" s="11" t="str">
        <f t="shared" si="5"/>
        <v>Weekday</v>
      </c>
      <c r="P120" s="11">
        <f>VLOOKUP(A120,[1]Sheet1!$A:$H,2, FALSE)</f>
        <v>0.2424</v>
      </c>
      <c r="Q120" s="40">
        <f>Table1[[#This Row],[A_Temperature]]*41</f>
        <v>9.9383999999999997</v>
      </c>
      <c r="R120" s="11">
        <f>VLOOKUP(A120,[1]Sheet1!$A:$G,3,FALSE)</f>
        <v>0.55000000000000004</v>
      </c>
      <c r="S120" s="11">
        <f>VLOOKUP(A120,[1]Sheet1!$A:$G,4,FALSE)</f>
        <v>0</v>
      </c>
      <c r="T120" s="11">
        <f>VLOOKUP(A120,[1]Sheet1!$A:$G,5,FALSE)</f>
        <v>0</v>
      </c>
      <c r="U120" s="11">
        <f>VLOOKUP(A120,[1]Sheet1!$A:$G,6,FALSE)</f>
        <v>11</v>
      </c>
      <c r="V120" s="18">
        <f>VLOOKUP(A120,[1]Sheet1!$A:$G,7,FALSE)</f>
        <v>11</v>
      </c>
    </row>
    <row r="121" spans="1:22" s="13" customFormat="1" ht="30" customHeight="1">
      <c r="A121" s="17">
        <v>117</v>
      </c>
      <c r="B121" s="8">
        <v>40695</v>
      </c>
      <c r="C121" s="8" t="str">
        <f t="shared" si="3"/>
        <v>Wednesday</v>
      </c>
      <c r="D121" s="9">
        <v>1</v>
      </c>
      <c r="E121" s="9">
        <v>0</v>
      </c>
      <c r="F121" s="9">
        <v>1</v>
      </c>
      <c r="G121" s="7">
        <v>1</v>
      </c>
      <c r="H121" s="9" t="b">
        <v>0</v>
      </c>
      <c r="I121" s="9">
        <v>4</v>
      </c>
      <c r="J121" s="38" t="str">
        <f>CHOOSE(Table1[[#This Row],[Weekday]]+1,"Sunday","Monday","Tuesday","Wednesday","Thursday","Friday","Saturday")</f>
        <v>Thursday</v>
      </c>
      <c r="K121" s="9">
        <v>1</v>
      </c>
      <c r="L121" s="38" t="str">
        <f>IF(Table1[[#This Row],[Weather_code]]=1,"Clear",IF(Table1[[#This Row],[Weather_code]]=2,"Cloudy",IF(Table1[[#This Row],[Weather_code]]=3,"Light Rain",IF(Table1[[#This Row],[Weather_code]]=4,"Heavy Rain"))))</f>
        <v>Clear</v>
      </c>
      <c r="M121" s="10">
        <v>0.16</v>
      </c>
      <c r="N121" s="11" t="str">
        <f t="shared" si="4"/>
        <v>Winter</v>
      </c>
      <c r="O121" s="11" t="str">
        <f t="shared" si="5"/>
        <v>Weekday</v>
      </c>
      <c r="P121" s="11">
        <f>VLOOKUP(A121,[1]Sheet1!$A:$H,2, FALSE)</f>
        <v>0.2273</v>
      </c>
      <c r="Q121" s="40">
        <f>Table1[[#This Row],[A_Temperature]]*41</f>
        <v>9.3193000000000001</v>
      </c>
      <c r="R121" s="11">
        <f>VLOOKUP(A121,[1]Sheet1!$A:$G,3,FALSE)</f>
        <v>0.64</v>
      </c>
      <c r="S121" s="11">
        <f>VLOOKUP(A121,[1]Sheet1!$A:$G,4,FALSE)</f>
        <v>0</v>
      </c>
      <c r="T121" s="11">
        <f>VLOOKUP(A121,[1]Sheet1!$A:$G,5,FALSE)</f>
        <v>0</v>
      </c>
      <c r="U121" s="11">
        <f>VLOOKUP(A121,[1]Sheet1!$A:$G,6,FALSE)</f>
        <v>4</v>
      </c>
      <c r="V121" s="18">
        <f>VLOOKUP(A121,[1]Sheet1!$A:$G,7,FALSE)</f>
        <v>4</v>
      </c>
    </row>
    <row r="122" spans="1:22" s="13" customFormat="1" ht="30" customHeight="1">
      <c r="A122" s="17">
        <v>118</v>
      </c>
      <c r="B122" s="8">
        <v>40695</v>
      </c>
      <c r="C122" s="8" t="str">
        <f t="shared" si="3"/>
        <v>Wednesday</v>
      </c>
      <c r="D122" s="9">
        <v>1</v>
      </c>
      <c r="E122" s="9">
        <v>0</v>
      </c>
      <c r="F122" s="9">
        <v>1</v>
      </c>
      <c r="G122" s="7">
        <v>2</v>
      </c>
      <c r="H122" s="9" t="b">
        <v>0</v>
      </c>
      <c r="I122" s="9">
        <v>4</v>
      </c>
      <c r="J122" s="38" t="str">
        <f>CHOOSE(Table1[[#This Row],[Weekday]]+1,"Sunday","Monday","Tuesday","Wednesday","Thursday","Friday","Saturday")</f>
        <v>Thursday</v>
      </c>
      <c r="K122" s="9">
        <v>1</v>
      </c>
      <c r="L122" s="38" t="str">
        <f>IF(Table1[[#This Row],[Weather_code]]=1,"Clear",IF(Table1[[#This Row],[Weather_code]]=2,"Cloudy",IF(Table1[[#This Row],[Weather_code]]=3,"Light Rain",IF(Table1[[#This Row],[Weather_code]]=4,"Heavy Rain"))))</f>
        <v>Clear</v>
      </c>
      <c r="M122" s="10">
        <v>0.16</v>
      </c>
      <c r="N122" s="11" t="str">
        <f t="shared" si="4"/>
        <v>Winter</v>
      </c>
      <c r="O122" s="11" t="str">
        <f t="shared" si="5"/>
        <v>Weekday</v>
      </c>
      <c r="P122" s="11">
        <f>VLOOKUP(A122,[1]Sheet1!$A:$H,2, FALSE)</f>
        <v>0.2273</v>
      </c>
      <c r="Q122" s="40">
        <f>Table1[[#This Row],[A_Temperature]]*41</f>
        <v>9.3193000000000001</v>
      </c>
      <c r="R122" s="11">
        <f>VLOOKUP(A122,[1]Sheet1!$A:$G,3,FALSE)</f>
        <v>0.64</v>
      </c>
      <c r="S122" s="11">
        <f>VLOOKUP(A122,[1]Sheet1!$A:$G,4,FALSE)</f>
        <v>0</v>
      </c>
      <c r="T122" s="11">
        <f>VLOOKUP(A122,[1]Sheet1!$A:$G,5,FALSE)</f>
        <v>0</v>
      </c>
      <c r="U122" s="11">
        <f>VLOOKUP(A122,[1]Sheet1!$A:$G,6,FALSE)</f>
        <v>2</v>
      </c>
      <c r="V122" s="18">
        <f>VLOOKUP(A122,[1]Sheet1!$A:$G,7,FALSE)</f>
        <v>2</v>
      </c>
    </row>
    <row r="123" spans="1:22" s="13" customFormat="1" ht="30" customHeight="1">
      <c r="A123" s="17">
        <v>119</v>
      </c>
      <c r="B123" s="8">
        <v>40695</v>
      </c>
      <c r="C123" s="8" t="str">
        <f t="shared" si="3"/>
        <v>Wednesday</v>
      </c>
      <c r="D123" s="9">
        <v>1</v>
      </c>
      <c r="E123" s="9">
        <v>0</v>
      </c>
      <c r="F123" s="9">
        <v>1</v>
      </c>
      <c r="G123" s="7">
        <v>4</v>
      </c>
      <c r="H123" s="9" t="b">
        <v>0</v>
      </c>
      <c r="I123" s="9">
        <v>4</v>
      </c>
      <c r="J123" s="38" t="str">
        <f>CHOOSE(Table1[[#This Row],[Weekday]]+1,"Sunday","Monday","Tuesday","Wednesday","Thursday","Friday","Saturday")</f>
        <v>Thursday</v>
      </c>
      <c r="K123" s="9">
        <v>2</v>
      </c>
      <c r="L123" s="38" t="str">
        <f>IF(Table1[[#This Row],[Weather_code]]=1,"Clear",IF(Table1[[#This Row],[Weather_code]]=2,"Cloudy",IF(Table1[[#This Row],[Weather_code]]=3,"Light Rain",IF(Table1[[#This Row],[Weather_code]]=4,"Heavy Rain"))))</f>
        <v>Cloudy</v>
      </c>
      <c r="M123" s="10">
        <v>0.16</v>
      </c>
      <c r="N123" s="11" t="str">
        <f t="shared" si="4"/>
        <v>Winter</v>
      </c>
      <c r="O123" s="11" t="str">
        <f t="shared" si="5"/>
        <v>Weekday</v>
      </c>
      <c r="P123" s="11">
        <f>VLOOKUP(A123,[1]Sheet1!$A:$H,2, FALSE)</f>
        <v>0.19700000000000001</v>
      </c>
      <c r="Q123" s="40">
        <f>Table1[[#This Row],[A_Temperature]]*41</f>
        <v>8.077</v>
      </c>
      <c r="R123" s="11">
        <f>VLOOKUP(A123,[1]Sheet1!$A:$G,3,FALSE)</f>
        <v>0.64</v>
      </c>
      <c r="S123" s="11">
        <f>VLOOKUP(A123,[1]Sheet1!$A:$G,4,FALSE)</f>
        <v>8.9599999999999999E-2</v>
      </c>
      <c r="T123" s="11">
        <f>VLOOKUP(A123,[1]Sheet1!$A:$G,5,FALSE)</f>
        <v>0</v>
      </c>
      <c r="U123" s="11">
        <f>VLOOKUP(A123,[1]Sheet1!$A:$G,6,FALSE)</f>
        <v>1</v>
      </c>
      <c r="V123" s="18">
        <f>VLOOKUP(A123,[1]Sheet1!$A:$G,7,FALSE)</f>
        <v>1</v>
      </c>
    </row>
    <row r="124" spans="1:22" s="13" customFormat="1" ht="30" customHeight="1">
      <c r="A124" s="17">
        <v>120</v>
      </c>
      <c r="B124" s="8">
        <v>40695</v>
      </c>
      <c r="C124" s="8" t="str">
        <f t="shared" si="3"/>
        <v>Wednesday</v>
      </c>
      <c r="D124" s="9">
        <v>1</v>
      </c>
      <c r="E124" s="9">
        <v>0</v>
      </c>
      <c r="F124" s="9">
        <v>1</v>
      </c>
      <c r="G124" s="7">
        <v>5</v>
      </c>
      <c r="H124" s="9" t="b">
        <v>0</v>
      </c>
      <c r="I124" s="9">
        <v>4</v>
      </c>
      <c r="J124" s="38" t="str">
        <f>CHOOSE(Table1[[#This Row],[Weekday]]+1,"Sunday","Monday","Tuesday","Wednesday","Thursday","Friday","Saturday")</f>
        <v>Thursday</v>
      </c>
      <c r="K124" s="9">
        <v>2</v>
      </c>
      <c r="L124" s="38" t="str">
        <f>IF(Table1[[#This Row],[Weather_code]]=1,"Clear",IF(Table1[[#This Row],[Weather_code]]=2,"Cloudy",IF(Table1[[#This Row],[Weather_code]]=3,"Light Rain",IF(Table1[[#This Row],[Weather_code]]=4,"Heavy Rain"))))</f>
        <v>Cloudy</v>
      </c>
      <c r="M124" s="10">
        <v>0.14000000000000001</v>
      </c>
      <c r="N124" s="11" t="str">
        <f t="shared" si="4"/>
        <v>Winter</v>
      </c>
      <c r="O124" s="11" t="str">
        <f t="shared" si="5"/>
        <v>Weekday</v>
      </c>
      <c r="P124" s="11">
        <f>VLOOKUP(A124,[1]Sheet1!$A:$H,2, FALSE)</f>
        <v>0.18179999999999999</v>
      </c>
      <c r="Q124" s="40">
        <f>Table1[[#This Row],[A_Temperature]]*41</f>
        <v>7.4537999999999993</v>
      </c>
      <c r="R124" s="11">
        <f>VLOOKUP(A124,[1]Sheet1!$A:$G,3,FALSE)</f>
        <v>0.69</v>
      </c>
      <c r="S124" s="11">
        <f>VLOOKUP(A124,[1]Sheet1!$A:$G,4,FALSE)</f>
        <v>8.9599999999999999E-2</v>
      </c>
      <c r="T124" s="11">
        <f>VLOOKUP(A124,[1]Sheet1!$A:$G,5,FALSE)</f>
        <v>0</v>
      </c>
      <c r="U124" s="11">
        <f>VLOOKUP(A124,[1]Sheet1!$A:$G,6,FALSE)</f>
        <v>4</v>
      </c>
      <c r="V124" s="18">
        <f>VLOOKUP(A124,[1]Sheet1!$A:$G,7,FALSE)</f>
        <v>4</v>
      </c>
    </row>
    <row r="125" spans="1:22" s="13" customFormat="1" ht="30" customHeight="1">
      <c r="A125" s="17">
        <v>121</v>
      </c>
      <c r="B125" s="8">
        <v>40695</v>
      </c>
      <c r="C125" s="8" t="str">
        <f t="shared" si="3"/>
        <v>Wednesday</v>
      </c>
      <c r="D125" s="9">
        <v>1</v>
      </c>
      <c r="E125" s="9">
        <v>0</v>
      </c>
      <c r="F125" s="9">
        <v>1</v>
      </c>
      <c r="G125" s="7">
        <v>6</v>
      </c>
      <c r="H125" s="9" t="b">
        <v>0</v>
      </c>
      <c r="I125" s="9">
        <v>4</v>
      </c>
      <c r="J125" s="38" t="str">
        <f>CHOOSE(Table1[[#This Row],[Weekday]]+1,"Sunday","Monday","Tuesday","Wednesday","Thursday","Friday","Saturday")</f>
        <v>Thursday</v>
      </c>
      <c r="K125" s="9">
        <v>2</v>
      </c>
      <c r="L125" s="38" t="str">
        <f>IF(Table1[[#This Row],[Weather_code]]=1,"Clear",IF(Table1[[#This Row],[Weather_code]]=2,"Cloudy",IF(Table1[[#This Row],[Weather_code]]=3,"Light Rain",IF(Table1[[#This Row],[Weather_code]]=4,"Heavy Rain"))))</f>
        <v>Cloudy</v>
      </c>
      <c r="M125" s="10">
        <v>0.14000000000000001</v>
      </c>
      <c r="N125" s="11" t="str">
        <f t="shared" si="4"/>
        <v>Winter</v>
      </c>
      <c r="O125" s="11" t="str">
        <f t="shared" si="5"/>
        <v>Weekday</v>
      </c>
      <c r="P125" s="11">
        <f>VLOOKUP(A125,[1]Sheet1!$A:$H,2, FALSE)</f>
        <v>0.16669999999999999</v>
      </c>
      <c r="Q125" s="40">
        <f>Table1[[#This Row],[A_Temperature]]*41</f>
        <v>6.8346999999999998</v>
      </c>
      <c r="R125" s="11">
        <f>VLOOKUP(A125,[1]Sheet1!$A:$G,3,FALSE)</f>
        <v>0.63</v>
      </c>
      <c r="S125" s="11">
        <f>VLOOKUP(A125,[1]Sheet1!$A:$G,4,FALSE)</f>
        <v>0.1045</v>
      </c>
      <c r="T125" s="11">
        <f>VLOOKUP(A125,[1]Sheet1!$A:$G,5,FALSE)</f>
        <v>0</v>
      </c>
      <c r="U125" s="11">
        <f>VLOOKUP(A125,[1]Sheet1!$A:$G,6,FALSE)</f>
        <v>36</v>
      </c>
      <c r="V125" s="18">
        <f>VLOOKUP(A125,[1]Sheet1!$A:$G,7,FALSE)</f>
        <v>36</v>
      </c>
    </row>
    <row r="126" spans="1:22" s="13" customFormat="1" ht="30" customHeight="1">
      <c r="A126" s="17">
        <v>122</v>
      </c>
      <c r="B126" s="8">
        <v>40695</v>
      </c>
      <c r="C126" s="8" t="str">
        <f t="shared" si="3"/>
        <v>Wednesday</v>
      </c>
      <c r="D126" s="9">
        <v>1</v>
      </c>
      <c r="E126" s="9">
        <v>0</v>
      </c>
      <c r="F126" s="9">
        <v>1</v>
      </c>
      <c r="G126" s="7">
        <v>7</v>
      </c>
      <c r="H126" s="9" t="b">
        <v>0</v>
      </c>
      <c r="I126" s="9">
        <v>4</v>
      </c>
      <c r="J126" s="38" t="str">
        <f>CHOOSE(Table1[[#This Row],[Weekday]]+1,"Sunday","Monday","Tuesday","Wednesday","Thursday","Friday","Saturday")</f>
        <v>Thursday</v>
      </c>
      <c r="K126" s="9">
        <v>2</v>
      </c>
      <c r="L126" s="38" t="str">
        <f>IF(Table1[[#This Row],[Weather_code]]=1,"Clear",IF(Table1[[#This Row],[Weather_code]]=2,"Cloudy",IF(Table1[[#This Row],[Weather_code]]=3,"Light Rain",IF(Table1[[#This Row],[Weather_code]]=4,"Heavy Rain"))))</f>
        <v>Cloudy</v>
      </c>
      <c r="M126" s="10">
        <v>0.16</v>
      </c>
      <c r="N126" s="11" t="str">
        <f t="shared" si="4"/>
        <v>Winter</v>
      </c>
      <c r="O126" s="11" t="str">
        <f t="shared" si="5"/>
        <v>Weekday</v>
      </c>
      <c r="P126" s="11">
        <f>VLOOKUP(A126,[1]Sheet1!$A:$H,2, FALSE)</f>
        <v>0.2273</v>
      </c>
      <c r="Q126" s="40">
        <f>Table1[[#This Row],[A_Temperature]]*41</f>
        <v>9.3193000000000001</v>
      </c>
      <c r="R126" s="11">
        <f>VLOOKUP(A126,[1]Sheet1!$A:$G,3,FALSE)</f>
        <v>0.59</v>
      </c>
      <c r="S126" s="11">
        <f>VLOOKUP(A126,[1]Sheet1!$A:$G,4,FALSE)</f>
        <v>0</v>
      </c>
      <c r="T126" s="11">
        <f>VLOOKUP(A126,[1]Sheet1!$A:$G,5,FALSE)</f>
        <v>0</v>
      </c>
      <c r="U126" s="11">
        <f>VLOOKUP(A126,[1]Sheet1!$A:$G,6,FALSE)</f>
        <v>95</v>
      </c>
      <c r="V126" s="18">
        <f>VLOOKUP(A126,[1]Sheet1!$A:$G,7,FALSE)</f>
        <v>95</v>
      </c>
    </row>
    <row r="127" spans="1:22" s="13" customFormat="1" ht="30" customHeight="1">
      <c r="A127" s="17">
        <v>123</v>
      </c>
      <c r="B127" s="8">
        <v>40695</v>
      </c>
      <c r="C127" s="8" t="str">
        <f t="shared" si="3"/>
        <v>Wednesday</v>
      </c>
      <c r="D127" s="9">
        <v>1</v>
      </c>
      <c r="E127" s="9">
        <v>0</v>
      </c>
      <c r="F127" s="9">
        <v>1</v>
      </c>
      <c r="G127" s="7">
        <v>8</v>
      </c>
      <c r="H127" s="9" t="b">
        <v>0</v>
      </c>
      <c r="I127" s="9">
        <v>4</v>
      </c>
      <c r="J127" s="38" t="str">
        <f>CHOOSE(Table1[[#This Row],[Weekday]]+1,"Sunday","Monday","Tuesday","Wednesday","Thursday","Friday","Saturday")</f>
        <v>Thursday</v>
      </c>
      <c r="K127" s="9">
        <v>1</v>
      </c>
      <c r="L127" s="38" t="str">
        <f>IF(Table1[[#This Row],[Weather_code]]=1,"Clear",IF(Table1[[#This Row],[Weather_code]]=2,"Cloudy",IF(Table1[[#This Row],[Weather_code]]=3,"Light Rain",IF(Table1[[#This Row],[Weather_code]]=4,"Heavy Rain"))))</f>
        <v>Clear</v>
      </c>
      <c r="M127" s="10">
        <v>0.16</v>
      </c>
      <c r="N127" s="11" t="str">
        <f t="shared" si="4"/>
        <v>Winter</v>
      </c>
      <c r="O127" s="11" t="str">
        <f t="shared" si="5"/>
        <v>Weekday</v>
      </c>
      <c r="P127" s="11">
        <f>VLOOKUP(A127,[1]Sheet1!$A:$H,2, FALSE)</f>
        <v>0.2273</v>
      </c>
      <c r="Q127" s="40">
        <f>Table1[[#This Row],[A_Temperature]]*41</f>
        <v>9.3193000000000001</v>
      </c>
      <c r="R127" s="11">
        <f>VLOOKUP(A127,[1]Sheet1!$A:$G,3,FALSE)</f>
        <v>0.59</v>
      </c>
      <c r="S127" s="11">
        <f>VLOOKUP(A127,[1]Sheet1!$A:$G,4,FALSE)</f>
        <v>0</v>
      </c>
      <c r="T127" s="11">
        <f>VLOOKUP(A127,[1]Sheet1!$A:$G,5,FALSE)</f>
        <v>3</v>
      </c>
      <c r="U127" s="11">
        <f>VLOOKUP(A127,[1]Sheet1!$A:$G,6,FALSE)</f>
        <v>216</v>
      </c>
      <c r="V127" s="18">
        <f>VLOOKUP(A127,[1]Sheet1!$A:$G,7,FALSE)</f>
        <v>219</v>
      </c>
    </row>
    <row r="128" spans="1:22" s="13" customFormat="1" ht="30" customHeight="1">
      <c r="A128" s="17">
        <v>124</v>
      </c>
      <c r="B128" s="8">
        <v>40695</v>
      </c>
      <c r="C128" s="8" t="str">
        <f t="shared" si="3"/>
        <v>Wednesday</v>
      </c>
      <c r="D128" s="9">
        <v>1</v>
      </c>
      <c r="E128" s="9">
        <v>0</v>
      </c>
      <c r="F128" s="9">
        <v>1</v>
      </c>
      <c r="G128" s="7">
        <v>9</v>
      </c>
      <c r="H128" s="9" t="b">
        <v>0</v>
      </c>
      <c r="I128" s="9">
        <v>4</v>
      </c>
      <c r="J128" s="38" t="str">
        <f>CHOOSE(Table1[[#This Row],[Weekday]]+1,"Sunday","Monday","Tuesday","Wednesday","Thursday","Friday","Saturday")</f>
        <v>Thursday</v>
      </c>
      <c r="K128" s="9">
        <v>2</v>
      </c>
      <c r="L128" s="38" t="str">
        <f>IF(Table1[[#This Row],[Weather_code]]=1,"Clear",IF(Table1[[#This Row],[Weather_code]]=2,"Cloudy",IF(Table1[[#This Row],[Weather_code]]=3,"Light Rain",IF(Table1[[#This Row],[Weather_code]]=4,"Heavy Rain"))))</f>
        <v>Cloudy</v>
      </c>
      <c r="M128" s="10">
        <v>0.18</v>
      </c>
      <c r="N128" s="11" t="str">
        <f t="shared" si="4"/>
        <v>Winter</v>
      </c>
      <c r="O128" s="11" t="str">
        <f t="shared" si="5"/>
        <v>Weekday</v>
      </c>
      <c r="P128" s="11">
        <f>VLOOKUP(A128,[1]Sheet1!$A:$H,2, FALSE)</f>
        <v>0.2424</v>
      </c>
      <c r="Q128" s="40">
        <f>Table1[[#This Row],[A_Temperature]]*41</f>
        <v>9.9383999999999997</v>
      </c>
      <c r="R128" s="11">
        <f>VLOOKUP(A128,[1]Sheet1!$A:$G,3,FALSE)</f>
        <v>0.51</v>
      </c>
      <c r="S128" s="11">
        <f>VLOOKUP(A128,[1]Sheet1!$A:$G,4,FALSE)</f>
        <v>0</v>
      </c>
      <c r="T128" s="11">
        <f>VLOOKUP(A128,[1]Sheet1!$A:$G,5,FALSE)</f>
        <v>6</v>
      </c>
      <c r="U128" s="11">
        <f>VLOOKUP(A128,[1]Sheet1!$A:$G,6,FALSE)</f>
        <v>116</v>
      </c>
      <c r="V128" s="18">
        <f>VLOOKUP(A128,[1]Sheet1!$A:$G,7,FALSE)</f>
        <v>122</v>
      </c>
    </row>
    <row r="129" spans="1:22" s="13" customFormat="1" ht="30" customHeight="1">
      <c r="A129" s="17">
        <v>125</v>
      </c>
      <c r="B129" s="8">
        <v>40695</v>
      </c>
      <c r="C129" s="8" t="str">
        <f t="shared" si="3"/>
        <v>Wednesday</v>
      </c>
      <c r="D129" s="9">
        <v>1</v>
      </c>
      <c r="E129" s="9">
        <v>0</v>
      </c>
      <c r="F129" s="9">
        <v>1</v>
      </c>
      <c r="G129" s="7">
        <v>10</v>
      </c>
      <c r="H129" s="9" t="b">
        <v>0</v>
      </c>
      <c r="I129" s="9">
        <v>4</v>
      </c>
      <c r="J129" s="38" t="str">
        <f>CHOOSE(Table1[[#This Row],[Weekday]]+1,"Sunday","Monday","Tuesday","Wednesday","Thursday","Friday","Saturday")</f>
        <v>Thursday</v>
      </c>
      <c r="K129" s="9">
        <v>1</v>
      </c>
      <c r="L129" s="38" t="str">
        <f>IF(Table1[[#This Row],[Weather_code]]=1,"Clear",IF(Table1[[#This Row],[Weather_code]]=2,"Cloudy",IF(Table1[[#This Row],[Weather_code]]=3,"Light Rain",IF(Table1[[#This Row],[Weather_code]]=4,"Heavy Rain"))))</f>
        <v>Clear</v>
      </c>
      <c r="M129" s="10">
        <v>0.2</v>
      </c>
      <c r="N129" s="11" t="str">
        <f t="shared" si="4"/>
        <v>Winter</v>
      </c>
      <c r="O129" s="11" t="str">
        <f t="shared" si="5"/>
        <v>Weekday</v>
      </c>
      <c r="P129" s="11">
        <f>VLOOKUP(A129,[1]Sheet1!$A:$H,2, FALSE)</f>
        <v>0.2576</v>
      </c>
      <c r="Q129" s="40">
        <f>Table1[[#This Row],[A_Temperature]]*41</f>
        <v>10.5616</v>
      </c>
      <c r="R129" s="11">
        <f>VLOOKUP(A129,[1]Sheet1!$A:$G,3,FALSE)</f>
        <v>0.47</v>
      </c>
      <c r="S129" s="11">
        <f>VLOOKUP(A129,[1]Sheet1!$A:$G,4,FALSE)</f>
        <v>0</v>
      </c>
      <c r="T129" s="11">
        <f>VLOOKUP(A129,[1]Sheet1!$A:$G,5,FALSE)</f>
        <v>3</v>
      </c>
      <c r="U129" s="11">
        <f>VLOOKUP(A129,[1]Sheet1!$A:$G,6,FALSE)</f>
        <v>42</v>
      </c>
      <c r="V129" s="18">
        <f>VLOOKUP(A129,[1]Sheet1!$A:$G,7,FALSE)</f>
        <v>45</v>
      </c>
    </row>
    <row r="130" spans="1:22" s="13" customFormat="1" ht="30" customHeight="1">
      <c r="A130" s="17">
        <v>126</v>
      </c>
      <c r="B130" s="8">
        <v>40695</v>
      </c>
      <c r="C130" s="8" t="str">
        <f t="shared" si="3"/>
        <v>Wednesday</v>
      </c>
      <c r="D130" s="9">
        <v>1</v>
      </c>
      <c r="E130" s="9">
        <v>0</v>
      </c>
      <c r="F130" s="9">
        <v>1</v>
      </c>
      <c r="G130" s="7">
        <v>11</v>
      </c>
      <c r="H130" s="9" t="b">
        <v>0</v>
      </c>
      <c r="I130" s="9">
        <v>4</v>
      </c>
      <c r="J130" s="38" t="str">
        <f>CHOOSE(Table1[[#This Row],[Weekday]]+1,"Sunday","Monday","Tuesday","Wednesday","Thursday","Friday","Saturday")</f>
        <v>Thursday</v>
      </c>
      <c r="K130" s="9">
        <v>1</v>
      </c>
      <c r="L130" s="38" t="str">
        <f>IF(Table1[[#This Row],[Weather_code]]=1,"Clear",IF(Table1[[#This Row],[Weather_code]]=2,"Cloudy",IF(Table1[[#This Row],[Weather_code]]=3,"Light Rain",IF(Table1[[#This Row],[Weather_code]]=4,"Heavy Rain"))))</f>
        <v>Clear</v>
      </c>
      <c r="M130" s="10">
        <v>0.22</v>
      </c>
      <c r="N130" s="11" t="str">
        <f t="shared" si="4"/>
        <v>Winter</v>
      </c>
      <c r="O130" s="11" t="str">
        <f t="shared" si="5"/>
        <v>Weekday</v>
      </c>
      <c r="P130" s="11">
        <f>VLOOKUP(A130,[1]Sheet1!$A:$H,2, FALSE)</f>
        <v>0.2576</v>
      </c>
      <c r="Q130" s="40">
        <f>Table1[[#This Row],[A_Temperature]]*41</f>
        <v>10.5616</v>
      </c>
      <c r="R130" s="11">
        <f>VLOOKUP(A130,[1]Sheet1!$A:$G,3,FALSE)</f>
        <v>0.44</v>
      </c>
      <c r="S130" s="11">
        <f>VLOOKUP(A130,[1]Sheet1!$A:$G,4,FALSE)</f>
        <v>8.9599999999999999E-2</v>
      </c>
      <c r="T130" s="11">
        <f>VLOOKUP(A130,[1]Sheet1!$A:$G,5,FALSE)</f>
        <v>2</v>
      </c>
      <c r="U130" s="11">
        <f>VLOOKUP(A130,[1]Sheet1!$A:$G,6,FALSE)</f>
        <v>57</v>
      </c>
      <c r="V130" s="18">
        <f>VLOOKUP(A130,[1]Sheet1!$A:$G,7,FALSE)</f>
        <v>59</v>
      </c>
    </row>
    <row r="131" spans="1:22" s="13" customFormat="1" ht="30" customHeight="1">
      <c r="A131" s="17">
        <v>127</v>
      </c>
      <c r="B131" s="8">
        <v>40695</v>
      </c>
      <c r="C131" s="8" t="str">
        <f t="shared" si="3"/>
        <v>Wednesday</v>
      </c>
      <c r="D131" s="9">
        <v>1</v>
      </c>
      <c r="E131" s="9">
        <v>0</v>
      </c>
      <c r="F131" s="9">
        <v>1</v>
      </c>
      <c r="G131" s="7">
        <v>12</v>
      </c>
      <c r="H131" s="9" t="b">
        <v>0</v>
      </c>
      <c r="I131" s="9">
        <v>4</v>
      </c>
      <c r="J131" s="38" t="str">
        <f>CHOOSE(Table1[[#This Row],[Weekday]]+1,"Sunday","Monday","Tuesday","Wednesday","Thursday","Friday","Saturday")</f>
        <v>Thursday</v>
      </c>
      <c r="K131" s="9">
        <v>1</v>
      </c>
      <c r="L131" s="38" t="str">
        <f>IF(Table1[[#This Row],[Weather_code]]=1,"Clear",IF(Table1[[#This Row],[Weather_code]]=2,"Cloudy",IF(Table1[[#This Row],[Weather_code]]=3,"Light Rain",IF(Table1[[#This Row],[Weather_code]]=4,"Heavy Rain"))))</f>
        <v>Clear</v>
      </c>
      <c r="M131" s="10">
        <v>0.26</v>
      </c>
      <c r="N131" s="11" t="str">
        <f t="shared" si="4"/>
        <v>Winter</v>
      </c>
      <c r="O131" s="11" t="str">
        <f t="shared" si="5"/>
        <v>Weekday</v>
      </c>
      <c r="P131" s="11">
        <f>VLOOKUP(A131,[1]Sheet1!$A:$H,2, FALSE)</f>
        <v>0.28789999999999999</v>
      </c>
      <c r="Q131" s="40">
        <f>Table1[[#This Row],[A_Temperature]]*41</f>
        <v>11.803899999999999</v>
      </c>
      <c r="R131" s="11">
        <f>VLOOKUP(A131,[1]Sheet1!$A:$G,3,FALSE)</f>
        <v>0.35</v>
      </c>
      <c r="S131" s="11">
        <f>VLOOKUP(A131,[1]Sheet1!$A:$G,4,FALSE)</f>
        <v>0</v>
      </c>
      <c r="T131" s="11">
        <f>VLOOKUP(A131,[1]Sheet1!$A:$G,5,FALSE)</f>
        <v>6</v>
      </c>
      <c r="U131" s="11">
        <f>VLOOKUP(A131,[1]Sheet1!$A:$G,6,FALSE)</f>
        <v>78</v>
      </c>
      <c r="V131" s="18">
        <f>VLOOKUP(A131,[1]Sheet1!$A:$G,7,FALSE)</f>
        <v>84</v>
      </c>
    </row>
    <row r="132" spans="1:22" s="13" customFormat="1" ht="30" customHeight="1">
      <c r="A132" s="17">
        <v>128</v>
      </c>
      <c r="B132" s="8">
        <v>40695</v>
      </c>
      <c r="C132" s="8" t="str">
        <f t="shared" si="3"/>
        <v>Wednesday</v>
      </c>
      <c r="D132" s="9">
        <v>1</v>
      </c>
      <c r="E132" s="9">
        <v>0</v>
      </c>
      <c r="F132" s="9">
        <v>1</v>
      </c>
      <c r="G132" s="7">
        <v>13</v>
      </c>
      <c r="H132" s="9" t="b">
        <v>0</v>
      </c>
      <c r="I132" s="9">
        <v>4</v>
      </c>
      <c r="J132" s="38" t="str">
        <f>CHOOSE(Table1[[#This Row],[Weekday]]+1,"Sunday","Monday","Tuesday","Wednesday","Thursday","Friday","Saturday")</f>
        <v>Thursday</v>
      </c>
      <c r="K132" s="9">
        <v>1</v>
      </c>
      <c r="L132" s="38" t="str">
        <f>IF(Table1[[#This Row],[Weather_code]]=1,"Clear",IF(Table1[[#This Row],[Weather_code]]=2,"Cloudy",IF(Table1[[#This Row],[Weather_code]]=3,"Light Rain",IF(Table1[[#This Row],[Weather_code]]=4,"Heavy Rain"))))</f>
        <v>Clear</v>
      </c>
      <c r="M132" s="10">
        <v>0.26</v>
      </c>
      <c r="N132" s="11" t="str">
        <f t="shared" si="4"/>
        <v>Winter</v>
      </c>
      <c r="O132" s="11" t="str">
        <f t="shared" si="5"/>
        <v>Weekday</v>
      </c>
      <c r="P132" s="11">
        <f>VLOOKUP(A132,[1]Sheet1!$A:$H,2, FALSE)</f>
        <v>0.2727</v>
      </c>
      <c r="Q132" s="40">
        <f>Table1[[#This Row],[A_Temperature]]*41</f>
        <v>11.1807</v>
      </c>
      <c r="R132" s="11">
        <f>VLOOKUP(A132,[1]Sheet1!$A:$G,3,FALSE)</f>
        <v>0.35</v>
      </c>
      <c r="S132" s="11">
        <f>VLOOKUP(A132,[1]Sheet1!$A:$G,4,FALSE)</f>
        <v>0.1045</v>
      </c>
      <c r="T132" s="11">
        <f>VLOOKUP(A132,[1]Sheet1!$A:$G,5,FALSE)</f>
        <v>12</v>
      </c>
      <c r="U132" s="11">
        <f>VLOOKUP(A132,[1]Sheet1!$A:$G,6,FALSE)</f>
        <v>55</v>
      </c>
      <c r="V132" s="18">
        <f>VLOOKUP(A132,[1]Sheet1!$A:$G,7,FALSE)</f>
        <v>67</v>
      </c>
    </row>
    <row r="133" spans="1:22" s="13" customFormat="1" ht="30" customHeight="1">
      <c r="A133" s="17">
        <v>129</v>
      </c>
      <c r="B133" s="8">
        <v>40695</v>
      </c>
      <c r="C133" s="8" t="str">
        <f t="shared" si="3"/>
        <v>Wednesday</v>
      </c>
      <c r="D133" s="9">
        <v>1</v>
      </c>
      <c r="E133" s="9">
        <v>0</v>
      </c>
      <c r="F133" s="9">
        <v>1</v>
      </c>
      <c r="G133" s="7">
        <v>14</v>
      </c>
      <c r="H133" s="9" t="b">
        <v>0</v>
      </c>
      <c r="I133" s="9">
        <v>4</v>
      </c>
      <c r="J133" s="38" t="str">
        <f>CHOOSE(Table1[[#This Row],[Weekday]]+1,"Sunday","Monday","Tuesday","Wednesday","Thursday","Friday","Saturday")</f>
        <v>Thursday</v>
      </c>
      <c r="K133" s="9">
        <v>1</v>
      </c>
      <c r="L133" s="38" t="str">
        <f>IF(Table1[[#This Row],[Weather_code]]=1,"Clear",IF(Table1[[#This Row],[Weather_code]]=2,"Cloudy",IF(Table1[[#This Row],[Weather_code]]=3,"Light Rain",IF(Table1[[#This Row],[Weather_code]]=4,"Heavy Rain"))))</f>
        <v>Clear</v>
      </c>
      <c r="M133" s="10">
        <v>0.28000000000000003</v>
      </c>
      <c r="N133" s="11" t="str">
        <f t="shared" si="4"/>
        <v>Winter</v>
      </c>
      <c r="O133" s="11" t="str">
        <f t="shared" si="5"/>
        <v>Weekday</v>
      </c>
      <c r="P133" s="11">
        <f>VLOOKUP(A133,[1]Sheet1!$A:$H,2, FALSE)</f>
        <v>0.2727</v>
      </c>
      <c r="Q133" s="40">
        <f>Table1[[#This Row],[A_Temperature]]*41</f>
        <v>11.1807</v>
      </c>
      <c r="R133" s="11">
        <f>VLOOKUP(A133,[1]Sheet1!$A:$G,3,FALSE)</f>
        <v>0.36</v>
      </c>
      <c r="S133" s="11">
        <f>VLOOKUP(A133,[1]Sheet1!$A:$G,4,FALSE)</f>
        <v>0.16420000000000001</v>
      </c>
      <c r="T133" s="11">
        <f>VLOOKUP(A133,[1]Sheet1!$A:$G,5,FALSE)</f>
        <v>11</v>
      </c>
      <c r="U133" s="11">
        <f>VLOOKUP(A133,[1]Sheet1!$A:$G,6,FALSE)</f>
        <v>59</v>
      </c>
      <c r="V133" s="18">
        <f>VLOOKUP(A133,[1]Sheet1!$A:$G,7,FALSE)</f>
        <v>70</v>
      </c>
    </row>
    <row r="134" spans="1:22" s="13" customFormat="1" ht="30" customHeight="1">
      <c r="A134" s="17">
        <v>130</v>
      </c>
      <c r="B134" s="8">
        <v>40695</v>
      </c>
      <c r="C134" s="8" t="str">
        <f t="shared" ref="C134:C155" si="6">TEXT(B134,"DDDD")</f>
        <v>Wednesday</v>
      </c>
      <c r="D134" s="9">
        <v>1</v>
      </c>
      <c r="E134" s="9">
        <v>0</v>
      </c>
      <c r="F134" s="9">
        <v>1</v>
      </c>
      <c r="G134" s="7">
        <v>15</v>
      </c>
      <c r="H134" s="9" t="b">
        <v>0</v>
      </c>
      <c r="I134" s="9">
        <v>4</v>
      </c>
      <c r="J134" s="38" t="str">
        <f>CHOOSE(Table1[[#This Row],[Weekday]]+1,"Sunday","Monday","Tuesday","Wednesday","Thursday","Friday","Saturday")</f>
        <v>Thursday</v>
      </c>
      <c r="K134" s="9">
        <v>1</v>
      </c>
      <c r="L134" s="38" t="str">
        <f>IF(Table1[[#This Row],[Weather_code]]=1,"Clear",IF(Table1[[#This Row],[Weather_code]]=2,"Cloudy",IF(Table1[[#This Row],[Weather_code]]=3,"Light Rain",IF(Table1[[#This Row],[Weather_code]]=4,"Heavy Rain"))))</f>
        <v>Clear</v>
      </c>
      <c r="M134" s="10">
        <v>0.28000000000000003</v>
      </c>
      <c r="N134" s="11" t="str">
        <f t="shared" ref="N134:N197" si="7">CHOOSE(D134,"Winter","Spring","Summer","Fall")</f>
        <v>Winter</v>
      </c>
      <c r="O134" s="11" t="str">
        <f t="shared" ref="O134:O197" si="8">IF(OR(WEEKDAY(B134,2)=6,WEEKDAY(B134,2)=7),"Weekend","Weekday")</f>
        <v>Weekday</v>
      </c>
      <c r="P134" s="11">
        <f>VLOOKUP(A134,[1]Sheet1!$A:$H,2, FALSE)</f>
        <v>0.2727</v>
      </c>
      <c r="Q134" s="40">
        <f>Table1[[#This Row],[A_Temperature]]*41</f>
        <v>11.1807</v>
      </c>
      <c r="R134" s="11">
        <f>VLOOKUP(A134,[1]Sheet1!$A:$G,3,FALSE)</f>
        <v>0.36</v>
      </c>
      <c r="S134" s="11">
        <f>VLOOKUP(A134,[1]Sheet1!$A:$G,4,FALSE)</f>
        <v>0</v>
      </c>
      <c r="T134" s="11">
        <f>VLOOKUP(A134,[1]Sheet1!$A:$G,5,FALSE)</f>
        <v>8</v>
      </c>
      <c r="U134" s="11">
        <f>VLOOKUP(A134,[1]Sheet1!$A:$G,6,FALSE)</f>
        <v>54</v>
      </c>
      <c r="V134" s="18">
        <f>VLOOKUP(A134,[1]Sheet1!$A:$G,7,FALSE)</f>
        <v>62</v>
      </c>
    </row>
    <row r="135" spans="1:22" s="13" customFormat="1" ht="30" customHeight="1">
      <c r="A135" s="17">
        <v>131</v>
      </c>
      <c r="B135" s="8">
        <v>40695</v>
      </c>
      <c r="C135" s="8" t="str">
        <f t="shared" si="6"/>
        <v>Wednesday</v>
      </c>
      <c r="D135" s="9">
        <v>1</v>
      </c>
      <c r="E135" s="9">
        <v>0</v>
      </c>
      <c r="F135" s="9">
        <v>1</v>
      </c>
      <c r="G135" s="7">
        <v>16</v>
      </c>
      <c r="H135" s="9" t="b">
        <v>0</v>
      </c>
      <c r="I135" s="9">
        <v>4</v>
      </c>
      <c r="J135" s="38" t="str">
        <f>CHOOSE(Table1[[#This Row],[Weekday]]+1,"Sunday","Monday","Tuesday","Wednesday","Thursday","Friday","Saturday")</f>
        <v>Thursday</v>
      </c>
      <c r="K135" s="9">
        <v>1</v>
      </c>
      <c r="L135" s="38" t="str">
        <f>IF(Table1[[#This Row],[Weather_code]]=1,"Clear",IF(Table1[[#This Row],[Weather_code]]=2,"Cloudy",IF(Table1[[#This Row],[Weather_code]]=3,"Light Rain",IF(Table1[[#This Row],[Weather_code]]=4,"Heavy Rain"))))</f>
        <v>Clear</v>
      </c>
      <c r="M135" s="10">
        <v>0.26</v>
      </c>
      <c r="N135" s="11" t="str">
        <f t="shared" si="7"/>
        <v>Winter</v>
      </c>
      <c r="O135" s="11" t="str">
        <f t="shared" si="8"/>
        <v>Weekday</v>
      </c>
      <c r="P135" s="11">
        <f>VLOOKUP(A135,[1]Sheet1!$A:$H,2, FALSE)</f>
        <v>0.2576</v>
      </c>
      <c r="Q135" s="40">
        <f>Table1[[#This Row],[A_Temperature]]*41</f>
        <v>10.5616</v>
      </c>
      <c r="R135" s="11">
        <f>VLOOKUP(A135,[1]Sheet1!$A:$G,3,FALSE)</f>
        <v>0.38</v>
      </c>
      <c r="S135" s="11">
        <f>VLOOKUP(A135,[1]Sheet1!$A:$G,4,FALSE)</f>
        <v>0.16420000000000001</v>
      </c>
      <c r="T135" s="11">
        <f>VLOOKUP(A135,[1]Sheet1!$A:$G,5,FALSE)</f>
        <v>12</v>
      </c>
      <c r="U135" s="11">
        <f>VLOOKUP(A135,[1]Sheet1!$A:$G,6,FALSE)</f>
        <v>74</v>
      </c>
      <c r="V135" s="18">
        <f>VLOOKUP(A135,[1]Sheet1!$A:$G,7,FALSE)</f>
        <v>86</v>
      </c>
    </row>
    <row r="136" spans="1:22" s="13" customFormat="1" ht="30" customHeight="1">
      <c r="A136" s="17">
        <v>132</v>
      </c>
      <c r="B136" s="8">
        <v>40695</v>
      </c>
      <c r="C136" s="8" t="str">
        <f t="shared" si="6"/>
        <v>Wednesday</v>
      </c>
      <c r="D136" s="9">
        <v>1</v>
      </c>
      <c r="E136" s="9">
        <v>0</v>
      </c>
      <c r="F136" s="9">
        <v>1</v>
      </c>
      <c r="G136" s="7">
        <v>17</v>
      </c>
      <c r="H136" s="9" t="b">
        <v>0</v>
      </c>
      <c r="I136" s="9">
        <v>4</v>
      </c>
      <c r="J136" s="38" t="str">
        <f>CHOOSE(Table1[[#This Row],[Weekday]]+1,"Sunday","Monday","Tuesday","Wednesday","Thursday","Friday","Saturday")</f>
        <v>Thursday</v>
      </c>
      <c r="K136" s="9">
        <v>1</v>
      </c>
      <c r="L136" s="38" t="str">
        <f>IF(Table1[[#This Row],[Weather_code]]=1,"Clear",IF(Table1[[#This Row],[Weather_code]]=2,"Cloudy",IF(Table1[[#This Row],[Weather_code]]=3,"Light Rain",IF(Table1[[#This Row],[Weather_code]]=4,"Heavy Rain"))))</f>
        <v>Clear</v>
      </c>
      <c r="M136" s="10">
        <v>0.22</v>
      </c>
      <c r="N136" s="11" t="str">
        <f t="shared" si="7"/>
        <v>Winter</v>
      </c>
      <c r="O136" s="11" t="str">
        <f t="shared" si="8"/>
        <v>Weekday</v>
      </c>
      <c r="P136" s="11">
        <f>VLOOKUP(A136,[1]Sheet1!$A:$H,2, FALSE)</f>
        <v>0.2273</v>
      </c>
      <c r="Q136" s="40">
        <f>Table1[[#This Row],[A_Temperature]]*41</f>
        <v>9.3193000000000001</v>
      </c>
      <c r="R136" s="11">
        <f>VLOOKUP(A136,[1]Sheet1!$A:$G,3,FALSE)</f>
        <v>0.51</v>
      </c>
      <c r="S136" s="11">
        <f>VLOOKUP(A136,[1]Sheet1!$A:$G,4,FALSE)</f>
        <v>0.16420000000000001</v>
      </c>
      <c r="T136" s="11">
        <f>VLOOKUP(A136,[1]Sheet1!$A:$G,5,FALSE)</f>
        <v>9</v>
      </c>
      <c r="U136" s="11">
        <f>VLOOKUP(A136,[1]Sheet1!$A:$G,6,FALSE)</f>
        <v>163</v>
      </c>
      <c r="V136" s="18">
        <f>VLOOKUP(A136,[1]Sheet1!$A:$G,7,FALSE)</f>
        <v>172</v>
      </c>
    </row>
    <row r="137" spans="1:22" s="13" customFormat="1" ht="30" customHeight="1">
      <c r="A137" s="17">
        <v>133</v>
      </c>
      <c r="B137" s="8">
        <v>40695</v>
      </c>
      <c r="C137" s="8" t="str">
        <f t="shared" si="6"/>
        <v>Wednesday</v>
      </c>
      <c r="D137" s="9">
        <v>1</v>
      </c>
      <c r="E137" s="9">
        <v>0</v>
      </c>
      <c r="F137" s="9">
        <v>1</v>
      </c>
      <c r="G137" s="7">
        <v>18</v>
      </c>
      <c r="H137" s="9" t="b">
        <v>0</v>
      </c>
      <c r="I137" s="9">
        <v>4</v>
      </c>
      <c r="J137" s="38" t="str">
        <f>CHOOSE(Table1[[#This Row],[Weekday]]+1,"Sunday","Monday","Tuesday","Wednesday","Thursday","Friday","Saturday")</f>
        <v>Thursday</v>
      </c>
      <c r="K137" s="9">
        <v>1</v>
      </c>
      <c r="L137" s="38" t="str">
        <f>IF(Table1[[#This Row],[Weather_code]]=1,"Clear",IF(Table1[[#This Row],[Weather_code]]=2,"Cloudy",IF(Table1[[#This Row],[Weather_code]]=3,"Light Rain",IF(Table1[[#This Row],[Weather_code]]=4,"Heavy Rain"))))</f>
        <v>Clear</v>
      </c>
      <c r="M137" s="10">
        <v>0.22</v>
      </c>
      <c r="N137" s="11" t="str">
        <f t="shared" si="7"/>
        <v>Winter</v>
      </c>
      <c r="O137" s="11" t="str">
        <f t="shared" si="8"/>
        <v>Weekday</v>
      </c>
      <c r="P137" s="11">
        <f>VLOOKUP(A137,[1]Sheet1!$A:$H,2, FALSE)</f>
        <v>0.2273</v>
      </c>
      <c r="Q137" s="40">
        <f>Table1[[#This Row],[A_Temperature]]*41</f>
        <v>9.3193000000000001</v>
      </c>
      <c r="R137" s="11">
        <f>VLOOKUP(A137,[1]Sheet1!$A:$G,3,FALSE)</f>
        <v>0.51</v>
      </c>
      <c r="S137" s="11">
        <f>VLOOKUP(A137,[1]Sheet1!$A:$G,4,FALSE)</f>
        <v>0.1343</v>
      </c>
      <c r="T137" s="11">
        <f>VLOOKUP(A137,[1]Sheet1!$A:$G,5,FALSE)</f>
        <v>5</v>
      </c>
      <c r="U137" s="11">
        <f>VLOOKUP(A137,[1]Sheet1!$A:$G,6,FALSE)</f>
        <v>158</v>
      </c>
      <c r="V137" s="18">
        <f>VLOOKUP(A137,[1]Sheet1!$A:$G,7,FALSE)</f>
        <v>163</v>
      </c>
    </row>
    <row r="138" spans="1:22" s="13" customFormat="1" ht="30" customHeight="1">
      <c r="A138" s="17">
        <v>134</v>
      </c>
      <c r="B138" s="8">
        <v>40695</v>
      </c>
      <c r="C138" s="8" t="str">
        <f t="shared" si="6"/>
        <v>Wednesday</v>
      </c>
      <c r="D138" s="9">
        <v>1</v>
      </c>
      <c r="E138" s="9">
        <v>0</v>
      </c>
      <c r="F138" s="9">
        <v>1</v>
      </c>
      <c r="G138" s="7">
        <v>19</v>
      </c>
      <c r="H138" s="9" t="b">
        <v>0</v>
      </c>
      <c r="I138" s="9">
        <v>4</v>
      </c>
      <c r="J138" s="38" t="str">
        <f>CHOOSE(Table1[[#This Row],[Weekday]]+1,"Sunday","Monday","Tuesday","Wednesday","Thursday","Friday","Saturday")</f>
        <v>Thursday</v>
      </c>
      <c r="K138" s="9">
        <v>1</v>
      </c>
      <c r="L138" s="38" t="str">
        <f>IF(Table1[[#This Row],[Weather_code]]=1,"Clear",IF(Table1[[#This Row],[Weather_code]]=2,"Cloudy",IF(Table1[[#This Row],[Weather_code]]=3,"Light Rain",IF(Table1[[#This Row],[Weather_code]]=4,"Heavy Rain"))))</f>
        <v>Clear</v>
      </c>
      <c r="M138" s="10">
        <v>0.22</v>
      </c>
      <c r="N138" s="11" t="str">
        <f t="shared" si="7"/>
        <v>Winter</v>
      </c>
      <c r="O138" s="11" t="str">
        <f t="shared" si="8"/>
        <v>Weekday</v>
      </c>
      <c r="P138" s="11">
        <f>VLOOKUP(A138,[1]Sheet1!$A:$H,2, FALSE)</f>
        <v>0.2576</v>
      </c>
      <c r="Q138" s="40">
        <f>Table1[[#This Row],[A_Temperature]]*41</f>
        <v>10.5616</v>
      </c>
      <c r="R138" s="11">
        <f>VLOOKUP(A138,[1]Sheet1!$A:$G,3,FALSE)</f>
        <v>0.55000000000000004</v>
      </c>
      <c r="S138" s="11">
        <f>VLOOKUP(A138,[1]Sheet1!$A:$G,4,FALSE)</f>
        <v>8.9599999999999999E-2</v>
      </c>
      <c r="T138" s="11">
        <f>VLOOKUP(A138,[1]Sheet1!$A:$G,5,FALSE)</f>
        <v>3</v>
      </c>
      <c r="U138" s="11">
        <f>VLOOKUP(A138,[1]Sheet1!$A:$G,6,FALSE)</f>
        <v>109</v>
      </c>
      <c r="V138" s="18">
        <f>VLOOKUP(A138,[1]Sheet1!$A:$G,7,FALSE)</f>
        <v>112</v>
      </c>
    </row>
    <row r="139" spans="1:22" s="13" customFormat="1" ht="30" customHeight="1">
      <c r="A139" s="17">
        <v>135</v>
      </c>
      <c r="B139" s="8">
        <v>40695</v>
      </c>
      <c r="C139" s="8" t="str">
        <f t="shared" si="6"/>
        <v>Wednesday</v>
      </c>
      <c r="D139" s="9">
        <v>1</v>
      </c>
      <c r="E139" s="9">
        <v>0</v>
      </c>
      <c r="F139" s="9">
        <v>1</v>
      </c>
      <c r="G139" s="7">
        <v>20</v>
      </c>
      <c r="H139" s="9" t="b">
        <v>0</v>
      </c>
      <c r="I139" s="9">
        <v>4</v>
      </c>
      <c r="J139" s="38" t="str">
        <f>CHOOSE(Table1[[#This Row],[Weekday]]+1,"Sunday","Monday","Tuesday","Wednesday","Thursday","Friday","Saturday")</f>
        <v>Thursday</v>
      </c>
      <c r="K139" s="9">
        <v>1</v>
      </c>
      <c r="L139" s="38" t="str">
        <f>IF(Table1[[#This Row],[Weather_code]]=1,"Clear",IF(Table1[[#This Row],[Weather_code]]=2,"Cloudy",IF(Table1[[#This Row],[Weather_code]]=3,"Light Rain",IF(Table1[[#This Row],[Weather_code]]=4,"Heavy Rain"))))</f>
        <v>Clear</v>
      </c>
      <c r="M139" s="10">
        <v>0.2</v>
      </c>
      <c r="N139" s="11" t="str">
        <f t="shared" si="7"/>
        <v>Winter</v>
      </c>
      <c r="O139" s="11" t="str">
        <f t="shared" si="8"/>
        <v>Weekday</v>
      </c>
      <c r="P139" s="11">
        <f>VLOOKUP(A139,[1]Sheet1!$A:$H,2, FALSE)</f>
        <v>0.21210000000000001</v>
      </c>
      <c r="Q139" s="40">
        <f>Table1[[#This Row],[A_Temperature]]*41</f>
        <v>8.6961000000000013</v>
      </c>
      <c r="R139" s="11">
        <f>VLOOKUP(A139,[1]Sheet1!$A:$G,3,FALSE)</f>
        <v>0.51</v>
      </c>
      <c r="S139" s="11">
        <f>VLOOKUP(A139,[1]Sheet1!$A:$G,4,FALSE)</f>
        <v>0.16420000000000001</v>
      </c>
      <c r="T139" s="11">
        <f>VLOOKUP(A139,[1]Sheet1!$A:$G,5,FALSE)</f>
        <v>3</v>
      </c>
      <c r="U139" s="11">
        <f>VLOOKUP(A139,[1]Sheet1!$A:$G,6,FALSE)</f>
        <v>66</v>
      </c>
      <c r="V139" s="18">
        <f>VLOOKUP(A139,[1]Sheet1!$A:$G,7,FALSE)</f>
        <v>69</v>
      </c>
    </row>
    <row r="140" spans="1:22" s="13" customFormat="1" ht="30" customHeight="1">
      <c r="A140" s="17">
        <v>136</v>
      </c>
      <c r="B140" s="8">
        <v>40695</v>
      </c>
      <c r="C140" s="8" t="str">
        <f t="shared" si="6"/>
        <v>Wednesday</v>
      </c>
      <c r="D140" s="9">
        <v>1</v>
      </c>
      <c r="E140" s="9">
        <v>0</v>
      </c>
      <c r="F140" s="9">
        <v>1</v>
      </c>
      <c r="G140" s="7">
        <v>21</v>
      </c>
      <c r="H140" s="9" t="b">
        <v>0</v>
      </c>
      <c r="I140" s="9">
        <v>4</v>
      </c>
      <c r="J140" s="38" t="str">
        <f>CHOOSE(Table1[[#This Row],[Weekday]]+1,"Sunday","Monday","Tuesday","Wednesday","Thursday","Friday","Saturday")</f>
        <v>Thursday</v>
      </c>
      <c r="K140" s="9">
        <v>2</v>
      </c>
      <c r="L140" s="38" t="str">
        <f>IF(Table1[[#This Row],[Weather_code]]=1,"Clear",IF(Table1[[#This Row],[Weather_code]]=2,"Cloudy",IF(Table1[[#This Row],[Weather_code]]=3,"Light Rain",IF(Table1[[#This Row],[Weather_code]]=4,"Heavy Rain"))))</f>
        <v>Cloudy</v>
      </c>
      <c r="M140" s="10">
        <v>0.22</v>
      </c>
      <c r="N140" s="11" t="str">
        <f t="shared" si="7"/>
        <v>Winter</v>
      </c>
      <c r="O140" s="11" t="str">
        <f t="shared" si="8"/>
        <v>Weekday</v>
      </c>
      <c r="P140" s="11">
        <f>VLOOKUP(A140,[1]Sheet1!$A:$H,2, FALSE)</f>
        <v>0.21210000000000001</v>
      </c>
      <c r="Q140" s="40">
        <f>Table1[[#This Row],[A_Temperature]]*41</f>
        <v>8.6961000000000013</v>
      </c>
      <c r="R140" s="11">
        <f>VLOOKUP(A140,[1]Sheet1!$A:$G,3,FALSE)</f>
        <v>0.55000000000000004</v>
      </c>
      <c r="S140" s="11">
        <f>VLOOKUP(A140,[1]Sheet1!$A:$G,4,FALSE)</f>
        <v>0.22389999999999999</v>
      </c>
      <c r="T140" s="11">
        <f>VLOOKUP(A140,[1]Sheet1!$A:$G,5,FALSE)</f>
        <v>0</v>
      </c>
      <c r="U140" s="11">
        <f>VLOOKUP(A140,[1]Sheet1!$A:$G,6,FALSE)</f>
        <v>48</v>
      </c>
      <c r="V140" s="18">
        <f>VLOOKUP(A140,[1]Sheet1!$A:$G,7,FALSE)</f>
        <v>48</v>
      </c>
    </row>
    <row r="141" spans="1:22" s="13" customFormat="1" ht="30" customHeight="1">
      <c r="A141" s="17">
        <v>137</v>
      </c>
      <c r="B141" s="8">
        <v>40695</v>
      </c>
      <c r="C141" s="8" t="str">
        <f t="shared" si="6"/>
        <v>Wednesday</v>
      </c>
      <c r="D141" s="9">
        <v>1</v>
      </c>
      <c r="E141" s="9">
        <v>0</v>
      </c>
      <c r="F141" s="9">
        <v>1</v>
      </c>
      <c r="G141" s="7">
        <v>22</v>
      </c>
      <c r="H141" s="9" t="b">
        <v>0</v>
      </c>
      <c r="I141" s="9">
        <v>4</v>
      </c>
      <c r="J141" s="38" t="str">
        <f>CHOOSE(Table1[[#This Row],[Weekday]]+1,"Sunday","Monday","Tuesday","Wednesday","Thursday","Friday","Saturday")</f>
        <v>Thursday</v>
      </c>
      <c r="K141" s="9">
        <v>2</v>
      </c>
      <c r="L141" s="38" t="str">
        <f>IF(Table1[[#This Row],[Weather_code]]=1,"Clear",IF(Table1[[#This Row],[Weather_code]]=2,"Cloudy",IF(Table1[[#This Row],[Weather_code]]=3,"Light Rain",IF(Table1[[#This Row],[Weather_code]]=4,"Heavy Rain"))))</f>
        <v>Cloudy</v>
      </c>
      <c r="M141" s="10">
        <v>0.22</v>
      </c>
      <c r="N141" s="11" t="str">
        <f t="shared" si="7"/>
        <v>Winter</v>
      </c>
      <c r="O141" s="11" t="str">
        <f t="shared" si="8"/>
        <v>Weekday</v>
      </c>
      <c r="P141" s="11">
        <f>VLOOKUP(A141,[1]Sheet1!$A:$H,2, FALSE)</f>
        <v>0.21210000000000001</v>
      </c>
      <c r="Q141" s="40">
        <f>Table1[[#This Row],[A_Temperature]]*41</f>
        <v>8.6961000000000013</v>
      </c>
      <c r="R141" s="11">
        <f>VLOOKUP(A141,[1]Sheet1!$A:$G,3,FALSE)</f>
        <v>0.51</v>
      </c>
      <c r="S141" s="11">
        <f>VLOOKUP(A141,[1]Sheet1!$A:$G,4,FALSE)</f>
        <v>0.28360000000000002</v>
      </c>
      <c r="T141" s="11">
        <f>VLOOKUP(A141,[1]Sheet1!$A:$G,5,FALSE)</f>
        <v>1</v>
      </c>
      <c r="U141" s="11">
        <f>VLOOKUP(A141,[1]Sheet1!$A:$G,6,FALSE)</f>
        <v>51</v>
      </c>
      <c r="V141" s="18">
        <f>VLOOKUP(A141,[1]Sheet1!$A:$G,7,FALSE)</f>
        <v>52</v>
      </c>
    </row>
    <row r="142" spans="1:22" s="13" customFormat="1" ht="30" customHeight="1">
      <c r="A142" s="17">
        <v>138</v>
      </c>
      <c r="B142" s="8">
        <v>40695</v>
      </c>
      <c r="C142" s="8" t="str">
        <f t="shared" si="6"/>
        <v>Wednesday</v>
      </c>
      <c r="D142" s="9">
        <v>1</v>
      </c>
      <c r="E142" s="9">
        <v>0</v>
      </c>
      <c r="F142" s="9">
        <v>1</v>
      </c>
      <c r="G142" s="7">
        <v>23</v>
      </c>
      <c r="H142" s="9" t="b">
        <v>0</v>
      </c>
      <c r="I142" s="9">
        <v>4</v>
      </c>
      <c r="J142" s="38" t="str">
        <f>CHOOSE(Table1[[#This Row],[Weekday]]+1,"Sunday","Monday","Tuesday","Wednesday","Thursday","Friday","Saturday")</f>
        <v>Thursday</v>
      </c>
      <c r="K142" s="9">
        <v>2</v>
      </c>
      <c r="L142" s="38" t="str">
        <f>IF(Table1[[#This Row],[Weather_code]]=1,"Clear",IF(Table1[[#This Row],[Weather_code]]=2,"Cloudy",IF(Table1[[#This Row],[Weather_code]]=3,"Light Rain",IF(Table1[[#This Row],[Weather_code]]=4,"Heavy Rain"))))</f>
        <v>Cloudy</v>
      </c>
      <c r="M142" s="10">
        <v>0.2</v>
      </c>
      <c r="N142" s="11" t="str">
        <f t="shared" si="7"/>
        <v>Winter</v>
      </c>
      <c r="O142" s="11" t="str">
        <f t="shared" si="8"/>
        <v>Weekday</v>
      </c>
      <c r="P142" s="11">
        <f>VLOOKUP(A142,[1]Sheet1!$A:$H,2, FALSE)</f>
        <v>0.19700000000000001</v>
      </c>
      <c r="Q142" s="40">
        <f>Table1[[#This Row],[A_Temperature]]*41</f>
        <v>8.077</v>
      </c>
      <c r="R142" s="11">
        <f>VLOOKUP(A142,[1]Sheet1!$A:$G,3,FALSE)</f>
        <v>0.59</v>
      </c>
      <c r="S142" s="11">
        <f>VLOOKUP(A142,[1]Sheet1!$A:$G,4,FALSE)</f>
        <v>0.19400000000000001</v>
      </c>
      <c r="T142" s="11">
        <f>VLOOKUP(A142,[1]Sheet1!$A:$G,5,FALSE)</f>
        <v>4</v>
      </c>
      <c r="U142" s="11">
        <f>VLOOKUP(A142,[1]Sheet1!$A:$G,6,FALSE)</f>
        <v>19</v>
      </c>
      <c r="V142" s="18">
        <f>VLOOKUP(A142,[1]Sheet1!$A:$G,7,FALSE)</f>
        <v>23</v>
      </c>
    </row>
    <row r="143" spans="1:22" s="13" customFormat="1" ht="30" customHeight="1">
      <c r="A143" s="17">
        <v>139</v>
      </c>
      <c r="B143" s="8">
        <v>40725</v>
      </c>
      <c r="C143" s="8" t="str">
        <f t="shared" si="6"/>
        <v>Friday</v>
      </c>
      <c r="D143" s="9">
        <v>1</v>
      </c>
      <c r="E143" s="9">
        <v>0</v>
      </c>
      <c r="F143" s="9">
        <v>1</v>
      </c>
      <c r="G143" s="7">
        <v>0</v>
      </c>
      <c r="H143" s="9" t="b">
        <v>0</v>
      </c>
      <c r="I143" s="9">
        <v>5</v>
      </c>
      <c r="J143" s="38" t="str">
        <f>CHOOSE(Table1[[#This Row],[Weekday]]+1,"Sunday","Monday","Tuesday","Wednesday","Thursday","Friday","Saturday")</f>
        <v>Friday</v>
      </c>
      <c r="K143" s="9">
        <v>2</v>
      </c>
      <c r="L143" s="38" t="str">
        <f>IF(Table1[[#This Row],[Weather_code]]=1,"Clear",IF(Table1[[#This Row],[Weather_code]]=2,"Cloudy",IF(Table1[[#This Row],[Weather_code]]=3,"Light Rain",IF(Table1[[#This Row],[Weather_code]]=4,"Heavy Rain"))))</f>
        <v>Cloudy</v>
      </c>
      <c r="M143" s="10">
        <v>0.2</v>
      </c>
      <c r="N143" s="11" t="str">
        <f t="shared" si="7"/>
        <v>Winter</v>
      </c>
      <c r="O143" s="11" t="str">
        <f t="shared" si="8"/>
        <v>Weekday</v>
      </c>
      <c r="P143" s="11">
        <f>VLOOKUP(A143,[1]Sheet1!$A:$H,2, FALSE)</f>
        <v>0.19700000000000001</v>
      </c>
      <c r="Q143" s="40">
        <f>Table1[[#This Row],[A_Temperature]]*41</f>
        <v>8.077</v>
      </c>
      <c r="R143" s="11">
        <f>VLOOKUP(A143,[1]Sheet1!$A:$G,3,FALSE)</f>
        <v>0.64</v>
      </c>
      <c r="S143" s="11">
        <f>VLOOKUP(A143,[1]Sheet1!$A:$G,4,FALSE)</f>
        <v>0.19400000000000001</v>
      </c>
      <c r="T143" s="11">
        <f>VLOOKUP(A143,[1]Sheet1!$A:$G,5,FALSE)</f>
        <v>4</v>
      </c>
      <c r="U143" s="11">
        <f>VLOOKUP(A143,[1]Sheet1!$A:$G,6,FALSE)</f>
        <v>13</v>
      </c>
      <c r="V143" s="18">
        <f>VLOOKUP(A143,[1]Sheet1!$A:$G,7,FALSE)</f>
        <v>17</v>
      </c>
    </row>
    <row r="144" spans="1:22" s="13" customFormat="1" ht="30" customHeight="1">
      <c r="A144" s="17">
        <v>140</v>
      </c>
      <c r="B144" s="8">
        <v>40725</v>
      </c>
      <c r="C144" s="8" t="str">
        <f t="shared" si="6"/>
        <v>Friday</v>
      </c>
      <c r="D144" s="9">
        <v>1</v>
      </c>
      <c r="E144" s="9">
        <v>0</v>
      </c>
      <c r="F144" s="9">
        <v>1</v>
      </c>
      <c r="G144" s="7">
        <v>1</v>
      </c>
      <c r="H144" s="9" t="b">
        <v>0</v>
      </c>
      <c r="I144" s="9">
        <v>5</v>
      </c>
      <c r="J144" s="38" t="str">
        <f>CHOOSE(Table1[[#This Row],[Weekday]]+1,"Sunday","Monday","Tuesday","Wednesday","Thursday","Friday","Saturday")</f>
        <v>Friday</v>
      </c>
      <c r="K144" s="9">
        <v>2</v>
      </c>
      <c r="L144" s="38" t="str">
        <f>IF(Table1[[#This Row],[Weather_code]]=1,"Clear",IF(Table1[[#This Row],[Weather_code]]=2,"Cloudy",IF(Table1[[#This Row],[Weather_code]]=3,"Light Rain",IF(Table1[[#This Row],[Weather_code]]=4,"Heavy Rain"))))</f>
        <v>Cloudy</v>
      </c>
      <c r="M144" s="10">
        <v>0.2</v>
      </c>
      <c r="N144" s="11" t="str">
        <f t="shared" si="7"/>
        <v>Winter</v>
      </c>
      <c r="O144" s="11" t="str">
        <f t="shared" si="8"/>
        <v>Weekday</v>
      </c>
      <c r="P144" s="11">
        <f>VLOOKUP(A144,[1]Sheet1!$A:$H,2, FALSE)</f>
        <v>0.19700000000000001</v>
      </c>
      <c r="Q144" s="40">
        <f>Table1[[#This Row],[A_Temperature]]*41</f>
        <v>8.077</v>
      </c>
      <c r="R144" s="11">
        <f>VLOOKUP(A144,[1]Sheet1!$A:$G,3,FALSE)</f>
        <v>0.69</v>
      </c>
      <c r="S144" s="11">
        <f>VLOOKUP(A144,[1]Sheet1!$A:$G,4,FALSE)</f>
        <v>0.22389999999999999</v>
      </c>
      <c r="T144" s="11">
        <f>VLOOKUP(A144,[1]Sheet1!$A:$G,5,FALSE)</f>
        <v>2</v>
      </c>
      <c r="U144" s="11">
        <f>VLOOKUP(A144,[1]Sheet1!$A:$G,6,FALSE)</f>
        <v>5</v>
      </c>
      <c r="V144" s="18">
        <f>VLOOKUP(A144,[1]Sheet1!$A:$G,7,FALSE)</f>
        <v>7</v>
      </c>
    </row>
    <row r="145" spans="1:22" s="13" customFormat="1" ht="30" customHeight="1">
      <c r="A145" s="17">
        <v>141</v>
      </c>
      <c r="B145" s="8">
        <v>40725</v>
      </c>
      <c r="C145" s="8" t="str">
        <f t="shared" si="6"/>
        <v>Friday</v>
      </c>
      <c r="D145" s="9">
        <v>1</v>
      </c>
      <c r="E145" s="9">
        <v>0</v>
      </c>
      <c r="F145" s="9">
        <v>1</v>
      </c>
      <c r="G145" s="7">
        <v>2</v>
      </c>
      <c r="H145" s="9" t="b">
        <v>0</v>
      </c>
      <c r="I145" s="9">
        <v>5</v>
      </c>
      <c r="J145" s="38" t="str">
        <f>CHOOSE(Table1[[#This Row],[Weekday]]+1,"Sunday","Monday","Tuesday","Wednesday","Thursday","Friday","Saturday")</f>
        <v>Friday</v>
      </c>
      <c r="K145" s="9">
        <v>2</v>
      </c>
      <c r="L145" s="38" t="str">
        <f>IF(Table1[[#This Row],[Weather_code]]=1,"Clear",IF(Table1[[#This Row],[Weather_code]]=2,"Cloudy",IF(Table1[[#This Row],[Weather_code]]=3,"Light Rain",IF(Table1[[#This Row],[Weather_code]]=4,"Heavy Rain"))))</f>
        <v>Cloudy</v>
      </c>
      <c r="M145" s="10">
        <v>0.2</v>
      </c>
      <c r="N145" s="11" t="str">
        <f t="shared" si="7"/>
        <v>Winter</v>
      </c>
      <c r="O145" s="11" t="str">
        <f t="shared" si="8"/>
        <v>Weekday</v>
      </c>
      <c r="P145" s="11">
        <f>VLOOKUP(A145,[1]Sheet1!$A:$H,2, FALSE)</f>
        <v>0.19700000000000001</v>
      </c>
      <c r="Q145" s="40">
        <f>Table1[[#This Row],[A_Temperature]]*41</f>
        <v>8.077</v>
      </c>
      <c r="R145" s="11">
        <f>VLOOKUP(A145,[1]Sheet1!$A:$G,3,FALSE)</f>
        <v>0.69</v>
      </c>
      <c r="S145" s="11">
        <f>VLOOKUP(A145,[1]Sheet1!$A:$G,4,FALSE)</f>
        <v>0.22389999999999999</v>
      </c>
      <c r="T145" s="11">
        <f>VLOOKUP(A145,[1]Sheet1!$A:$G,5,FALSE)</f>
        <v>0</v>
      </c>
      <c r="U145" s="11">
        <f>VLOOKUP(A145,[1]Sheet1!$A:$G,6,FALSE)</f>
        <v>1</v>
      </c>
      <c r="V145" s="18">
        <f>VLOOKUP(A145,[1]Sheet1!$A:$G,7,FALSE)</f>
        <v>1</v>
      </c>
    </row>
    <row r="146" spans="1:22" s="13" customFormat="1" ht="30" customHeight="1">
      <c r="A146" s="17">
        <v>142</v>
      </c>
      <c r="B146" s="8">
        <v>40725</v>
      </c>
      <c r="C146" s="8" t="str">
        <f t="shared" si="6"/>
        <v>Friday</v>
      </c>
      <c r="D146" s="9">
        <v>1</v>
      </c>
      <c r="E146" s="9">
        <v>0</v>
      </c>
      <c r="F146" s="9">
        <v>1</v>
      </c>
      <c r="G146" s="7">
        <v>4</v>
      </c>
      <c r="H146" s="9" t="b">
        <v>0</v>
      </c>
      <c r="I146" s="9">
        <v>5</v>
      </c>
      <c r="J146" s="38" t="str">
        <f>CHOOSE(Table1[[#This Row],[Weekday]]+1,"Sunday","Monday","Tuesday","Wednesday","Thursday","Friday","Saturday")</f>
        <v>Friday</v>
      </c>
      <c r="K146" s="9">
        <v>2</v>
      </c>
      <c r="L146" s="38" t="str">
        <f>IF(Table1[[#This Row],[Weather_code]]=1,"Clear",IF(Table1[[#This Row],[Weather_code]]=2,"Cloudy",IF(Table1[[#This Row],[Weather_code]]=3,"Light Rain",IF(Table1[[#This Row],[Weather_code]]=4,"Heavy Rain"))))</f>
        <v>Cloudy</v>
      </c>
      <c r="M146" s="10">
        <v>0.2</v>
      </c>
      <c r="N146" s="11" t="str">
        <f t="shared" si="7"/>
        <v>Winter</v>
      </c>
      <c r="O146" s="11" t="str">
        <f t="shared" si="8"/>
        <v>Weekday</v>
      </c>
      <c r="P146" s="11">
        <f>VLOOKUP(A146,[1]Sheet1!$A:$H,2, FALSE)</f>
        <v>0.21210000000000001</v>
      </c>
      <c r="Q146" s="40">
        <f>Table1[[#This Row],[A_Temperature]]*41</f>
        <v>8.6961000000000013</v>
      </c>
      <c r="R146" s="11">
        <f>VLOOKUP(A146,[1]Sheet1!$A:$G,3,FALSE)</f>
        <v>0.69</v>
      </c>
      <c r="S146" s="11">
        <f>VLOOKUP(A146,[1]Sheet1!$A:$G,4,FALSE)</f>
        <v>0.1343</v>
      </c>
      <c r="T146" s="11">
        <f>VLOOKUP(A146,[1]Sheet1!$A:$G,5,FALSE)</f>
        <v>0</v>
      </c>
      <c r="U146" s="11">
        <f>VLOOKUP(A146,[1]Sheet1!$A:$G,6,FALSE)</f>
        <v>1</v>
      </c>
      <c r="V146" s="18">
        <f>VLOOKUP(A146,[1]Sheet1!$A:$G,7,FALSE)</f>
        <v>1</v>
      </c>
    </row>
    <row r="147" spans="1:22" s="13" customFormat="1" ht="30" customHeight="1">
      <c r="A147" s="17">
        <v>143</v>
      </c>
      <c r="B147" s="8">
        <v>40725</v>
      </c>
      <c r="C147" s="8" t="str">
        <f t="shared" si="6"/>
        <v>Friday</v>
      </c>
      <c r="D147" s="9">
        <v>1</v>
      </c>
      <c r="E147" s="9">
        <v>0</v>
      </c>
      <c r="F147" s="9">
        <v>1</v>
      </c>
      <c r="G147" s="7">
        <v>5</v>
      </c>
      <c r="H147" s="9" t="b">
        <v>0</v>
      </c>
      <c r="I147" s="9">
        <v>5</v>
      </c>
      <c r="J147" s="38" t="str">
        <f>CHOOSE(Table1[[#This Row],[Weekday]]+1,"Sunday","Monday","Tuesday","Wednesday","Thursday","Friday","Saturday")</f>
        <v>Friday</v>
      </c>
      <c r="K147" s="9">
        <v>3</v>
      </c>
      <c r="L147" s="38" t="str">
        <f>IF(Table1[[#This Row],[Weather_code]]=1,"Clear",IF(Table1[[#This Row],[Weather_code]]=2,"Cloudy",IF(Table1[[#This Row],[Weather_code]]=3,"Light Rain",IF(Table1[[#This Row],[Weather_code]]=4,"Heavy Rain"))))</f>
        <v>Light Rain</v>
      </c>
      <c r="M147" s="10">
        <v>0.22</v>
      </c>
      <c r="N147" s="11" t="str">
        <f t="shared" si="7"/>
        <v>Winter</v>
      </c>
      <c r="O147" s="11" t="str">
        <f t="shared" si="8"/>
        <v>Weekday</v>
      </c>
      <c r="P147" s="11">
        <f>VLOOKUP(A147,[1]Sheet1!$A:$H,2, FALSE)</f>
        <v>0.2727</v>
      </c>
      <c r="Q147" s="40">
        <f>Table1[[#This Row],[A_Temperature]]*41</f>
        <v>11.1807</v>
      </c>
      <c r="R147" s="11">
        <f>VLOOKUP(A147,[1]Sheet1!$A:$G,3,FALSE)</f>
        <v>0.55000000000000004</v>
      </c>
      <c r="S147" s="11">
        <f>VLOOKUP(A147,[1]Sheet1!$A:$G,4,FALSE)</f>
        <v>0</v>
      </c>
      <c r="T147" s="11">
        <f>VLOOKUP(A147,[1]Sheet1!$A:$G,5,FALSE)</f>
        <v>0</v>
      </c>
      <c r="U147" s="11">
        <f>VLOOKUP(A147,[1]Sheet1!$A:$G,6,FALSE)</f>
        <v>5</v>
      </c>
      <c r="V147" s="18">
        <f>VLOOKUP(A147,[1]Sheet1!$A:$G,7,FALSE)</f>
        <v>5</v>
      </c>
    </row>
    <row r="148" spans="1:22" s="13" customFormat="1" ht="30" customHeight="1">
      <c r="A148" s="17">
        <v>144</v>
      </c>
      <c r="B148" s="8">
        <v>40725</v>
      </c>
      <c r="C148" s="8" t="str">
        <f t="shared" si="6"/>
        <v>Friday</v>
      </c>
      <c r="D148" s="9">
        <v>1</v>
      </c>
      <c r="E148" s="9">
        <v>0</v>
      </c>
      <c r="F148" s="9">
        <v>1</v>
      </c>
      <c r="G148" s="7">
        <v>6</v>
      </c>
      <c r="H148" s="9" t="b">
        <v>0</v>
      </c>
      <c r="I148" s="9">
        <v>5</v>
      </c>
      <c r="J148" s="38" t="str">
        <f>CHOOSE(Table1[[#This Row],[Weekday]]+1,"Sunday","Monday","Tuesday","Wednesday","Thursday","Friday","Saturday")</f>
        <v>Friday</v>
      </c>
      <c r="K148" s="9">
        <v>2</v>
      </c>
      <c r="L148" s="38" t="str">
        <f>IF(Table1[[#This Row],[Weather_code]]=1,"Clear",IF(Table1[[#This Row],[Weather_code]]=2,"Cloudy",IF(Table1[[#This Row],[Weather_code]]=3,"Light Rain",IF(Table1[[#This Row],[Weather_code]]=4,"Heavy Rain"))))</f>
        <v>Cloudy</v>
      </c>
      <c r="M148" s="10">
        <v>0.2</v>
      </c>
      <c r="N148" s="11" t="str">
        <f t="shared" si="7"/>
        <v>Winter</v>
      </c>
      <c r="O148" s="11" t="str">
        <f t="shared" si="8"/>
        <v>Weekday</v>
      </c>
      <c r="P148" s="11">
        <f>VLOOKUP(A148,[1]Sheet1!$A:$H,2, FALSE)</f>
        <v>0.2576</v>
      </c>
      <c r="Q148" s="40">
        <f>Table1[[#This Row],[A_Temperature]]*41</f>
        <v>10.5616</v>
      </c>
      <c r="R148" s="11">
        <f>VLOOKUP(A148,[1]Sheet1!$A:$G,3,FALSE)</f>
        <v>0.69</v>
      </c>
      <c r="S148" s="11">
        <f>VLOOKUP(A148,[1]Sheet1!$A:$G,4,FALSE)</f>
        <v>0</v>
      </c>
      <c r="T148" s="11">
        <f>VLOOKUP(A148,[1]Sheet1!$A:$G,5,FALSE)</f>
        <v>8</v>
      </c>
      <c r="U148" s="11">
        <f>VLOOKUP(A148,[1]Sheet1!$A:$G,6,FALSE)</f>
        <v>26</v>
      </c>
      <c r="V148" s="18">
        <f>VLOOKUP(A148,[1]Sheet1!$A:$G,7,FALSE)</f>
        <v>34</v>
      </c>
    </row>
    <row r="149" spans="1:22" s="13" customFormat="1" ht="30" customHeight="1">
      <c r="A149" s="17">
        <v>145</v>
      </c>
      <c r="B149" s="8">
        <v>40725</v>
      </c>
      <c r="C149" s="8" t="str">
        <f t="shared" si="6"/>
        <v>Friday</v>
      </c>
      <c r="D149" s="9">
        <v>1</v>
      </c>
      <c r="E149" s="9">
        <v>0</v>
      </c>
      <c r="F149" s="9">
        <v>1</v>
      </c>
      <c r="G149" s="7">
        <v>7</v>
      </c>
      <c r="H149" s="9" t="b">
        <v>0</v>
      </c>
      <c r="I149" s="9">
        <v>5</v>
      </c>
      <c r="J149" s="38" t="str">
        <f>CHOOSE(Table1[[#This Row],[Weekday]]+1,"Sunday","Monday","Tuesday","Wednesday","Thursday","Friday","Saturday")</f>
        <v>Friday</v>
      </c>
      <c r="K149" s="9">
        <v>1</v>
      </c>
      <c r="L149" s="38" t="str">
        <f>IF(Table1[[#This Row],[Weather_code]]=1,"Clear",IF(Table1[[#This Row],[Weather_code]]=2,"Cloudy",IF(Table1[[#This Row],[Weather_code]]=3,"Light Rain",IF(Table1[[#This Row],[Weather_code]]=4,"Heavy Rain"))))</f>
        <v>Clear</v>
      </c>
      <c r="M149" s="10">
        <v>0.2</v>
      </c>
      <c r="N149" s="11" t="str">
        <f t="shared" si="7"/>
        <v>Winter</v>
      </c>
      <c r="O149" s="11" t="str">
        <f t="shared" si="8"/>
        <v>Weekday</v>
      </c>
      <c r="P149" s="11">
        <f>VLOOKUP(A149,[1]Sheet1!$A:$H,2, FALSE)</f>
        <v>0.21210000000000001</v>
      </c>
      <c r="Q149" s="40">
        <f>Table1[[#This Row],[A_Temperature]]*41</f>
        <v>8.6961000000000013</v>
      </c>
      <c r="R149" s="11">
        <f>VLOOKUP(A149,[1]Sheet1!$A:$G,3,FALSE)</f>
        <v>0.69</v>
      </c>
      <c r="S149" s="11">
        <f>VLOOKUP(A149,[1]Sheet1!$A:$G,4,FALSE)</f>
        <v>0.1343</v>
      </c>
      <c r="T149" s="11">
        <f>VLOOKUP(A149,[1]Sheet1!$A:$G,5,FALSE)</f>
        <v>8</v>
      </c>
      <c r="U149" s="11">
        <f>VLOOKUP(A149,[1]Sheet1!$A:$G,6,FALSE)</f>
        <v>76</v>
      </c>
      <c r="V149" s="18">
        <f>VLOOKUP(A149,[1]Sheet1!$A:$G,7,FALSE)</f>
        <v>84</v>
      </c>
    </row>
    <row r="150" spans="1:22" s="13" customFormat="1" ht="30" customHeight="1">
      <c r="A150" s="17">
        <v>146</v>
      </c>
      <c r="B150" s="8">
        <v>40725</v>
      </c>
      <c r="C150" s="8" t="str">
        <f t="shared" si="6"/>
        <v>Friday</v>
      </c>
      <c r="D150" s="9">
        <v>1</v>
      </c>
      <c r="E150" s="9">
        <v>0</v>
      </c>
      <c r="F150" s="9">
        <v>1</v>
      </c>
      <c r="G150" s="7">
        <v>8</v>
      </c>
      <c r="H150" s="9" t="b">
        <v>0</v>
      </c>
      <c r="I150" s="9">
        <v>5</v>
      </c>
      <c r="J150" s="38" t="str">
        <f>CHOOSE(Table1[[#This Row],[Weekday]]+1,"Sunday","Monday","Tuesday","Wednesday","Thursday","Friday","Saturday")</f>
        <v>Friday</v>
      </c>
      <c r="K150" s="9">
        <v>1</v>
      </c>
      <c r="L150" s="38" t="str">
        <f>IF(Table1[[#This Row],[Weather_code]]=1,"Clear",IF(Table1[[#This Row],[Weather_code]]=2,"Cloudy",IF(Table1[[#This Row],[Weather_code]]=3,"Light Rain",IF(Table1[[#This Row],[Weather_code]]=4,"Heavy Rain"))))</f>
        <v>Clear</v>
      </c>
      <c r="M150" s="10">
        <v>0.2</v>
      </c>
      <c r="N150" s="11" t="str">
        <f t="shared" si="7"/>
        <v>Winter</v>
      </c>
      <c r="O150" s="11" t="str">
        <f t="shared" si="8"/>
        <v>Weekday</v>
      </c>
      <c r="P150" s="11">
        <f>VLOOKUP(A150,[1]Sheet1!$A:$H,2, FALSE)</f>
        <v>0.19700000000000001</v>
      </c>
      <c r="Q150" s="40">
        <f>Table1[[#This Row],[A_Temperature]]*41</f>
        <v>8.077</v>
      </c>
      <c r="R150" s="11">
        <f>VLOOKUP(A150,[1]Sheet1!$A:$G,3,FALSE)</f>
        <v>0.51</v>
      </c>
      <c r="S150" s="11">
        <f>VLOOKUP(A150,[1]Sheet1!$A:$G,4,FALSE)</f>
        <v>0.25369999999999998</v>
      </c>
      <c r="T150" s="11">
        <f>VLOOKUP(A150,[1]Sheet1!$A:$G,5,FALSE)</f>
        <v>20</v>
      </c>
      <c r="U150" s="11">
        <f>VLOOKUP(A150,[1]Sheet1!$A:$G,6,FALSE)</f>
        <v>190</v>
      </c>
      <c r="V150" s="18">
        <f>VLOOKUP(A150,[1]Sheet1!$A:$G,7,FALSE)</f>
        <v>210</v>
      </c>
    </row>
    <row r="151" spans="1:22" s="13" customFormat="1" ht="30" customHeight="1">
      <c r="A151" s="17">
        <v>147</v>
      </c>
      <c r="B151" s="8">
        <v>40725</v>
      </c>
      <c r="C151" s="8" t="str">
        <f t="shared" si="6"/>
        <v>Friday</v>
      </c>
      <c r="D151" s="9">
        <v>1</v>
      </c>
      <c r="E151" s="9">
        <v>0</v>
      </c>
      <c r="F151" s="9">
        <v>1</v>
      </c>
      <c r="G151" s="7">
        <v>9</v>
      </c>
      <c r="H151" s="9" t="b">
        <v>0</v>
      </c>
      <c r="I151" s="9">
        <v>5</v>
      </c>
      <c r="J151" s="38" t="str">
        <f>CHOOSE(Table1[[#This Row],[Weekday]]+1,"Sunday","Monday","Tuesday","Wednesday","Thursday","Friday","Saturday")</f>
        <v>Friday</v>
      </c>
      <c r="K151" s="9">
        <v>1</v>
      </c>
      <c r="L151" s="38" t="str">
        <f>IF(Table1[[#This Row],[Weather_code]]=1,"Clear",IF(Table1[[#This Row],[Weather_code]]=2,"Cloudy",IF(Table1[[#This Row],[Weather_code]]=3,"Light Rain",IF(Table1[[#This Row],[Weather_code]]=4,"Heavy Rain"))))</f>
        <v>Clear</v>
      </c>
      <c r="M151" s="10">
        <v>0.2</v>
      </c>
      <c r="N151" s="11" t="str">
        <f t="shared" si="7"/>
        <v>Winter</v>
      </c>
      <c r="O151" s="11" t="str">
        <f t="shared" si="8"/>
        <v>Weekday</v>
      </c>
      <c r="P151" s="11">
        <f>VLOOKUP(A151,[1]Sheet1!$A:$H,2, FALSE)</f>
        <v>0.18179999999999999</v>
      </c>
      <c r="Q151" s="40">
        <f>Table1[[#This Row],[A_Temperature]]*41</f>
        <v>7.4537999999999993</v>
      </c>
      <c r="R151" s="11">
        <f>VLOOKUP(A151,[1]Sheet1!$A:$G,3,FALSE)</f>
        <v>0.47</v>
      </c>
      <c r="S151" s="11">
        <f>VLOOKUP(A151,[1]Sheet1!$A:$G,4,FALSE)</f>
        <v>0.29849999999999999</v>
      </c>
      <c r="T151" s="11">
        <f>VLOOKUP(A151,[1]Sheet1!$A:$G,5,FALSE)</f>
        <v>9</v>
      </c>
      <c r="U151" s="11">
        <f>VLOOKUP(A151,[1]Sheet1!$A:$G,6,FALSE)</f>
        <v>125</v>
      </c>
      <c r="V151" s="18">
        <f>VLOOKUP(A151,[1]Sheet1!$A:$G,7,FALSE)</f>
        <v>134</v>
      </c>
    </row>
    <row r="152" spans="1:22" s="13" customFormat="1" ht="30" customHeight="1">
      <c r="A152" s="17">
        <v>148</v>
      </c>
      <c r="B152" s="8">
        <v>40725</v>
      </c>
      <c r="C152" s="8" t="str">
        <f t="shared" si="6"/>
        <v>Friday</v>
      </c>
      <c r="D152" s="9">
        <v>1</v>
      </c>
      <c r="E152" s="9">
        <v>0</v>
      </c>
      <c r="F152" s="9">
        <v>1</v>
      </c>
      <c r="G152" s="7">
        <v>10</v>
      </c>
      <c r="H152" s="9" t="b">
        <v>0</v>
      </c>
      <c r="I152" s="9">
        <v>5</v>
      </c>
      <c r="J152" s="38" t="str">
        <f>CHOOSE(Table1[[#This Row],[Weekday]]+1,"Sunday","Monday","Tuesday","Wednesday","Thursday","Friday","Saturday")</f>
        <v>Friday</v>
      </c>
      <c r="K152" s="9">
        <v>1</v>
      </c>
      <c r="L152" s="38" t="str">
        <f>IF(Table1[[#This Row],[Weather_code]]=1,"Clear",IF(Table1[[#This Row],[Weather_code]]=2,"Cloudy",IF(Table1[[#This Row],[Weather_code]]=3,"Light Rain",IF(Table1[[#This Row],[Weather_code]]=4,"Heavy Rain"))))</f>
        <v>Clear</v>
      </c>
      <c r="M152" s="10">
        <v>0.22</v>
      </c>
      <c r="N152" s="11" t="str">
        <f t="shared" si="7"/>
        <v>Winter</v>
      </c>
      <c r="O152" s="11" t="str">
        <f t="shared" si="8"/>
        <v>Weekday</v>
      </c>
      <c r="P152" s="11">
        <f>VLOOKUP(A152,[1]Sheet1!$A:$H,2, FALSE)</f>
        <v>0.19700000000000001</v>
      </c>
      <c r="Q152" s="40">
        <f>Table1[[#This Row],[A_Temperature]]*41</f>
        <v>8.077</v>
      </c>
      <c r="R152" s="11">
        <f>VLOOKUP(A152,[1]Sheet1!$A:$G,3,FALSE)</f>
        <v>0.37</v>
      </c>
      <c r="S152" s="11">
        <f>VLOOKUP(A152,[1]Sheet1!$A:$G,4,FALSE)</f>
        <v>0.32840000000000003</v>
      </c>
      <c r="T152" s="11">
        <f>VLOOKUP(A152,[1]Sheet1!$A:$G,5,FALSE)</f>
        <v>16</v>
      </c>
      <c r="U152" s="11">
        <f>VLOOKUP(A152,[1]Sheet1!$A:$G,6,FALSE)</f>
        <v>47</v>
      </c>
      <c r="V152" s="18">
        <f>VLOOKUP(A152,[1]Sheet1!$A:$G,7,FALSE)</f>
        <v>63</v>
      </c>
    </row>
    <row r="153" spans="1:22" s="13" customFormat="1" ht="30" customHeight="1">
      <c r="A153" s="17">
        <v>149</v>
      </c>
      <c r="B153" s="8">
        <v>40725</v>
      </c>
      <c r="C153" s="8" t="str">
        <f t="shared" si="6"/>
        <v>Friday</v>
      </c>
      <c r="D153" s="9">
        <v>1</v>
      </c>
      <c r="E153" s="9">
        <v>0</v>
      </c>
      <c r="F153" s="9">
        <v>1</v>
      </c>
      <c r="G153" s="7">
        <v>11</v>
      </c>
      <c r="H153" s="9" t="b">
        <v>0</v>
      </c>
      <c r="I153" s="9">
        <v>5</v>
      </c>
      <c r="J153" s="38" t="str">
        <f>CHOOSE(Table1[[#This Row],[Weekday]]+1,"Sunday","Monday","Tuesday","Wednesday","Thursday","Friday","Saturday")</f>
        <v>Friday</v>
      </c>
      <c r="K153" s="9">
        <v>2</v>
      </c>
      <c r="L153" s="38" t="str">
        <f>IF(Table1[[#This Row],[Weather_code]]=1,"Clear",IF(Table1[[#This Row],[Weather_code]]=2,"Cloudy",IF(Table1[[#This Row],[Weather_code]]=3,"Light Rain",IF(Table1[[#This Row],[Weather_code]]=4,"Heavy Rain"))))</f>
        <v>Cloudy</v>
      </c>
      <c r="M153" s="10">
        <v>0.2</v>
      </c>
      <c r="N153" s="11" t="str">
        <f t="shared" si="7"/>
        <v>Winter</v>
      </c>
      <c r="O153" s="11" t="str">
        <f t="shared" si="8"/>
        <v>Weekday</v>
      </c>
      <c r="P153" s="11">
        <f>VLOOKUP(A153,[1]Sheet1!$A:$H,2, FALSE)</f>
        <v>0.19700000000000001</v>
      </c>
      <c r="Q153" s="40">
        <f>Table1[[#This Row],[A_Temperature]]*41</f>
        <v>8.077</v>
      </c>
      <c r="R153" s="11">
        <f>VLOOKUP(A153,[1]Sheet1!$A:$G,3,FALSE)</f>
        <v>0.4</v>
      </c>
      <c r="S153" s="11">
        <f>VLOOKUP(A153,[1]Sheet1!$A:$G,4,FALSE)</f>
        <v>0.22389999999999999</v>
      </c>
      <c r="T153" s="11">
        <f>VLOOKUP(A153,[1]Sheet1!$A:$G,5,FALSE)</f>
        <v>19</v>
      </c>
      <c r="U153" s="11">
        <f>VLOOKUP(A153,[1]Sheet1!$A:$G,6,FALSE)</f>
        <v>48</v>
      </c>
      <c r="V153" s="18">
        <f>VLOOKUP(A153,[1]Sheet1!$A:$G,7,FALSE)</f>
        <v>67</v>
      </c>
    </row>
    <row r="154" spans="1:22" s="13" customFormat="1" ht="30" customHeight="1">
      <c r="A154" s="17">
        <v>150</v>
      </c>
      <c r="B154" s="8">
        <v>40725</v>
      </c>
      <c r="C154" s="8" t="str">
        <f t="shared" si="6"/>
        <v>Friday</v>
      </c>
      <c r="D154" s="9">
        <v>1</v>
      </c>
      <c r="E154" s="9">
        <v>0</v>
      </c>
      <c r="F154" s="9">
        <v>1</v>
      </c>
      <c r="G154" s="7">
        <v>12</v>
      </c>
      <c r="H154" s="9" t="b">
        <v>0</v>
      </c>
      <c r="I154" s="9">
        <v>5</v>
      </c>
      <c r="J154" s="38" t="str">
        <f>CHOOSE(Table1[[#This Row],[Weekday]]+1,"Sunday","Monday","Tuesday","Wednesday","Thursday","Friday","Saturday")</f>
        <v>Friday</v>
      </c>
      <c r="K154" s="9">
        <v>2</v>
      </c>
      <c r="L154" s="38" t="str">
        <f>IF(Table1[[#This Row],[Weather_code]]=1,"Clear",IF(Table1[[#This Row],[Weather_code]]=2,"Cloudy",IF(Table1[[#This Row],[Weather_code]]=3,"Light Rain",IF(Table1[[#This Row],[Weather_code]]=4,"Heavy Rain"))))</f>
        <v>Cloudy</v>
      </c>
      <c r="M154" s="10">
        <v>0.2</v>
      </c>
      <c r="N154" s="11" t="str">
        <f t="shared" si="7"/>
        <v>Winter</v>
      </c>
      <c r="O154" s="11" t="str">
        <f t="shared" si="8"/>
        <v>Weekday</v>
      </c>
      <c r="P154" s="11">
        <f>VLOOKUP(A154,[1]Sheet1!$A:$H,2, FALSE)</f>
        <v>0.19700000000000001</v>
      </c>
      <c r="Q154" s="40">
        <f>Table1[[#This Row],[A_Temperature]]*41</f>
        <v>8.077</v>
      </c>
      <c r="R154" s="11">
        <f>VLOOKUP(A154,[1]Sheet1!$A:$G,3,FALSE)</f>
        <v>0.37</v>
      </c>
      <c r="S154" s="11">
        <f>VLOOKUP(A154,[1]Sheet1!$A:$G,4,FALSE)</f>
        <v>0.25369999999999998</v>
      </c>
      <c r="T154" s="11">
        <f>VLOOKUP(A154,[1]Sheet1!$A:$G,5,FALSE)</f>
        <v>9</v>
      </c>
      <c r="U154" s="11">
        <f>VLOOKUP(A154,[1]Sheet1!$A:$G,6,FALSE)</f>
        <v>50</v>
      </c>
      <c r="V154" s="18">
        <f>VLOOKUP(A154,[1]Sheet1!$A:$G,7,FALSE)</f>
        <v>59</v>
      </c>
    </row>
    <row r="155" spans="1:22" s="13" customFormat="1" ht="30" customHeight="1">
      <c r="A155" s="17">
        <v>151</v>
      </c>
      <c r="B155" s="8">
        <v>40725</v>
      </c>
      <c r="C155" s="8" t="str">
        <f t="shared" si="6"/>
        <v>Friday</v>
      </c>
      <c r="D155" s="9">
        <v>1</v>
      </c>
      <c r="E155" s="9">
        <v>0</v>
      </c>
      <c r="F155" s="9">
        <v>1</v>
      </c>
      <c r="G155" s="7">
        <v>13</v>
      </c>
      <c r="H155" s="9" t="b">
        <v>0</v>
      </c>
      <c r="I155" s="9">
        <v>5</v>
      </c>
      <c r="J155" s="38" t="str">
        <f>CHOOSE(Table1[[#This Row],[Weekday]]+1,"Sunday","Monday","Tuesday","Wednesday","Thursday","Friday","Saturday")</f>
        <v>Friday</v>
      </c>
      <c r="K155" s="9">
        <v>2</v>
      </c>
      <c r="L155" s="38" t="str">
        <f>IF(Table1[[#This Row],[Weather_code]]=1,"Clear",IF(Table1[[#This Row],[Weather_code]]=2,"Cloudy",IF(Table1[[#This Row],[Weather_code]]=3,"Light Rain",IF(Table1[[#This Row],[Weather_code]]=4,"Heavy Rain"))))</f>
        <v>Cloudy</v>
      </c>
      <c r="M155" s="10">
        <v>0.2</v>
      </c>
      <c r="N155" s="11" t="str">
        <f t="shared" si="7"/>
        <v>Winter</v>
      </c>
      <c r="O155" s="11" t="str">
        <f t="shared" si="8"/>
        <v>Weekday</v>
      </c>
      <c r="P155" s="11">
        <f>VLOOKUP(A155,[1]Sheet1!$A:$H,2, FALSE)</f>
        <v>0.18179999999999999</v>
      </c>
      <c r="Q155" s="40">
        <f>Table1[[#This Row],[A_Temperature]]*41</f>
        <v>7.4537999999999993</v>
      </c>
      <c r="R155" s="11">
        <f>VLOOKUP(A155,[1]Sheet1!$A:$G,3,FALSE)</f>
        <v>0.37</v>
      </c>
      <c r="S155" s="11">
        <f>VLOOKUP(A155,[1]Sheet1!$A:$G,4,FALSE)</f>
        <v>0.28360000000000002</v>
      </c>
      <c r="T155" s="11">
        <f>VLOOKUP(A155,[1]Sheet1!$A:$G,5,FALSE)</f>
        <v>9</v>
      </c>
      <c r="U155" s="11">
        <f>VLOOKUP(A155,[1]Sheet1!$A:$G,6,FALSE)</f>
        <v>64</v>
      </c>
      <c r="V155" s="18">
        <f>VLOOKUP(A155,[1]Sheet1!$A:$G,7,FALSE)</f>
        <v>73</v>
      </c>
    </row>
    <row r="156" spans="1:22" s="13" customFormat="1" ht="30" customHeight="1">
      <c r="A156" s="17">
        <v>152</v>
      </c>
      <c r="B156" s="8">
        <v>40725</v>
      </c>
      <c r="C156" s="8" t="str">
        <f>TEXT(B156,"DDDD")</f>
        <v>Friday</v>
      </c>
      <c r="D156" s="9">
        <v>1</v>
      </c>
      <c r="E156" s="9">
        <v>0</v>
      </c>
      <c r="F156" s="9">
        <v>1</v>
      </c>
      <c r="G156" s="7">
        <v>14</v>
      </c>
      <c r="H156" s="9" t="b">
        <v>0</v>
      </c>
      <c r="I156" s="9">
        <v>5</v>
      </c>
      <c r="J156" s="38" t="str">
        <f>CHOOSE(Table1[[#This Row],[Weekday]]+1,"Sunday","Monday","Tuesday","Wednesday","Thursday","Friday","Saturday")</f>
        <v>Friday</v>
      </c>
      <c r="K156" s="9">
        <v>2</v>
      </c>
      <c r="L156" s="38" t="str">
        <f>IF(Table1[[#This Row],[Weather_code]]=1,"Clear",IF(Table1[[#This Row],[Weather_code]]=2,"Cloudy",IF(Table1[[#This Row],[Weather_code]]=3,"Light Rain",IF(Table1[[#This Row],[Weather_code]]=4,"Heavy Rain"))))</f>
        <v>Cloudy</v>
      </c>
      <c r="M156" s="10">
        <v>0.2</v>
      </c>
      <c r="N156" s="11" t="str">
        <f t="shared" si="7"/>
        <v>Winter</v>
      </c>
      <c r="O156" s="11" t="str">
        <f t="shared" si="8"/>
        <v>Weekday</v>
      </c>
      <c r="P156" s="11">
        <f>VLOOKUP(A156,[1]Sheet1!$A:$H,2, FALSE)</f>
        <v>0.19700000000000001</v>
      </c>
      <c r="Q156" s="40">
        <f>Table1[[#This Row],[A_Temperature]]*41</f>
        <v>8.077</v>
      </c>
      <c r="R156" s="11">
        <f>VLOOKUP(A156,[1]Sheet1!$A:$G,3,FALSE)</f>
        <v>0.4</v>
      </c>
      <c r="S156" s="11">
        <f>VLOOKUP(A156,[1]Sheet1!$A:$G,4,FALSE)</f>
        <v>0.25369999999999998</v>
      </c>
      <c r="T156" s="11">
        <f>VLOOKUP(A156,[1]Sheet1!$A:$G,5,FALSE)</f>
        <v>7</v>
      </c>
      <c r="U156" s="11">
        <f>VLOOKUP(A156,[1]Sheet1!$A:$G,6,FALSE)</f>
        <v>43</v>
      </c>
      <c r="V156" s="18">
        <f>VLOOKUP(A156,[1]Sheet1!$A:$G,7,FALSE)</f>
        <v>50</v>
      </c>
    </row>
    <row r="157" spans="1:22" s="13" customFormat="1" ht="30" customHeight="1">
      <c r="A157" s="17">
        <v>153</v>
      </c>
      <c r="B157" s="8">
        <v>40725</v>
      </c>
      <c r="C157" s="8" t="str">
        <f t="shared" ref="C157:C220" si="9">TEXT(B157,"DDDD")</f>
        <v>Friday</v>
      </c>
      <c r="D157" s="9">
        <v>1</v>
      </c>
      <c r="E157" s="9">
        <v>0</v>
      </c>
      <c r="F157" s="9">
        <v>1</v>
      </c>
      <c r="G157" s="7">
        <v>15</v>
      </c>
      <c r="H157" s="9" t="b">
        <v>0</v>
      </c>
      <c r="I157" s="9">
        <v>5</v>
      </c>
      <c r="J157" s="38" t="str">
        <f>CHOOSE(Table1[[#This Row],[Weekday]]+1,"Sunday","Monday","Tuesday","Wednesday","Thursday","Friday","Saturday")</f>
        <v>Friday</v>
      </c>
      <c r="K157" s="9">
        <v>2</v>
      </c>
      <c r="L157" s="38" t="str">
        <f>IF(Table1[[#This Row],[Weather_code]]=1,"Clear",IF(Table1[[#This Row],[Weather_code]]=2,"Cloudy",IF(Table1[[#This Row],[Weather_code]]=3,"Light Rain",IF(Table1[[#This Row],[Weather_code]]=4,"Heavy Rain"))))</f>
        <v>Cloudy</v>
      </c>
      <c r="M157" s="10">
        <v>0.2</v>
      </c>
      <c r="N157" s="11" t="str">
        <f t="shared" si="7"/>
        <v>Winter</v>
      </c>
      <c r="O157" s="11" t="str">
        <f t="shared" si="8"/>
        <v>Weekday</v>
      </c>
      <c r="P157" s="11">
        <f>VLOOKUP(A157,[1]Sheet1!$A:$H,2, FALSE)</f>
        <v>0.21210000000000001</v>
      </c>
      <c r="Q157" s="40">
        <f>Table1[[#This Row],[A_Temperature]]*41</f>
        <v>8.6961000000000013</v>
      </c>
      <c r="R157" s="11">
        <f>VLOOKUP(A157,[1]Sheet1!$A:$G,3,FALSE)</f>
        <v>0.37</v>
      </c>
      <c r="S157" s="11">
        <f>VLOOKUP(A157,[1]Sheet1!$A:$G,4,FALSE)</f>
        <v>0.16420000000000001</v>
      </c>
      <c r="T157" s="11">
        <f>VLOOKUP(A157,[1]Sheet1!$A:$G,5,FALSE)</f>
        <v>9</v>
      </c>
      <c r="U157" s="11">
        <f>VLOOKUP(A157,[1]Sheet1!$A:$G,6,FALSE)</f>
        <v>63</v>
      </c>
      <c r="V157" s="18">
        <f>VLOOKUP(A157,[1]Sheet1!$A:$G,7,FALSE)</f>
        <v>72</v>
      </c>
    </row>
    <row r="158" spans="1:22" s="13" customFormat="1" ht="30" customHeight="1">
      <c r="A158" s="17">
        <v>154</v>
      </c>
      <c r="B158" s="8">
        <v>40725</v>
      </c>
      <c r="C158" s="8" t="str">
        <f t="shared" si="9"/>
        <v>Friday</v>
      </c>
      <c r="D158" s="9">
        <v>1</v>
      </c>
      <c r="E158" s="9">
        <v>0</v>
      </c>
      <c r="F158" s="9">
        <v>1</v>
      </c>
      <c r="G158" s="7">
        <v>16</v>
      </c>
      <c r="H158" s="9" t="b">
        <v>0</v>
      </c>
      <c r="I158" s="9">
        <v>5</v>
      </c>
      <c r="J158" s="38" t="str">
        <f>CHOOSE(Table1[[#This Row],[Weekday]]+1,"Sunday","Monday","Tuesday","Wednesday","Thursday","Friday","Saturday")</f>
        <v>Friday</v>
      </c>
      <c r="K158" s="9">
        <v>2</v>
      </c>
      <c r="L158" s="38" t="str">
        <f>IF(Table1[[#This Row],[Weather_code]]=1,"Clear",IF(Table1[[#This Row],[Weather_code]]=2,"Cloudy",IF(Table1[[#This Row],[Weather_code]]=3,"Light Rain",IF(Table1[[#This Row],[Weather_code]]=4,"Heavy Rain"))))</f>
        <v>Cloudy</v>
      </c>
      <c r="M158" s="10">
        <v>0.2</v>
      </c>
      <c r="N158" s="11" t="str">
        <f t="shared" si="7"/>
        <v>Winter</v>
      </c>
      <c r="O158" s="11" t="str">
        <f t="shared" si="8"/>
        <v>Weekday</v>
      </c>
      <c r="P158" s="11">
        <f>VLOOKUP(A158,[1]Sheet1!$A:$H,2, FALSE)</f>
        <v>0.21210000000000001</v>
      </c>
      <c r="Q158" s="40">
        <f>Table1[[#This Row],[A_Temperature]]*41</f>
        <v>8.6961000000000013</v>
      </c>
      <c r="R158" s="11">
        <f>VLOOKUP(A158,[1]Sheet1!$A:$G,3,FALSE)</f>
        <v>0.37</v>
      </c>
      <c r="S158" s="11">
        <f>VLOOKUP(A158,[1]Sheet1!$A:$G,4,FALSE)</f>
        <v>0.16420000000000001</v>
      </c>
      <c r="T158" s="11">
        <f>VLOOKUP(A158,[1]Sheet1!$A:$G,5,FALSE)</f>
        <v>5</v>
      </c>
      <c r="U158" s="11">
        <f>VLOOKUP(A158,[1]Sheet1!$A:$G,6,FALSE)</f>
        <v>82</v>
      </c>
      <c r="V158" s="18">
        <f>VLOOKUP(A158,[1]Sheet1!$A:$G,7,FALSE)</f>
        <v>87</v>
      </c>
    </row>
    <row r="159" spans="1:22" s="13" customFormat="1" ht="30" customHeight="1">
      <c r="A159" s="17">
        <v>155</v>
      </c>
      <c r="B159" s="8">
        <v>40725</v>
      </c>
      <c r="C159" s="8" t="str">
        <f t="shared" si="9"/>
        <v>Friday</v>
      </c>
      <c r="D159" s="9">
        <v>1</v>
      </c>
      <c r="E159" s="9">
        <v>0</v>
      </c>
      <c r="F159" s="9">
        <v>1</v>
      </c>
      <c r="G159" s="7">
        <v>17</v>
      </c>
      <c r="H159" s="9" t="b">
        <v>0</v>
      </c>
      <c r="I159" s="9">
        <v>5</v>
      </c>
      <c r="J159" s="38" t="str">
        <f>CHOOSE(Table1[[#This Row],[Weekday]]+1,"Sunday","Monday","Tuesday","Wednesday","Thursday","Friday","Saturday")</f>
        <v>Friday</v>
      </c>
      <c r="K159" s="9">
        <v>2</v>
      </c>
      <c r="L159" s="38" t="str">
        <f>IF(Table1[[#This Row],[Weather_code]]=1,"Clear",IF(Table1[[#This Row],[Weather_code]]=2,"Cloudy",IF(Table1[[#This Row],[Weather_code]]=3,"Light Rain",IF(Table1[[#This Row],[Weather_code]]=4,"Heavy Rain"))))</f>
        <v>Cloudy</v>
      </c>
      <c r="M159" s="10">
        <v>0.2</v>
      </c>
      <c r="N159" s="11" t="str">
        <f t="shared" si="7"/>
        <v>Winter</v>
      </c>
      <c r="O159" s="11" t="str">
        <f t="shared" si="8"/>
        <v>Weekday</v>
      </c>
      <c r="P159" s="11">
        <f>VLOOKUP(A159,[1]Sheet1!$A:$H,2, FALSE)</f>
        <v>0.2576</v>
      </c>
      <c r="Q159" s="40">
        <f>Table1[[#This Row],[A_Temperature]]*41</f>
        <v>10.5616</v>
      </c>
      <c r="R159" s="11">
        <f>VLOOKUP(A159,[1]Sheet1!$A:$G,3,FALSE)</f>
        <v>0.37</v>
      </c>
      <c r="S159" s="11">
        <f>VLOOKUP(A159,[1]Sheet1!$A:$G,4,FALSE)</f>
        <v>0</v>
      </c>
      <c r="T159" s="11">
        <f>VLOOKUP(A159,[1]Sheet1!$A:$G,5,FALSE)</f>
        <v>9</v>
      </c>
      <c r="U159" s="11">
        <f>VLOOKUP(A159,[1]Sheet1!$A:$G,6,FALSE)</f>
        <v>178</v>
      </c>
      <c r="V159" s="18">
        <f>VLOOKUP(A159,[1]Sheet1!$A:$G,7,FALSE)</f>
        <v>187</v>
      </c>
    </row>
    <row r="160" spans="1:22" s="13" customFormat="1" ht="30" customHeight="1">
      <c r="A160" s="17">
        <v>156</v>
      </c>
      <c r="B160" s="8">
        <v>40725</v>
      </c>
      <c r="C160" s="8" t="str">
        <f t="shared" si="9"/>
        <v>Friday</v>
      </c>
      <c r="D160" s="9">
        <v>1</v>
      </c>
      <c r="E160" s="9">
        <v>0</v>
      </c>
      <c r="F160" s="9">
        <v>1</v>
      </c>
      <c r="G160" s="7">
        <v>18</v>
      </c>
      <c r="H160" s="9" t="b">
        <v>0</v>
      </c>
      <c r="I160" s="9">
        <v>5</v>
      </c>
      <c r="J160" s="38" t="str">
        <f>CHOOSE(Table1[[#This Row],[Weekday]]+1,"Sunday","Monday","Tuesday","Wednesday","Thursday","Friday","Saturday")</f>
        <v>Friday</v>
      </c>
      <c r="K160" s="9">
        <v>1</v>
      </c>
      <c r="L160" s="38" t="str">
        <f>IF(Table1[[#This Row],[Weather_code]]=1,"Clear",IF(Table1[[#This Row],[Weather_code]]=2,"Cloudy",IF(Table1[[#This Row],[Weather_code]]=3,"Light Rain",IF(Table1[[#This Row],[Weather_code]]=4,"Heavy Rain"))))</f>
        <v>Clear</v>
      </c>
      <c r="M160" s="10">
        <v>0.2</v>
      </c>
      <c r="N160" s="11" t="str">
        <f t="shared" si="7"/>
        <v>Winter</v>
      </c>
      <c r="O160" s="11" t="str">
        <f t="shared" si="8"/>
        <v>Weekday</v>
      </c>
      <c r="P160" s="11">
        <f>VLOOKUP(A160,[1]Sheet1!$A:$H,2, FALSE)</f>
        <v>0.2273</v>
      </c>
      <c r="Q160" s="40">
        <f>Table1[[#This Row],[A_Temperature]]*41</f>
        <v>9.3193000000000001</v>
      </c>
      <c r="R160" s="11">
        <f>VLOOKUP(A160,[1]Sheet1!$A:$G,3,FALSE)</f>
        <v>0.4</v>
      </c>
      <c r="S160" s="11">
        <f>VLOOKUP(A160,[1]Sheet1!$A:$G,4,FALSE)</f>
        <v>8.9599999999999999E-2</v>
      </c>
      <c r="T160" s="11">
        <f>VLOOKUP(A160,[1]Sheet1!$A:$G,5,FALSE)</f>
        <v>7</v>
      </c>
      <c r="U160" s="11">
        <f>VLOOKUP(A160,[1]Sheet1!$A:$G,6,FALSE)</f>
        <v>116</v>
      </c>
      <c r="V160" s="18">
        <f>VLOOKUP(A160,[1]Sheet1!$A:$G,7,FALSE)</f>
        <v>123</v>
      </c>
    </row>
    <row r="161" spans="1:22" s="13" customFormat="1" ht="30" customHeight="1">
      <c r="A161" s="17">
        <v>157</v>
      </c>
      <c r="B161" s="8">
        <v>40725</v>
      </c>
      <c r="C161" s="8" t="str">
        <f t="shared" si="9"/>
        <v>Friday</v>
      </c>
      <c r="D161" s="9">
        <v>1</v>
      </c>
      <c r="E161" s="9">
        <v>0</v>
      </c>
      <c r="F161" s="9">
        <v>1</v>
      </c>
      <c r="G161" s="7">
        <v>19</v>
      </c>
      <c r="H161" s="9" t="b">
        <v>0</v>
      </c>
      <c r="I161" s="9">
        <v>5</v>
      </c>
      <c r="J161" s="38" t="str">
        <f>CHOOSE(Table1[[#This Row],[Weekday]]+1,"Sunday","Monday","Tuesday","Wednesday","Thursday","Friday","Saturday")</f>
        <v>Friday</v>
      </c>
      <c r="K161" s="9">
        <v>1</v>
      </c>
      <c r="L161" s="38" t="str">
        <f>IF(Table1[[#This Row],[Weather_code]]=1,"Clear",IF(Table1[[#This Row],[Weather_code]]=2,"Cloudy",IF(Table1[[#This Row],[Weather_code]]=3,"Light Rain",IF(Table1[[#This Row],[Weather_code]]=4,"Heavy Rain"))))</f>
        <v>Clear</v>
      </c>
      <c r="M161" s="10">
        <v>0.16</v>
      </c>
      <c r="N161" s="11" t="str">
        <f t="shared" si="7"/>
        <v>Winter</v>
      </c>
      <c r="O161" s="11" t="str">
        <f t="shared" si="8"/>
        <v>Weekday</v>
      </c>
      <c r="P161" s="11">
        <f>VLOOKUP(A161,[1]Sheet1!$A:$H,2, FALSE)</f>
        <v>0.19700000000000001</v>
      </c>
      <c r="Q161" s="40">
        <f>Table1[[#This Row],[A_Temperature]]*41</f>
        <v>8.077</v>
      </c>
      <c r="R161" s="11">
        <f>VLOOKUP(A161,[1]Sheet1!$A:$G,3,FALSE)</f>
        <v>0.55000000000000004</v>
      </c>
      <c r="S161" s="11">
        <f>VLOOKUP(A161,[1]Sheet1!$A:$G,4,FALSE)</f>
        <v>8.9599999999999999E-2</v>
      </c>
      <c r="T161" s="11">
        <f>VLOOKUP(A161,[1]Sheet1!$A:$G,5,FALSE)</f>
        <v>3</v>
      </c>
      <c r="U161" s="11">
        <f>VLOOKUP(A161,[1]Sheet1!$A:$G,6,FALSE)</f>
        <v>92</v>
      </c>
      <c r="V161" s="18">
        <f>VLOOKUP(A161,[1]Sheet1!$A:$G,7,FALSE)</f>
        <v>95</v>
      </c>
    </row>
    <row r="162" spans="1:22" s="13" customFormat="1" ht="30" customHeight="1">
      <c r="A162" s="17">
        <v>158</v>
      </c>
      <c r="B162" s="8">
        <v>40725</v>
      </c>
      <c r="C162" s="8" t="str">
        <f t="shared" si="9"/>
        <v>Friday</v>
      </c>
      <c r="D162" s="9">
        <v>1</v>
      </c>
      <c r="E162" s="9">
        <v>0</v>
      </c>
      <c r="F162" s="9">
        <v>1</v>
      </c>
      <c r="G162" s="7">
        <v>20</v>
      </c>
      <c r="H162" s="9" t="b">
        <v>0</v>
      </c>
      <c r="I162" s="9">
        <v>5</v>
      </c>
      <c r="J162" s="38" t="str">
        <f>CHOOSE(Table1[[#This Row],[Weekday]]+1,"Sunday","Monday","Tuesday","Wednesday","Thursday","Friday","Saturday")</f>
        <v>Friday</v>
      </c>
      <c r="K162" s="9">
        <v>1</v>
      </c>
      <c r="L162" s="38" t="str">
        <f>IF(Table1[[#This Row],[Weather_code]]=1,"Clear",IF(Table1[[#This Row],[Weather_code]]=2,"Cloudy",IF(Table1[[#This Row],[Weather_code]]=3,"Light Rain",IF(Table1[[#This Row],[Weather_code]]=4,"Heavy Rain"))))</f>
        <v>Clear</v>
      </c>
      <c r="M162" s="10">
        <v>0.18</v>
      </c>
      <c r="N162" s="11" t="str">
        <f t="shared" si="7"/>
        <v>Winter</v>
      </c>
      <c r="O162" s="11" t="str">
        <f t="shared" si="8"/>
        <v>Weekday</v>
      </c>
      <c r="P162" s="11">
        <f>VLOOKUP(A162,[1]Sheet1!$A:$H,2, FALSE)</f>
        <v>0.21210000000000001</v>
      </c>
      <c r="Q162" s="40">
        <f>Table1[[#This Row],[A_Temperature]]*41</f>
        <v>8.6961000000000013</v>
      </c>
      <c r="R162" s="11">
        <f>VLOOKUP(A162,[1]Sheet1!$A:$G,3,FALSE)</f>
        <v>0.47</v>
      </c>
      <c r="S162" s="11">
        <f>VLOOKUP(A162,[1]Sheet1!$A:$G,4,FALSE)</f>
        <v>0.1045</v>
      </c>
      <c r="T162" s="11">
        <f>VLOOKUP(A162,[1]Sheet1!$A:$G,5,FALSE)</f>
        <v>1</v>
      </c>
      <c r="U162" s="11">
        <f>VLOOKUP(A162,[1]Sheet1!$A:$G,6,FALSE)</f>
        <v>50</v>
      </c>
      <c r="V162" s="18">
        <f>VLOOKUP(A162,[1]Sheet1!$A:$G,7,FALSE)</f>
        <v>51</v>
      </c>
    </row>
    <row r="163" spans="1:22" s="13" customFormat="1" ht="30" customHeight="1">
      <c r="A163" s="17">
        <v>159</v>
      </c>
      <c r="B163" s="8">
        <v>40725</v>
      </c>
      <c r="C163" s="8" t="str">
        <f t="shared" si="9"/>
        <v>Friday</v>
      </c>
      <c r="D163" s="9">
        <v>1</v>
      </c>
      <c r="E163" s="9">
        <v>0</v>
      </c>
      <c r="F163" s="9">
        <v>1</v>
      </c>
      <c r="G163" s="7">
        <v>21</v>
      </c>
      <c r="H163" s="9" t="b">
        <v>0</v>
      </c>
      <c r="I163" s="9">
        <v>5</v>
      </c>
      <c r="J163" s="38" t="str">
        <f>CHOOSE(Table1[[#This Row],[Weekday]]+1,"Sunday","Monday","Tuesday","Wednesday","Thursday","Friday","Saturday")</f>
        <v>Friday</v>
      </c>
      <c r="K163" s="9">
        <v>1</v>
      </c>
      <c r="L163" s="38" t="str">
        <f>IF(Table1[[#This Row],[Weather_code]]=1,"Clear",IF(Table1[[#This Row],[Weather_code]]=2,"Cloudy",IF(Table1[[#This Row],[Weather_code]]=3,"Light Rain",IF(Table1[[#This Row],[Weather_code]]=4,"Heavy Rain"))))</f>
        <v>Clear</v>
      </c>
      <c r="M163" s="10">
        <v>0.18</v>
      </c>
      <c r="N163" s="11" t="str">
        <f t="shared" si="7"/>
        <v>Winter</v>
      </c>
      <c r="O163" s="11" t="str">
        <f t="shared" si="8"/>
        <v>Weekday</v>
      </c>
      <c r="P163" s="11">
        <f>VLOOKUP(A163,[1]Sheet1!$A:$H,2, FALSE)</f>
        <v>0.19700000000000001</v>
      </c>
      <c r="Q163" s="40">
        <f>Table1[[#This Row],[A_Temperature]]*41</f>
        <v>8.077</v>
      </c>
      <c r="R163" s="11">
        <f>VLOOKUP(A163,[1]Sheet1!$A:$G,3,FALSE)</f>
        <v>0.47</v>
      </c>
      <c r="S163" s="11">
        <f>VLOOKUP(A163,[1]Sheet1!$A:$G,4,FALSE)</f>
        <v>0.1343</v>
      </c>
      <c r="T163" s="11">
        <f>VLOOKUP(A163,[1]Sheet1!$A:$G,5,FALSE)</f>
        <v>0</v>
      </c>
      <c r="U163" s="11">
        <f>VLOOKUP(A163,[1]Sheet1!$A:$G,6,FALSE)</f>
        <v>39</v>
      </c>
      <c r="V163" s="18">
        <f>VLOOKUP(A163,[1]Sheet1!$A:$G,7,FALSE)</f>
        <v>39</v>
      </c>
    </row>
    <row r="164" spans="1:22" s="13" customFormat="1" ht="30" customHeight="1">
      <c r="A164" s="17">
        <v>160</v>
      </c>
      <c r="B164" s="8">
        <v>40725</v>
      </c>
      <c r="C164" s="8" t="str">
        <f t="shared" si="9"/>
        <v>Friday</v>
      </c>
      <c r="D164" s="9">
        <v>1</v>
      </c>
      <c r="E164" s="9">
        <v>0</v>
      </c>
      <c r="F164" s="9">
        <v>1</v>
      </c>
      <c r="G164" s="7">
        <v>22</v>
      </c>
      <c r="H164" s="9" t="b">
        <v>0</v>
      </c>
      <c r="I164" s="9">
        <v>5</v>
      </c>
      <c r="J164" s="38" t="str">
        <f>CHOOSE(Table1[[#This Row],[Weekday]]+1,"Sunday","Monday","Tuesday","Wednesday","Thursday","Friday","Saturday")</f>
        <v>Friday</v>
      </c>
      <c r="K164" s="9">
        <v>2</v>
      </c>
      <c r="L164" s="38" t="str">
        <f>IF(Table1[[#This Row],[Weather_code]]=1,"Clear",IF(Table1[[#This Row],[Weather_code]]=2,"Cloudy",IF(Table1[[#This Row],[Weather_code]]=3,"Light Rain",IF(Table1[[#This Row],[Weather_code]]=4,"Heavy Rain"))))</f>
        <v>Cloudy</v>
      </c>
      <c r="M164" s="10">
        <v>0.18</v>
      </c>
      <c r="N164" s="11" t="str">
        <f t="shared" si="7"/>
        <v>Winter</v>
      </c>
      <c r="O164" s="11" t="str">
        <f t="shared" si="8"/>
        <v>Weekday</v>
      </c>
      <c r="P164" s="11">
        <f>VLOOKUP(A164,[1]Sheet1!$A:$H,2, FALSE)</f>
        <v>0.19700000000000001</v>
      </c>
      <c r="Q164" s="40">
        <f>Table1[[#This Row],[A_Temperature]]*41</f>
        <v>8.077</v>
      </c>
      <c r="R164" s="11">
        <f>VLOOKUP(A164,[1]Sheet1!$A:$G,3,FALSE)</f>
        <v>0.43</v>
      </c>
      <c r="S164" s="11">
        <f>VLOOKUP(A164,[1]Sheet1!$A:$G,4,FALSE)</f>
        <v>0.16420000000000001</v>
      </c>
      <c r="T164" s="11">
        <f>VLOOKUP(A164,[1]Sheet1!$A:$G,5,FALSE)</f>
        <v>2</v>
      </c>
      <c r="U164" s="11">
        <f>VLOOKUP(A164,[1]Sheet1!$A:$G,6,FALSE)</f>
        <v>34</v>
      </c>
      <c r="V164" s="18">
        <f>VLOOKUP(A164,[1]Sheet1!$A:$G,7,FALSE)</f>
        <v>36</v>
      </c>
    </row>
    <row r="165" spans="1:22" s="13" customFormat="1" ht="30" customHeight="1">
      <c r="A165" s="17">
        <v>161</v>
      </c>
      <c r="B165" s="8">
        <v>40725</v>
      </c>
      <c r="C165" s="8" t="str">
        <f t="shared" si="9"/>
        <v>Friday</v>
      </c>
      <c r="D165" s="9">
        <v>1</v>
      </c>
      <c r="E165" s="9">
        <v>0</v>
      </c>
      <c r="F165" s="9">
        <v>1</v>
      </c>
      <c r="G165" s="7">
        <v>23</v>
      </c>
      <c r="H165" s="9" t="b">
        <v>0</v>
      </c>
      <c r="I165" s="9">
        <v>5</v>
      </c>
      <c r="J165" s="38" t="str">
        <f>CHOOSE(Table1[[#This Row],[Weekday]]+1,"Sunday","Monday","Tuesday","Wednesday","Thursday","Friday","Saturday")</f>
        <v>Friday</v>
      </c>
      <c r="K165" s="9">
        <v>2</v>
      </c>
      <c r="L165" s="38" t="str">
        <f>IF(Table1[[#This Row],[Weather_code]]=1,"Clear",IF(Table1[[#This Row],[Weather_code]]=2,"Cloudy",IF(Table1[[#This Row],[Weather_code]]=3,"Light Rain",IF(Table1[[#This Row],[Weather_code]]=4,"Heavy Rain"))))</f>
        <v>Cloudy</v>
      </c>
      <c r="M165" s="10">
        <v>0.18</v>
      </c>
      <c r="N165" s="11" t="str">
        <f t="shared" si="7"/>
        <v>Winter</v>
      </c>
      <c r="O165" s="11" t="str">
        <f t="shared" si="8"/>
        <v>Weekday</v>
      </c>
      <c r="P165" s="11">
        <f>VLOOKUP(A165,[1]Sheet1!$A:$H,2, FALSE)</f>
        <v>0.19700000000000001</v>
      </c>
      <c r="Q165" s="40">
        <f>Table1[[#This Row],[A_Temperature]]*41</f>
        <v>8.077</v>
      </c>
      <c r="R165" s="11">
        <f>VLOOKUP(A165,[1]Sheet1!$A:$G,3,FALSE)</f>
        <v>0.51</v>
      </c>
      <c r="S165" s="11">
        <f>VLOOKUP(A165,[1]Sheet1!$A:$G,4,FALSE)</f>
        <v>0.16420000000000001</v>
      </c>
      <c r="T165" s="11">
        <f>VLOOKUP(A165,[1]Sheet1!$A:$G,5,FALSE)</f>
        <v>1</v>
      </c>
      <c r="U165" s="11">
        <f>VLOOKUP(A165,[1]Sheet1!$A:$G,6,FALSE)</f>
        <v>14</v>
      </c>
      <c r="V165" s="18">
        <f>VLOOKUP(A165,[1]Sheet1!$A:$G,7,FALSE)</f>
        <v>15</v>
      </c>
    </row>
    <row r="166" spans="1:22" s="13" customFormat="1" ht="30" customHeight="1">
      <c r="A166" s="17">
        <v>162</v>
      </c>
      <c r="B166" s="8">
        <v>40756</v>
      </c>
      <c r="C166" s="8" t="str">
        <f t="shared" si="9"/>
        <v>Monday</v>
      </c>
      <c r="D166" s="9">
        <v>1</v>
      </c>
      <c r="E166" s="9">
        <v>0</v>
      </c>
      <c r="F166" s="9">
        <v>1</v>
      </c>
      <c r="G166" s="7">
        <v>0</v>
      </c>
      <c r="H166" s="9" t="b">
        <v>0</v>
      </c>
      <c r="I166" s="9">
        <v>6</v>
      </c>
      <c r="J166" s="38" t="str">
        <f>CHOOSE(Table1[[#This Row],[Weekday]]+1,"Sunday","Monday","Tuesday","Wednesday","Thursday","Friday","Saturday")</f>
        <v>Saturday</v>
      </c>
      <c r="K166" s="9">
        <v>2</v>
      </c>
      <c r="L166" s="38" t="str">
        <f>IF(Table1[[#This Row],[Weather_code]]=1,"Clear",IF(Table1[[#This Row],[Weather_code]]=2,"Cloudy",IF(Table1[[#This Row],[Weather_code]]=3,"Light Rain",IF(Table1[[#This Row],[Weather_code]]=4,"Heavy Rain"))))</f>
        <v>Cloudy</v>
      </c>
      <c r="M166" s="10">
        <v>0.18</v>
      </c>
      <c r="N166" s="11" t="str">
        <f t="shared" si="7"/>
        <v>Winter</v>
      </c>
      <c r="O166" s="11" t="str">
        <f t="shared" si="8"/>
        <v>Weekday</v>
      </c>
      <c r="P166" s="11">
        <f>VLOOKUP(A166,[1]Sheet1!$A:$H,2, FALSE)</f>
        <v>0.19700000000000001</v>
      </c>
      <c r="Q166" s="40">
        <f>Table1[[#This Row],[A_Temperature]]*41</f>
        <v>8.077</v>
      </c>
      <c r="R166" s="11">
        <f>VLOOKUP(A166,[1]Sheet1!$A:$G,3,FALSE)</f>
        <v>0.51</v>
      </c>
      <c r="S166" s="11">
        <f>VLOOKUP(A166,[1]Sheet1!$A:$G,4,FALSE)</f>
        <v>0.16420000000000001</v>
      </c>
      <c r="T166" s="11">
        <f>VLOOKUP(A166,[1]Sheet1!$A:$G,5,FALSE)</f>
        <v>1</v>
      </c>
      <c r="U166" s="11">
        <f>VLOOKUP(A166,[1]Sheet1!$A:$G,6,FALSE)</f>
        <v>24</v>
      </c>
      <c r="V166" s="18">
        <f>VLOOKUP(A166,[1]Sheet1!$A:$G,7,FALSE)</f>
        <v>25</v>
      </c>
    </row>
    <row r="167" spans="1:22" s="13" customFormat="1" ht="30" customHeight="1">
      <c r="A167" s="17">
        <v>163</v>
      </c>
      <c r="B167" s="8">
        <v>40756</v>
      </c>
      <c r="C167" s="8" t="str">
        <f t="shared" si="9"/>
        <v>Monday</v>
      </c>
      <c r="D167" s="9">
        <v>1</v>
      </c>
      <c r="E167" s="9">
        <v>0</v>
      </c>
      <c r="F167" s="9">
        <v>1</v>
      </c>
      <c r="G167" s="7">
        <v>1</v>
      </c>
      <c r="H167" s="9" t="b">
        <v>0</v>
      </c>
      <c r="I167" s="9">
        <v>6</v>
      </c>
      <c r="J167" s="38" t="str">
        <f>CHOOSE(Table1[[#This Row],[Weekday]]+1,"Sunday","Monday","Tuesday","Wednesday","Thursday","Friday","Saturday")</f>
        <v>Saturday</v>
      </c>
      <c r="K167" s="9">
        <v>2</v>
      </c>
      <c r="L167" s="38" t="str">
        <f>IF(Table1[[#This Row],[Weather_code]]=1,"Clear",IF(Table1[[#This Row],[Weather_code]]=2,"Cloudy",IF(Table1[[#This Row],[Weather_code]]=3,"Light Rain",IF(Table1[[#This Row],[Weather_code]]=4,"Heavy Rain"))))</f>
        <v>Cloudy</v>
      </c>
      <c r="M167" s="10">
        <v>0.18</v>
      </c>
      <c r="N167" s="11" t="str">
        <f t="shared" si="7"/>
        <v>Winter</v>
      </c>
      <c r="O167" s="11" t="str">
        <f t="shared" si="8"/>
        <v>Weekday</v>
      </c>
      <c r="P167" s="11">
        <f>VLOOKUP(A167,[1]Sheet1!$A:$H,2, FALSE)</f>
        <v>0.21210000000000001</v>
      </c>
      <c r="Q167" s="40">
        <f>Table1[[#This Row],[A_Temperature]]*41</f>
        <v>8.6961000000000013</v>
      </c>
      <c r="R167" s="11">
        <f>VLOOKUP(A167,[1]Sheet1!$A:$G,3,FALSE)</f>
        <v>0.55000000000000004</v>
      </c>
      <c r="S167" s="11">
        <f>VLOOKUP(A167,[1]Sheet1!$A:$G,4,FALSE)</f>
        <v>8.9599999999999999E-2</v>
      </c>
      <c r="T167" s="11">
        <f>VLOOKUP(A167,[1]Sheet1!$A:$G,5,FALSE)</f>
        <v>1</v>
      </c>
      <c r="U167" s="11">
        <f>VLOOKUP(A167,[1]Sheet1!$A:$G,6,FALSE)</f>
        <v>15</v>
      </c>
      <c r="V167" s="18">
        <f>VLOOKUP(A167,[1]Sheet1!$A:$G,7,FALSE)</f>
        <v>16</v>
      </c>
    </row>
    <row r="168" spans="1:22" s="13" customFormat="1" ht="30" customHeight="1">
      <c r="A168" s="17">
        <v>164</v>
      </c>
      <c r="B168" s="8">
        <v>40756</v>
      </c>
      <c r="C168" s="8" t="str">
        <f t="shared" si="9"/>
        <v>Monday</v>
      </c>
      <c r="D168" s="9">
        <v>1</v>
      </c>
      <c r="E168" s="9">
        <v>0</v>
      </c>
      <c r="F168" s="9">
        <v>1</v>
      </c>
      <c r="G168" s="7">
        <v>2</v>
      </c>
      <c r="H168" s="9" t="b">
        <v>0</v>
      </c>
      <c r="I168" s="9">
        <v>6</v>
      </c>
      <c r="J168" s="38" t="str">
        <f>CHOOSE(Table1[[#This Row],[Weekday]]+1,"Sunday","Monday","Tuesday","Wednesday","Thursday","Friday","Saturday")</f>
        <v>Saturday</v>
      </c>
      <c r="K168" s="9">
        <v>2</v>
      </c>
      <c r="L168" s="38" t="str">
        <f>IF(Table1[[#This Row],[Weather_code]]=1,"Clear",IF(Table1[[#This Row],[Weather_code]]=2,"Cloudy",IF(Table1[[#This Row],[Weather_code]]=3,"Light Rain",IF(Table1[[#This Row],[Weather_code]]=4,"Heavy Rain"))))</f>
        <v>Cloudy</v>
      </c>
      <c r="M168" s="10">
        <v>0.18</v>
      </c>
      <c r="N168" s="11" t="str">
        <f t="shared" si="7"/>
        <v>Winter</v>
      </c>
      <c r="O168" s="11" t="str">
        <f t="shared" si="8"/>
        <v>Weekday</v>
      </c>
      <c r="P168" s="11">
        <f>VLOOKUP(A168,[1]Sheet1!$A:$H,2, FALSE)</f>
        <v>0.2424</v>
      </c>
      <c r="Q168" s="40">
        <f>Table1[[#This Row],[A_Temperature]]*41</f>
        <v>9.9383999999999997</v>
      </c>
      <c r="R168" s="11">
        <f>VLOOKUP(A168,[1]Sheet1!$A:$G,3,FALSE)</f>
        <v>0.55000000000000004</v>
      </c>
      <c r="S168" s="11">
        <f>VLOOKUP(A168,[1]Sheet1!$A:$G,4,FALSE)</f>
        <v>0</v>
      </c>
      <c r="T168" s="11">
        <f>VLOOKUP(A168,[1]Sheet1!$A:$G,5,FALSE)</f>
        <v>3</v>
      </c>
      <c r="U168" s="11">
        <f>VLOOKUP(A168,[1]Sheet1!$A:$G,6,FALSE)</f>
        <v>13</v>
      </c>
      <c r="V168" s="18">
        <f>VLOOKUP(A168,[1]Sheet1!$A:$G,7,FALSE)</f>
        <v>16</v>
      </c>
    </row>
    <row r="169" spans="1:22" s="13" customFormat="1" ht="30" customHeight="1">
      <c r="A169" s="17">
        <v>165</v>
      </c>
      <c r="B169" s="8">
        <v>40756</v>
      </c>
      <c r="C169" s="8" t="str">
        <f t="shared" si="9"/>
        <v>Monday</v>
      </c>
      <c r="D169" s="9">
        <v>1</v>
      </c>
      <c r="E169" s="9">
        <v>0</v>
      </c>
      <c r="F169" s="9">
        <v>1</v>
      </c>
      <c r="G169" s="7">
        <v>3</v>
      </c>
      <c r="H169" s="9" t="b">
        <v>0</v>
      </c>
      <c r="I169" s="9">
        <v>6</v>
      </c>
      <c r="J169" s="38" t="str">
        <f>CHOOSE(Table1[[#This Row],[Weekday]]+1,"Sunday","Monday","Tuesday","Wednesday","Thursday","Friday","Saturday")</f>
        <v>Saturday</v>
      </c>
      <c r="K169" s="9">
        <v>3</v>
      </c>
      <c r="L169" s="38" t="str">
        <f>IF(Table1[[#This Row],[Weather_code]]=1,"Clear",IF(Table1[[#This Row],[Weather_code]]=2,"Cloudy",IF(Table1[[#This Row],[Weather_code]]=3,"Light Rain",IF(Table1[[#This Row],[Weather_code]]=4,"Heavy Rain"))))</f>
        <v>Light Rain</v>
      </c>
      <c r="M169" s="10">
        <v>0.18</v>
      </c>
      <c r="N169" s="11" t="str">
        <f t="shared" si="7"/>
        <v>Winter</v>
      </c>
      <c r="O169" s="11" t="str">
        <f t="shared" si="8"/>
        <v>Weekday</v>
      </c>
      <c r="P169" s="11">
        <f>VLOOKUP(A169,[1]Sheet1!$A:$H,2, FALSE)</f>
        <v>0.19700000000000001</v>
      </c>
      <c r="Q169" s="40">
        <f>Table1[[#This Row],[A_Temperature]]*41</f>
        <v>8.077</v>
      </c>
      <c r="R169" s="11">
        <f>VLOOKUP(A169,[1]Sheet1!$A:$G,3,FALSE)</f>
        <v>0.55000000000000004</v>
      </c>
      <c r="S169" s="11">
        <f>VLOOKUP(A169,[1]Sheet1!$A:$G,4,FALSE)</f>
        <v>0.16420000000000001</v>
      </c>
      <c r="T169" s="11">
        <f>VLOOKUP(A169,[1]Sheet1!$A:$G,5,FALSE)</f>
        <v>0</v>
      </c>
      <c r="U169" s="11">
        <f>VLOOKUP(A169,[1]Sheet1!$A:$G,6,FALSE)</f>
        <v>7</v>
      </c>
      <c r="V169" s="18">
        <f>VLOOKUP(A169,[1]Sheet1!$A:$G,7,FALSE)</f>
        <v>7</v>
      </c>
    </row>
    <row r="170" spans="1:22" s="13" customFormat="1" ht="30" customHeight="1">
      <c r="A170" s="17">
        <v>166</v>
      </c>
      <c r="B170" s="8">
        <v>40756</v>
      </c>
      <c r="C170" s="8" t="str">
        <f t="shared" si="9"/>
        <v>Monday</v>
      </c>
      <c r="D170" s="9">
        <v>1</v>
      </c>
      <c r="E170" s="9">
        <v>0</v>
      </c>
      <c r="F170" s="9">
        <v>1</v>
      </c>
      <c r="G170" s="7">
        <v>4</v>
      </c>
      <c r="H170" s="9" t="b">
        <v>0</v>
      </c>
      <c r="I170" s="9">
        <v>6</v>
      </c>
      <c r="J170" s="38" t="str">
        <f>CHOOSE(Table1[[#This Row],[Weekday]]+1,"Sunday","Monday","Tuesday","Wednesday","Thursday","Friday","Saturday")</f>
        <v>Saturday</v>
      </c>
      <c r="K170" s="9">
        <v>3</v>
      </c>
      <c r="L170" s="38" t="str">
        <f>IF(Table1[[#This Row],[Weather_code]]=1,"Clear",IF(Table1[[#This Row],[Weather_code]]=2,"Cloudy",IF(Table1[[#This Row],[Weather_code]]=3,"Light Rain",IF(Table1[[#This Row],[Weather_code]]=4,"Heavy Rain"))))</f>
        <v>Light Rain</v>
      </c>
      <c r="M170" s="10">
        <v>0.18</v>
      </c>
      <c r="N170" s="11" t="str">
        <f t="shared" si="7"/>
        <v>Winter</v>
      </c>
      <c r="O170" s="11" t="str">
        <f t="shared" si="8"/>
        <v>Weekday</v>
      </c>
      <c r="P170" s="11">
        <f>VLOOKUP(A170,[1]Sheet1!$A:$H,2, FALSE)</f>
        <v>0.19700000000000001</v>
      </c>
      <c r="Q170" s="40">
        <f>Table1[[#This Row],[A_Temperature]]*41</f>
        <v>8.077</v>
      </c>
      <c r="R170" s="11">
        <f>VLOOKUP(A170,[1]Sheet1!$A:$G,3,FALSE)</f>
        <v>0.55000000000000004</v>
      </c>
      <c r="S170" s="11">
        <f>VLOOKUP(A170,[1]Sheet1!$A:$G,4,FALSE)</f>
        <v>0.16420000000000001</v>
      </c>
      <c r="T170" s="11">
        <f>VLOOKUP(A170,[1]Sheet1!$A:$G,5,FALSE)</f>
        <v>0</v>
      </c>
      <c r="U170" s="11">
        <f>VLOOKUP(A170,[1]Sheet1!$A:$G,6,FALSE)</f>
        <v>1</v>
      </c>
      <c r="V170" s="18">
        <f>VLOOKUP(A170,[1]Sheet1!$A:$G,7,FALSE)</f>
        <v>1</v>
      </c>
    </row>
    <row r="171" spans="1:22" s="13" customFormat="1" ht="30" customHeight="1">
      <c r="A171" s="17">
        <v>167</v>
      </c>
      <c r="B171" s="8">
        <v>40756</v>
      </c>
      <c r="C171" s="8" t="str">
        <f t="shared" si="9"/>
        <v>Monday</v>
      </c>
      <c r="D171" s="9">
        <v>1</v>
      </c>
      <c r="E171" s="9">
        <v>0</v>
      </c>
      <c r="F171" s="9">
        <v>1</v>
      </c>
      <c r="G171" s="7">
        <v>5</v>
      </c>
      <c r="H171" s="9" t="b">
        <v>0</v>
      </c>
      <c r="I171" s="9">
        <v>6</v>
      </c>
      <c r="J171" s="38" t="str">
        <f>CHOOSE(Table1[[#This Row],[Weekday]]+1,"Sunday","Monday","Tuesday","Wednesday","Thursday","Friday","Saturday")</f>
        <v>Saturday</v>
      </c>
      <c r="K171" s="9">
        <v>2</v>
      </c>
      <c r="L171" s="38" t="str">
        <f>IF(Table1[[#This Row],[Weather_code]]=1,"Clear",IF(Table1[[#This Row],[Weather_code]]=2,"Cloudy",IF(Table1[[#This Row],[Weather_code]]=3,"Light Rain",IF(Table1[[#This Row],[Weather_code]]=4,"Heavy Rain"))))</f>
        <v>Cloudy</v>
      </c>
      <c r="M171" s="10">
        <v>0.16</v>
      </c>
      <c r="N171" s="11" t="str">
        <f t="shared" si="7"/>
        <v>Winter</v>
      </c>
      <c r="O171" s="11" t="str">
        <f t="shared" si="8"/>
        <v>Weekday</v>
      </c>
      <c r="P171" s="11">
        <f>VLOOKUP(A171,[1]Sheet1!$A:$H,2, FALSE)</f>
        <v>0.16669999999999999</v>
      </c>
      <c r="Q171" s="40">
        <f>Table1[[#This Row],[A_Temperature]]*41</f>
        <v>6.8346999999999998</v>
      </c>
      <c r="R171" s="11">
        <f>VLOOKUP(A171,[1]Sheet1!$A:$G,3,FALSE)</f>
        <v>0.74</v>
      </c>
      <c r="S171" s="11">
        <f>VLOOKUP(A171,[1]Sheet1!$A:$G,4,FALSE)</f>
        <v>0.16420000000000001</v>
      </c>
      <c r="T171" s="11">
        <f>VLOOKUP(A171,[1]Sheet1!$A:$G,5,FALSE)</f>
        <v>0</v>
      </c>
      <c r="U171" s="11">
        <f>VLOOKUP(A171,[1]Sheet1!$A:$G,6,FALSE)</f>
        <v>5</v>
      </c>
      <c r="V171" s="18">
        <f>VLOOKUP(A171,[1]Sheet1!$A:$G,7,FALSE)</f>
        <v>5</v>
      </c>
    </row>
    <row r="172" spans="1:22" s="13" customFormat="1" ht="30" customHeight="1">
      <c r="A172" s="17">
        <v>168</v>
      </c>
      <c r="B172" s="8">
        <v>40756</v>
      </c>
      <c r="C172" s="8" t="str">
        <f t="shared" si="9"/>
        <v>Monday</v>
      </c>
      <c r="D172" s="9">
        <v>1</v>
      </c>
      <c r="E172" s="9">
        <v>0</v>
      </c>
      <c r="F172" s="9">
        <v>1</v>
      </c>
      <c r="G172" s="7">
        <v>6</v>
      </c>
      <c r="H172" s="9" t="b">
        <v>0</v>
      </c>
      <c r="I172" s="9">
        <v>6</v>
      </c>
      <c r="J172" s="38" t="str">
        <f>CHOOSE(Table1[[#This Row],[Weekday]]+1,"Sunday","Monday","Tuesday","Wednesday","Thursday","Friday","Saturday")</f>
        <v>Saturday</v>
      </c>
      <c r="K172" s="9">
        <v>2</v>
      </c>
      <c r="L172" s="38" t="str">
        <f>IF(Table1[[#This Row],[Weather_code]]=1,"Clear",IF(Table1[[#This Row],[Weather_code]]=2,"Cloudy",IF(Table1[[#This Row],[Weather_code]]=3,"Light Rain",IF(Table1[[#This Row],[Weather_code]]=4,"Heavy Rain"))))</f>
        <v>Cloudy</v>
      </c>
      <c r="M172" s="10">
        <v>0.16</v>
      </c>
      <c r="N172" s="11" t="str">
        <f t="shared" si="7"/>
        <v>Winter</v>
      </c>
      <c r="O172" s="11" t="str">
        <f t="shared" si="8"/>
        <v>Weekday</v>
      </c>
      <c r="P172" s="11">
        <f>VLOOKUP(A172,[1]Sheet1!$A:$H,2, FALSE)</f>
        <v>0.16669999999999999</v>
      </c>
      <c r="Q172" s="40">
        <f>Table1[[#This Row],[A_Temperature]]*41</f>
        <v>6.8346999999999998</v>
      </c>
      <c r="R172" s="11">
        <f>VLOOKUP(A172,[1]Sheet1!$A:$G,3,FALSE)</f>
        <v>0.74</v>
      </c>
      <c r="S172" s="11">
        <f>VLOOKUP(A172,[1]Sheet1!$A:$G,4,FALSE)</f>
        <v>0.16420000000000001</v>
      </c>
      <c r="T172" s="11">
        <f>VLOOKUP(A172,[1]Sheet1!$A:$G,5,FALSE)</f>
        <v>0</v>
      </c>
      <c r="U172" s="11">
        <f>VLOOKUP(A172,[1]Sheet1!$A:$G,6,FALSE)</f>
        <v>2</v>
      </c>
      <c r="V172" s="18">
        <f>VLOOKUP(A172,[1]Sheet1!$A:$G,7,FALSE)</f>
        <v>2</v>
      </c>
    </row>
    <row r="173" spans="1:22" s="13" customFormat="1" ht="30" customHeight="1">
      <c r="A173" s="17">
        <v>169</v>
      </c>
      <c r="B173" s="8">
        <v>40756</v>
      </c>
      <c r="C173" s="8" t="str">
        <f t="shared" si="9"/>
        <v>Monday</v>
      </c>
      <c r="D173" s="9">
        <v>1</v>
      </c>
      <c r="E173" s="9">
        <v>0</v>
      </c>
      <c r="F173" s="9">
        <v>1</v>
      </c>
      <c r="G173" s="7">
        <v>7</v>
      </c>
      <c r="H173" s="9" t="b">
        <v>0</v>
      </c>
      <c r="I173" s="9">
        <v>6</v>
      </c>
      <c r="J173" s="38" t="str">
        <f>CHOOSE(Table1[[#This Row],[Weekday]]+1,"Sunday","Monday","Tuesday","Wednesday","Thursday","Friday","Saturday")</f>
        <v>Saturday</v>
      </c>
      <c r="K173" s="9">
        <v>2</v>
      </c>
      <c r="L173" s="38" t="str">
        <f>IF(Table1[[#This Row],[Weather_code]]=1,"Clear",IF(Table1[[#This Row],[Weather_code]]=2,"Cloudy",IF(Table1[[#This Row],[Weather_code]]=3,"Light Rain",IF(Table1[[#This Row],[Weather_code]]=4,"Heavy Rain"))))</f>
        <v>Cloudy</v>
      </c>
      <c r="M173" s="10">
        <v>0.16</v>
      </c>
      <c r="N173" s="11" t="str">
        <f t="shared" si="7"/>
        <v>Winter</v>
      </c>
      <c r="O173" s="11" t="str">
        <f t="shared" si="8"/>
        <v>Weekday</v>
      </c>
      <c r="P173" s="11">
        <f>VLOOKUP(A173,[1]Sheet1!$A:$H,2, FALSE)</f>
        <v>0.18179999999999999</v>
      </c>
      <c r="Q173" s="40">
        <f>Table1[[#This Row],[A_Temperature]]*41</f>
        <v>7.4537999999999993</v>
      </c>
      <c r="R173" s="11">
        <f>VLOOKUP(A173,[1]Sheet1!$A:$G,3,FALSE)</f>
        <v>0.74</v>
      </c>
      <c r="S173" s="11">
        <f>VLOOKUP(A173,[1]Sheet1!$A:$G,4,FALSE)</f>
        <v>0.1045</v>
      </c>
      <c r="T173" s="11">
        <f>VLOOKUP(A173,[1]Sheet1!$A:$G,5,FALSE)</f>
        <v>1</v>
      </c>
      <c r="U173" s="11">
        <f>VLOOKUP(A173,[1]Sheet1!$A:$G,6,FALSE)</f>
        <v>8</v>
      </c>
      <c r="V173" s="18">
        <f>VLOOKUP(A173,[1]Sheet1!$A:$G,7,FALSE)</f>
        <v>9</v>
      </c>
    </row>
    <row r="174" spans="1:22" s="13" customFormat="1" ht="30" customHeight="1">
      <c r="A174" s="17">
        <v>170</v>
      </c>
      <c r="B174" s="8">
        <v>40756</v>
      </c>
      <c r="C174" s="8" t="str">
        <f t="shared" si="9"/>
        <v>Monday</v>
      </c>
      <c r="D174" s="9">
        <v>1</v>
      </c>
      <c r="E174" s="9">
        <v>0</v>
      </c>
      <c r="F174" s="9">
        <v>1</v>
      </c>
      <c r="G174" s="7">
        <v>8</v>
      </c>
      <c r="H174" s="9" t="b">
        <v>0</v>
      </c>
      <c r="I174" s="9">
        <v>6</v>
      </c>
      <c r="J174" s="38" t="str">
        <f>CHOOSE(Table1[[#This Row],[Weekday]]+1,"Sunday","Monday","Tuesday","Wednesday","Thursday","Friday","Saturday")</f>
        <v>Saturday</v>
      </c>
      <c r="K174" s="9">
        <v>3</v>
      </c>
      <c r="L174" s="38" t="str">
        <f>IF(Table1[[#This Row],[Weather_code]]=1,"Clear",IF(Table1[[#This Row],[Weather_code]]=2,"Cloudy",IF(Table1[[#This Row],[Weather_code]]=3,"Light Rain",IF(Table1[[#This Row],[Weather_code]]=4,"Heavy Rain"))))</f>
        <v>Light Rain</v>
      </c>
      <c r="M174" s="10">
        <v>0.16</v>
      </c>
      <c r="N174" s="11" t="str">
        <f t="shared" si="7"/>
        <v>Winter</v>
      </c>
      <c r="O174" s="11" t="str">
        <f t="shared" si="8"/>
        <v>Weekday</v>
      </c>
      <c r="P174" s="11">
        <f>VLOOKUP(A174,[1]Sheet1!$A:$H,2, FALSE)</f>
        <v>0.18179999999999999</v>
      </c>
      <c r="Q174" s="40">
        <f>Table1[[#This Row],[A_Temperature]]*41</f>
        <v>7.4537999999999993</v>
      </c>
      <c r="R174" s="11">
        <f>VLOOKUP(A174,[1]Sheet1!$A:$G,3,FALSE)</f>
        <v>0.93</v>
      </c>
      <c r="S174" s="11">
        <f>VLOOKUP(A174,[1]Sheet1!$A:$G,4,FALSE)</f>
        <v>0.1045</v>
      </c>
      <c r="T174" s="11">
        <f>VLOOKUP(A174,[1]Sheet1!$A:$G,5,FALSE)</f>
        <v>0</v>
      </c>
      <c r="U174" s="11">
        <f>VLOOKUP(A174,[1]Sheet1!$A:$G,6,FALSE)</f>
        <v>15</v>
      </c>
      <c r="V174" s="18">
        <f>VLOOKUP(A174,[1]Sheet1!$A:$G,7,FALSE)</f>
        <v>15</v>
      </c>
    </row>
    <row r="175" spans="1:22" s="13" customFormat="1" ht="30" customHeight="1">
      <c r="A175" s="17">
        <v>171</v>
      </c>
      <c r="B175" s="8">
        <v>40756</v>
      </c>
      <c r="C175" s="8" t="str">
        <f t="shared" si="9"/>
        <v>Monday</v>
      </c>
      <c r="D175" s="9">
        <v>1</v>
      </c>
      <c r="E175" s="9">
        <v>0</v>
      </c>
      <c r="F175" s="9">
        <v>1</v>
      </c>
      <c r="G175" s="7">
        <v>9</v>
      </c>
      <c r="H175" s="9" t="b">
        <v>0</v>
      </c>
      <c r="I175" s="9">
        <v>6</v>
      </c>
      <c r="J175" s="38" t="str">
        <f>CHOOSE(Table1[[#This Row],[Weekday]]+1,"Sunday","Monday","Tuesday","Wednesday","Thursday","Friday","Saturday")</f>
        <v>Saturday</v>
      </c>
      <c r="K175" s="9">
        <v>3</v>
      </c>
      <c r="L175" s="38" t="str">
        <f>IF(Table1[[#This Row],[Weather_code]]=1,"Clear",IF(Table1[[#This Row],[Weather_code]]=2,"Cloudy",IF(Table1[[#This Row],[Weather_code]]=3,"Light Rain",IF(Table1[[#This Row],[Weather_code]]=4,"Heavy Rain"))))</f>
        <v>Light Rain</v>
      </c>
      <c r="M175" s="10">
        <v>0.16</v>
      </c>
      <c r="N175" s="11" t="str">
        <f t="shared" si="7"/>
        <v>Winter</v>
      </c>
      <c r="O175" s="11" t="str">
        <f t="shared" si="8"/>
        <v>Weekday</v>
      </c>
      <c r="P175" s="11">
        <f>VLOOKUP(A175,[1]Sheet1!$A:$H,2, FALSE)</f>
        <v>0.18179999999999999</v>
      </c>
      <c r="Q175" s="40">
        <f>Table1[[#This Row],[A_Temperature]]*41</f>
        <v>7.4537999999999993</v>
      </c>
      <c r="R175" s="11">
        <f>VLOOKUP(A175,[1]Sheet1!$A:$G,3,FALSE)</f>
        <v>0.93</v>
      </c>
      <c r="S175" s="11">
        <f>VLOOKUP(A175,[1]Sheet1!$A:$G,4,FALSE)</f>
        <v>0.1045</v>
      </c>
      <c r="T175" s="11">
        <f>VLOOKUP(A175,[1]Sheet1!$A:$G,5,FALSE)</f>
        <v>0</v>
      </c>
      <c r="U175" s="11">
        <f>VLOOKUP(A175,[1]Sheet1!$A:$G,6,FALSE)</f>
        <v>20</v>
      </c>
      <c r="V175" s="18">
        <f>VLOOKUP(A175,[1]Sheet1!$A:$G,7,FALSE)</f>
        <v>20</v>
      </c>
    </row>
    <row r="176" spans="1:22" s="13" customFormat="1" ht="30" customHeight="1">
      <c r="A176" s="17">
        <v>172</v>
      </c>
      <c r="B176" s="8">
        <v>40756</v>
      </c>
      <c r="C176" s="8" t="str">
        <f t="shared" si="9"/>
        <v>Monday</v>
      </c>
      <c r="D176" s="9">
        <v>1</v>
      </c>
      <c r="E176" s="9">
        <v>0</v>
      </c>
      <c r="F176" s="9">
        <v>1</v>
      </c>
      <c r="G176" s="7">
        <v>10</v>
      </c>
      <c r="H176" s="9" t="b">
        <v>0</v>
      </c>
      <c r="I176" s="9">
        <v>6</v>
      </c>
      <c r="J176" s="38" t="str">
        <f>CHOOSE(Table1[[#This Row],[Weekday]]+1,"Sunday","Monday","Tuesday","Wednesday","Thursday","Friday","Saturday")</f>
        <v>Saturday</v>
      </c>
      <c r="K176" s="9">
        <v>2</v>
      </c>
      <c r="L176" s="38" t="str">
        <f>IF(Table1[[#This Row],[Weather_code]]=1,"Clear",IF(Table1[[#This Row],[Weather_code]]=2,"Cloudy",IF(Table1[[#This Row],[Weather_code]]=3,"Light Rain",IF(Table1[[#This Row],[Weather_code]]=4,"Heavy Rain"))))</f>
        <v>Cloudy</v>
      </c>
      <c r="M176" s="10">
        <v>0.18</v>
      </c>
      <c r="N176" s="11" t="str">
        <f t="shared" si="7"/>
        <v>Winter</v>
      </c>
      <c r="O176" s="11" t="str">
        <f t="shared" si="8"/>
        <v>Weekday</v>
      </c>
      <c r="P176" s="11">
        <f>VLOOKUP(A176,[1]Sheet1!$A:$H,2, FALSE)</f>
        <v>0.19700000000000001</v>
      </c>
      <c r="Q176" s="40">
        <f>Table1[[#This Row],[A_Temperature]]*41</f>
        <v>8.077</v>
      </c>
      <c r="R176" s="11">
        <f>VLOOKUP(A176,[1]Sheet1!$A:$G,3,FALSE)</f>
        <v>0.8</v>
      </c>
      <c r="S176" s="11">
        <f>VLOOKUP(A176,[1]Sheet1!$A:$G,4,FALSE)</f>
        <v>0.16420000000000001</v>
      </c>
      <c r="T176" s="11">
        <f>VLOOKUP(A176,[1]Sheet1!$A:$G,5,FALSE)</f>
        <v>5</v>
      </c>
      <c r="U176" s="11">
        <f>VLOOKUP(A176,[1]Sheet1!$A:$G,6,FALSE)</f>
        <v>56</v>
      </c>
      <c r="V176" s="18">
        <f>VLOOKUP(A176,[1]Sheet1!$A:$G,7,FALSE)</f>
        <v>61</v>
      </c>
    </row>
    <row r="177" spans="1:22" s="13" customFormat="1" ht="30" customHeight="1">
      <c r="A177" s="17">
        <v>173</v>
      </c>
      <c r="B177" s="8">
        <v>40756</v>
      </c>
      <c r="C177" s="8" t="str">
        <f t="shared" si="9"/>
        <v>Monday</v>
      </c>
      <c r="D177" s="9">
        <v>1</v>
      </c>
      <c r="E177" s="9">
        <v>0</v>
      </c>
      <c r="F177" s="9">
        <v>1</v>
      </c>
      <c r="G177" s="7">
        <v>11</v>
      </c>
      <c r="H177" s="9" t="b">
        <v>0</v>
      </c>
      <c r="I177" s="9">
        <v>6</v>
      </c>
      <c r="J177" s="38" t="str">
        <f>CHOOSE(Table1[[#This Row],[Weekday]]+1,"Sunday","Monday","Tuesday","Wednesday","Thursday","Friday","Saturday")</f>
        <v>Saturday</v>
      </c>
      <c r="K177" s="9">
        <v>2</v>
      </c>
      <c r="L177" s="38" t="str">
        <f>IF(Table1[[#This Row],[Weather_code]]=1,"Clear",IF(Table1[[#This Row],[Weather_code]]=2,"Cloudy",IF(Table1[[#This Row],[Weather_code]]=3,"Light Rain",IF(Table1[[#This Row],[Weather_code]]=4,"Heavy Rain"))))</f>
        <v>Cloudy</v>
      </c>
      <c r="M177" s="10">
        <v>0.2</v>
      </c>
      <c r="N177" s="11" t="str">
        <f t="shared" si="7"/>
        <v>Winter</v>
      </c>
      <c r="O177" s="11" t="str">
        <f t="shared" si="8"/>
        <v>Weekday</v>
      </c>
      <c r="P177" s="11">
        <f>VLOOKUP(A177,[1]Sheet1!$A:$H,2, FALSE)</f>
        <v>0.18179999999999999</v>
      </c>
      <c r="Q177" s="40">
        <f>Table1[[#This Row],[A_Temperature]]*41</f>
        <v>7.4537999999999993</v>
      </c>
      <c r="R177" s="11">
        <f>VLOOKUP(A177,[1]Sheet1!$A:$G,3,FALSE)</f>
        <v>0.69</v>
      </c>
      <c r="S177" s="11">
        <f>VLOOKUP(A177,[1]Sheet1!$A:$G,4,FALSE)</f>
        <v>0.3881</v>
      </c>
      <c r="T177" s="11">
        <f>VLOOKUP(A177,[1]Sheet1!$A:$G,5,FALSE)</f>
        <v>2</v>
      </c>
      <c r="U177" s="11">
        <f>VLOOKUP(A177,[1]Sheet1!$A:$G,6,FALSE)</f>
        <v>60</v>
      </c>
      <c r="V177" s="18">
        <f>VLOOKUP(A177,[1]Sheet1!$A:$G,7,FALSE)</f>
        <v>62</v>
      </c>
    </row>
    <row r="178" spans="1:22" s="13" customFormat="1" ht="30" customHeight="1">
      <c r="A178" s="17">
        <v>174</v>
      </c>
      <c r="B178" s="8">
        <v>40756</v>
      </c>
      <c r="C178" s="8" t="str">
        <f t="shared" si="9"/>
        <v>Monday</v>
      </c>
      <c r="D178" s="9">
        <v>1</v>
      </c>
      <c r="E178" s="9">
        <v>0</v>
      </c>
      <c r="F178" s="9">
        <v>1</v>
      </c>
      <c r="G178" s="7">
        <v>12</v>
      </c>
      <c r="H178" s="9" t="b">
        <v>0</v>
      </c>
      <c r="I178" s="9">
        <v>6</v>
      </c>
      <c r="J178" s="38" t="str">
        <f>CHOOSE(Table1[[#This Row],[Weekday]]+1,"Sunday","Monday","Tuesday","Wednesday","Thursday","Friday","Saturday")</f>
        <v>Saturday</v>
      </c>
      <c r="K178" s="9">
        <v>2</v>
      </c>
      <c r="L178" s="38" t="str">
        <f>IF(Table1[[#This Row],[Weather_code]]=1,"Clear",IF(Table1[[#This Row],[Weather_code]]=2,"Cloudy",IF(Table1[[#This Row],[Weather_code]]=3,"Light Rain",IF(Table1[[#This Row],[Weather_code]]=4,"Heavy Rain"))))</f>
        <v>Cloudy</v>
      </c>
      <c r="M178" s="10">
        <v>0.2</v>
      </c>
      <c r="N178" s="11" t="str">
        <f t="shared" si="7"/>
        <v>Winter</v>
      </c>
      <c r="O178" s="11" t="str">
        <f t="shared" si="8"/>
        <v>Weekday</v>
      </c>
      <c r="P178" s="11">
        <f>VLOOKUP(A178,[1]Sheet1!$A:$H,2, FALSE)</f>
        <v>0.18179999999999999</v>
      </c>
      <c r="Q178" s="40">
        <f>Table1[[#This Row],[A_Temperature]]*41</f>
        <v>7.4537999999999993</v>
      </c>
      <c r="R178" s="11">
        <f>VLOOKUP(A178,[1]Sheet1!$A:$G,3,FALSE)</f>
        <v>0.59</v>
      </c>
      <c r="S178" s="11">
        <f>VLOOKUP(A178,[1]Sheet1!$A:$G,4,FALSE)</f>
        <v>0.35820000000000002</v>
      </c>
      <c r="T178" s="11">
        <f>VLOOKUP(A178,[1]Sheet1!$A:$G,5,FALSE)</f>
        <v>8</v>
      </c>
      <c r="U178" s="11">
        <f>VLOOKUP(A178,[1]Sheet1!$A:$G,6,FALSE)</f>
        <v>90</v>
      </c>
      <c r="V178" s="18">
        <f>VLOOKUP(A178,[1]Sheet1!$A:$G,7,FALSE)</f>
        <v>98</v>
      </c>
    </row>
    <row r="179" spans="1:22" s="13" customFormat="1" ht="30" customHeight="1">
      <c r="A179" s="17">
        <v>175</v>
      </c>
      <c r="B179" s="8">
        <v>40756</v>
      </c>
      <c r="C179" s="8" t="str">
        <f t="shared" si="9"/>
        <v>Monday</v>
      </c>
      <c r="D179" s="9">
        <v>1</v>
      </c>
      <c r="E179" s="9">
        <v>0</v>
      </c>
      <c r="F179" s="9">
        <v>1</v>
      </c>
      <c r="G179" s="7">
        <v>13</v>
      </c>
      <c r="H179" s="9" t="b">
        <v>0</v>
      </c>
      <c r="I179" s="9">
        <v>6</v>
      </c>
      <c r="J179" s="38" t="str">
        <f>CHOOSE(Table1[[#This Row],[Weekday]]+1,"Sunday","Monday","Tuesday","Wednesday","Thursday","Friday","Saturday")</f>
        <v>Saturday</v>
      </c>
      <c r="K179" s="9">
        <v>1</v>
      </c>
      <c r="L179" s="38" t="str">
        <f>IF(Table1[[#This Row],[Weather_code]]=1,"Clear",IF(Table1[[#This Row],[Weather_code]]=2,"Cloudy",IF(Table1[[#This Row],[Weather_code]]=3,"Light Rain",IF(Table1[[#This Row],[Weather_code]]=4,"Heavy Rain"))))</f>
        <v>Clear</v>
      </c>
      <c r="M179" s="10">
        <v>0.2</v>
      </c>
      <c r="N179" s="11" t="str">
        <f t="shared" si="7"/>
        <v>Winter</v>
      </c>
      <c r="O179" s="11" t="str">
        <f t="shared" si="8"/>
        <v>Weekday</v>
      </c>
      <c r="P179" s="11">
        <f>VLOOKUP(A179,[1]Sheet1!$A:$H,2, FALSE)</f>
        <v>0.18179999999999999</v>
      </c>
      <c r="Q179" s="40">
        <f>Table1[[#This Row],[A_Temperature]]*41</f>
        <v>7.4537999999999993</v>
      </c>
      <c r="R179" s="11">
        <f>VLOOKUP(A179,[1]Sheet1!$A:$G,3,FALSE)</f>
        <v>0.44</v>
      </c>
      <c r="S179" s="11">
        <f>VLOOKUP(A179,[1]Sheet1!$A:$G,4,FALSE)</f>
        <v>0.32840000000000003</v>
      </c>
      <c r="T179" s="11">
        <f>VLOOKUP(A179,[1]Sheet1!$A:$G,5,FALSE)</f>
        <v>7</v>
      </c>
      <c r="U179" s="11">
        <f>VLOOKUP(A179,[1]Sheet1!$A:$G,6,FALSE)</f>
        <v>95</v>
      </c>
      <c r="V179" s="18">
        <f>VLOOKUP(A179,[1]Sheet1!$A:$G,7,FALSE)</f>
        <v>102</v>
      </c>
    </row>
    <row r="180" spans="1:22" s="13" customFormat="1" ht="30" customHeight="1">
      <c r="A180" s="17">
        <v>176</v>
      </c>
      <c r="B180" s="8">
        <v>40756</v>
      </c>
      <c r="C180" s="8" t="str">
        <f t="shared" si="9"/>
        <v>Monday</v>
      </c>
      <c r="D180" s="9">
        <v>1</v>
      </c>
      <c r="E180" s="9">
        <v>0</v>
      </c>
      <c r="F180" s="9">
        <v>1</v>
      </c>
      <c r="G180" s="7">
        <v>14</v>
      </c>
      <c r="H180" s="9" t="b">
        <v>0</v>
      </c>
      <c r="I180" s="9">
        <v>6</v>
      </c>
      <c r="J180" s="38" t="str">
        <f>CHOOSE(Table1[[#This Row],[Weekday]]+1,"Sunday","Monday","Tuesday","Wednesday","Thursday","Friday","Saturday")</f>
        <v>Saturday</v>
      </c>
      <c r="K180" s="9">
        <v>1</v>
      </c>
      <c r="L180" s="38" t="str">
        <f>IF(Table1[[#This Row],[Weather_code]]=1,"Clear",IF(Table1[[#This Row],[Weather_code]]=2,"Cloudy",IF(Table1[[#This Row],[Weather_code]]=3,"Light Rain",IF(Table1[[#This Row],[Weather_code]]=4,"Heavy Rain"))))</f>
        <v>Clear</v>
      </c>
      <c r="M180" s="10">
        <v>0.2</v>
      </c>
      <c r="N180" s="11" t="str">
        <f t="shared" si="7"/>
        <v>Winter</v>
      </c>
      <c r="O180" s="11" t="str">
        <f t="shared" si="8"/>
        <v>Weekday</v>
      </c>
      <c r="P180" s="11">
        <f>VLOOKUP(A180,[1]Sheet1!$A:$H,2, FALSE)</f>
        <v>0.16669999999999999</v>
      </c>
      <c r="Q180" s="40">
        <f>Table1[[#This Row],[A_Temperature]]*41</f>
        <v>6.8346999999999998</v>
      </c>
      <c r="R180" s="11">
        <f>VLOOKUP(A180,[1]Sheet1!$A:$G,3,FALSE)</f>
        <v>0.32</v>
      </c>
      <c r="S180" s="11">
        <f>VLOOKUP(A180,[1]Sheet1!$A:$G,4,FALSE)</f>
        <v>0.49249999999999999</v>
      </c>
      <c r="T180" s="11">
        <f>VLOOKUP(A180,[1]Sheet1!$A:$G,5,FALSE)</f>
        <v>12</v>
      </c>
      <c r="U180" s="11">
        <f>VLOOKUP(A180,[1]Sheet1!$A:$G,6,FALSE)</f>
        <v>83</v>
      </c>
      <c r="V180" s="18">
        <f>VLOOKUP(A180,[1]Sheet1!$A:$G,7,FALSE)</f>
        <v>95</v>
      </c>
    </row>
    <row r="181" spans="1:22" s="13" customFormat="1" ht="30" customHeight="1">
      <c r="A181" s="17">
        <v>177</v>
      </c>
      <c r="B181" s="8">
        <v>40756</v>
      </c>
      <c r="C181" s="8" t="str">
        <f t="shared" si="9"/>
        <v>Monday</v>
      </c>
      <c r="D181" s="9">
        <v>1</v>
      </c>
      <c r="E181" s="9">
        <v>0</v>
      </c>
      <c r="F181" s="9">
        <v>1</v>
      </c>
      <c r="G181" s="7">
        <v>15</v>
      </c>
      <c r="H181" s="9" t="b">
        <v>0</v>
      </c>
      <c r="I181" s="9">
        <v>6</v>
      </c>
      <c r="J181" s="38" t="str">
        <f>CHOOSE(Table1[[#This Row],[Weekday]]+1,"Sunday","Monday","Tuesday","Wednesday","Thursday","Friday","Saturday")</f>
        <v>Saturday</v>
      </c>
      <c r="K181" s="9">
        <v>1</v>
      </c>
      <c r="L181" s="38" t="str">
        <f>IF(Table1[[#This Row],[Weather_code]]=1,"Clear",IF(Table1[[#This Row],[Weather_code]]=2,"Cloudy",IF(Table1[[#This Row],[Weather_code]]=3,"Light Rain",IF(Table1[[#This Row],[Weather_code]]=4,"Heavy Rain"))))</f>
        <v>Clear</v>
      </c>
      <c r="M181" s="10">
        <v>0.2</v>
      </c>
      <c r="N181" s="11" t="str">
        <f t="shared" si="7"/>
        <v>Winter</v>
      </c>
      <c r="O181" s="11" t="str">
        <f t="shared" si="8"/>
        <v>Weekday</v>
      </c>
      <c r="P181" s="11">
        <f>VLOOKUP(A181,[1]Sheet1!$A:$H,2, FALSE)</f>
        <v>0.16669999999999999</v>
      </c>
      <c r="Q181" s="40">
        <f>Table1[[#This Row],[A_Temperature]]*41</f>
        <v>6.8346999999999998</v>
      </c>
      <c r="R181" s="11">
        <f>VLOOKUP(A181,[1]Sheet1!$A:$G,3,FALSE)</f>
        <v>0.32</v>
      </c>
      <c r="S181" s="11">
        <f>VLOOKUP(A181,[1]Sheet1!$A:$G,4,FALSE)</f>
        <v>0.44779999999999998</v>
      </c>
      <c r="T181" s="11">
        <f>VLOOKUP(A181,[1]Sheet1!$A:$G,5,FALSE)</f>
        <v>5</v>
      </c>
      <c r="U181" s="11">
        <f>VLOOKUP(A181,[1]Sheet1!$A:$G,6,FALSE)</f>
        <v>69</v>
      </c>
      <c r="V181" s="18">
        <f>VLOOKUP(A181,[1]Sheet1!$A:$G,7,FALSE)</f>
        <v>74</v>
      </c>
    </row>
    <row r="182" spans="1:22" s="13" customFormat="1" ht="30" customHeight="1">
      <c r="A182" s="17">
        <v>178</v>
      </c>
      <c r="B182" s="8">
        <v>40756</v>
      </c>
      <c r="C182" s="8" t="str">
        <f t="shared" si="9"/>
        <v>Monday</v>
      </c>
      <c r="D182" s="9">
        <v>1</v>
      </c>
      <c r="E182" s="9">
        <v>0</v>
      </c>
      <c r="F182" s="9">
        <v>1</v>
      </c>
      <c r="G182" s="7">
        <v>16</v>
      </c>
      <c r="H182" s="9" t="b">
        <v>0</v>
      </c>
      <c r="I182" s="9">
        <v>6</v>
      </c>
      <c r="J182" s="38" t="str">
        <f>CHOOSE(Table1[[#This Row],[Weekday]]+1,"Sunday","Monday","Tuesday","Wednesday","Thursday","Friday","Saturday")</f>
        <v>Saturday</v>
      </c>
      <c r="K182" s="9">
        <v>1</v>
      </c>
      <c r="L182" s="38" t="str">
        <f>IF(Table1[[#This Row],[Weather_code]]=1,"Clear",IF(Table1[[#This Row],[Weather_code]]=2,"Cloudy",IF(Table1[[#This Row],[Weather_code]]=3,"Light Rain",IF(Table1[[#This Row],[Weather_code]]=4,"Heavy Rain"))))</f>
        <v>Clear</v>
      </c>
      <c r="M182" s="10">
        <v>0.18</v>
      </c>
      <c r="N182" s="11" t="str">
        <f t="shared" si="7"/>
        <v>Winter</v>
      </c>
      <c r="O182" s="11" t="str">
        <f t="shared" si="8"/>
        <v>Weekday</v>
      </c>
      <c r="P182" s="11">
        <f>VLOOKUP(A182,[1]Sheet1!$A:$H,2, FALSE)</f>
        <v>0.13639999999999999</v>
      </c>
      <c r="Q182" s="40">
        <f>Table1[[#This Row],[A_Temperature]]*41</f>
        <v>5.5923999999999996</v>
      </c>
      <c r="R182" s="11">
        <f>VLOOKUP(A182,[1]Sheet1!$A:$G,3,FALSE)</f>
        <v>0.28999999999999998</v>
      </c>
      <c r="S182" s="11">
        <f>VLOOKUP(A182,[1]Sheet1!$A:$G,4,FALSE)</f>
        <v>0.44779999999999998</v>
      </c>
      <c r="T182" s="11">
        <f>VLOOKUP(A182,[1]Sheet1!$A:$G,5,FALSE)</f>
        <v>8</v>
      </c>
      <c r="U182" s="11">
        <f>VLOOKUP(A182,[1]Sheet1!$A:$G,6,FALSE)</f>
        <v>68</v>
      </c>
      <c r="V182" s="18">
        <f>VLOOKUP(A182,[1]Sheet1!$A:$G,7,FALSE)</f>
        <v>76</v>
      </c>
    </row>
    <row r="183" spans="1:22" s="13" customFormat="1" ht="30" customHeight="1">
      <c r="A183" s="17">
        <v>179</v>
      </c>
      <c r="B183" s="8">
        <v>40756</v>
      </c>
      <c r="C183" s="8" t="str">
        <f t="shared" si="9"/>
        <v>Monday</v>
      </c>
      <c r="D183" s="9">
        <v>1</v>
      </c>
      <c r="E183" s="9">
        <v>0</v>
      </c>
      <c r="F183" s="9">
        <v>1</v>
      </c>
      <c r="G183" s="7">
        <v>17</v>
      </c>
      <c r="H183" s="9" t="b">
        <v>0</v>
      </c>
      <c r="I183" s="9">
        <v>6</v>
      </c>
      <c r="J183" s="38" t="str">
        <f>CHOOSE(Table1[[#This Row],[Weekday]]+1,"Sunday","Monday","Tuesday","Wednesday","Thursday","Friday","Saturday")</f>
        <v>Saturday</v>
      </c>
      <c r="K183" s="9">
        <v>1</v>
      </c>
      <c r="L183" s="38" t="str">
        <f>IF(Table1[[#This Row],[Weather_code]]=1,"Clear",IF(Table1[[#This Row],[Weather_code]]=2,"Cloudy",IF(Table1[[#This Row],[Weather_code]]=3,"Light Rain",IF(Table1[[#This Row],[Weather_code]]=4,"Heavy Rain"))))</f>
        <v>Clear</v>
      </c>
      <c r="M183" s="10">
        <v>0.16</v>
      </c>
      <c r="N183" s="11" t="str">
        <f t="shared" si="7"/>
        <v>Winter</v>
      </c>
      <c r="O183" s="11" t="str">
        <f t="shared" si="8"/>
        <v>Weekday</v>
      </c>
      <c r="P183" s="11">
        <f>VLOOKUP(A183,[1]Sheet1!$A:$H,2, FALSE)</f>
        <v>0.1212</v>
      </c>
      <c r="Q183" s="40">
        <f>Table1[[#This Row],[A_Temperature]]*41</f>
        <v>4.9691999999999998</v>
      </c>
      <c r="R183" s="11">
        <f>VLOOKUP(A183,[1]Sheet1!$A:$G,3,FALSE)</f>
        <v>0.37</v>
      </c>
      <c r="S183" s="11">
        <f>VLOOKUP(A183,[1]Sheet1!$A:$G,4,FALSE)</f>
        <v>0.55220000000000002</v>
      </c>
      <c r="T183" s="11">
        <f>VLOOKUP(A183,[1]Sheet1!$A:$G,5,FALSE)</f>
        <v>5</v>
      </c>
      <c r="U183" s="11">
        <f>VLOOKUP(A183,[1]Sheet1!$A:$G,6,FALSE)</f>
        <v>64</v>
      </c>
      <c r="V183" s="18">
        <f>VLOOKUP(A183,[1]Sheet1!$A:$G,7,FALSE)</f>
        <v>69</v>
      </c>
    </row>
    <row r="184" spans="1:22" s="13" customFormat="1" ht="30" customHeight="1">
      <c r="A184" s="17">
        <v>180</v>
      </c>
      <c r="B184" s="8">
        <v>40756</v>
      </c>
      <c r="C184" s="8" t="str">
        <f t="shared" si="9"/>
        <v>Monday</v>
      </c>
      <c r="D184" s="9">
        <v>1</v>
      </c>
      <c r="E184" s="9">
        <v>0</v>
      </c>
      <c r="F184" s="9">
        <v>1</v>
      </c>
      <c r="G184" s="7">
        <v>18</v>
      </c>
      <c r="H184" s="9" t="b">
        <v>0</v>
      </c>
      <c r="I184" s="9">
        <v>6</v>
      </c>
      <c r="J184" s="38" t="str">
        <f>CHOOSE(Table1[[#This Row],[Weekday]]+1,"Sunday","Monday","Tuesday","Wednesday","Thursday","Friday","Saturday")</f>
        <v>Saturday</v>
      </c>
      <c r="K184" s="9">
        <v>1</v>
      </c>
      <c r="L184" s="38" t="str">
        <f>IF(Table1[[#This Row],[Weather_code]]=1,"Clear",IF(Table1[[#This Row],[Weather_code]]=2,"Cloudy",IF(Table1[[#This Row],[Weather_code]]=3,"Light Rain",IF(Table1[[#This Row],[Weather_code]]=4,"Heavy Rain"))))</f>
        <v>Clear</v>
      </c>
      <c r="M184" s="10">
        <v>0.14000000000000001</v>
      </c>
      <c r="N184" s="11" t="str">
        <f t="shared" si="7"/>
        <v>Winter</v>
      </c>
      <c r="O184" s="11" t="str">
        <f t="shared" si="8"/>
        <v>Weekday</v>
      </c>
      <c r="P184" s="11">
        <f>VLOOKUP(A184,[1]Sheet1!$A:$H,2, FALSE)</f>
        <v>0.1212</v>
      </c>
      <c r="Q184" s="40">
        <f>Table1[[#This Row],[A_Temperature]]*41</f>
        <v>4.9691999999999998</v>
      </c>
      <c r="R184" s="11">
        <f>VLOOKUP(A184,[1]Sheet1!$A:$G,3,FALSE)</f>
        <v>0.39</v>
      </c>
      <c r="S184" s="11">
        <f>VLOOKUP(A184,[1]Sheet1!$A:$G,4,FALSE)</f>
        <v>0.29849999999999999</v>
      </c>
      <c r="T184" s="11">
        <f>VLOOKUP(A184,[1]Sheet1!$A:$G,5,FALSE)</f>
        <v>3</v>
      </c>
      <c r="U184" s="11">
        <f>VLOOKUP(A184,[1]Sheet1!$A:$G,6,FALSE)</f>
        <v>52</v>
      </c>
      <c r="V184" s="18">
        <f>VLOOKUP(A184,[1]Sheet1!$A:$G,7,FALSE)</f>
        <v>55</v>
      </c>
    </row>
    <row r="185" spans="1:22" s="13" customFormat="1" ht="30" customHeight="1">
      <c r="A185" s="17">
        <v>181</v>
      </c>
      <c r="B185" s="8">
        <v>40756</v>
      </c>
      <c r="C185" s="8" t="str">
        <f t="shared" si="9"/>
        <v>Monday</v>
      </c>
      <c r="D185" s="9">
        <v>1</v>
      </c>
      <c r="E185" s="9">
        <v>0</v>
      </c>
      <c r="F185" s="9">
        <v>1</v>
      </c>
      <c r="G185" s="7">
        <v>19</v>
      </c>
      <c r="H185" s="9" t="b">
        <v>0</v>
      </c>
      <c r="I185" s="9">
        <v>6</v>
      </c>
      <c r="J185" s="38" t="str">
        <f>CHOOSE(Table1[[#This Row],[Weekday]]+1,"Sunday","Monday","Tuesday","Wednesday","Thursday","Friday","Saturday")</f>
        <v>Saturday</v>
      </c>
      <c r="K185" s="9">
        <v>1</v>
      </c>
      <c r="L185" s="38" t="str">
        <f>IF(Table1[[#This Row],[Weather_code]]=1,"Clear",IF(Table1[[#This Row],[Weather_code]]=2,"Cloudy",IF(Table1[[#This Row],[Weather_code]]=3,"Light Rain",IF(Table1[[#This Row],[Weather_code]]=4,"Heavy Rain"))))</f>
        <v>Clear</v>
      </c>
      <c r="M185" s="10">
        <v>0.14000000000000001</v>
      </c>
      <c r="N185" s="11" t="str">
        <f t="shared" si="7"/>
        <v>Winter</v>
      </c>
      <c r="O185" s="11" t="str">
        <f t="shared" si="8"/>
        <v>Weekday</v>
      </c>
      <c r="P185" s="11">
        <f>VLOOKUP(A185,[1]Sheet1!$A:$H,2, FALSE)</f>
        <v>0.1212</v>
      </c>
      <c r="Q185" s="40">
        <f>Table1[[#This Row],[A_Temperature]]*41</f>
        <v>4.9691999999999998</v>
      </c>
      <c r="R185" s="11">
        <f>VLOOKUP(A185,[1]Sheet1!$A:$G,3,FALSE)</f>
        <v>0.36</v>
      </c>
      <c r="S185" s="11">
        <f>VLOOKUP(A185,[1]Sheet1!$A:$G,4,FALSE)</f>
        <v>0.25369999999999998</v>
      </c>
      <c r="T185" s="11">
        <f>VLOOKUP(A185,[1]Sheet1!$A:$G,5,FALSE)</f>
        <v>4</v>
      </c>
      <c r="U185" s="11">
        <f>VLOOKUP(A185,[1]Sheet1!$A:$G,6,FALSE)</f>
        <v>26</v>
      </c>
      <c r="V185" s="18">
        <f>VLOOKUP(A185,[1]Sheet1!$A:$G,7,FALSE)</f>
        <v>30</v>
      </c>
    </row>
    <row r="186" spans="1:22" s="13" customFormat="1" ht="30" customHeight="1">
      <c r="A186" s="17">
        <v>182</v>
      </c>
      <c r="B186" s="8">
        <v>40756</v>
      </c>
      <c r="C186" s="8" t="str">
        <f t="shared" si="9"/>
        <v>Monday</v>
      </c>
      <c r="D186" s="9">
        <v>1</v>
      </c>
      <c r="E186" s="9">
        <v>0</v>
      </c>
      <c r="F186" s="9">
        <v>1</v>
      </c>
      <c r="G186" s="7">
        <v>20</v>
      </c>
      <c r="H186" s="9" t="b">
        <v>0</v>
      </c>
      <c r="I186" s="9">
        <v>6</v>
      </c>
      <c r="J186" s="38" t="str">
        <f>CHOOSE(Table1[[#This Row],[Weekday]]+1,"Sunday","Monday","Tuesday","Wednesday","Thursday","Friday","Saturday")</f>
        <v>Saturday</v>
      </c>
      <c r="K186" s="9">
        <v>1</v>
      </c>
      <c r="L186" s="38" t="str">
        <f>IF(Table1[[#This Row],[Weather_code]]=1,"Clear",IF(Table1[[#This Row],[Weather_code]]=2,"Cloudy",IF(Table1[[#This Row],[Weather_code]]=3,"Light Rain",IF(Table1[[#This Row],[Weather_code]]=4,"Heavy Rain"))))</f>
        <v>Clear</v>
      </c>
      <c r="M186" s="10">
        <v>0.12</v>
      </c>
      <c r="N186" s="11" t="str">
        <f t="shared" si="7"/>
        <v>Winter</v>
      </c>
      <c r="O186" s="11" t="str">
        <f t="shared" si="8"/>
        <v>Weekday</v>
      </c>
      <c r="P186" s="11">
        <f>VLOOKUP(A186,[1]Sheet1!$A:$H,2, FALSE)</f>
        <v>0.1212</v>
      </c>
      <c r="Q186" s="40">
        <f>Table1[[#This Row],[A_Temperature]]*41</f>
        <v>4.9691999999999998</v>
      </c>
      <c r="R186" s="11">
        <f>VLOOKUP(A186,[1]Sheet1!$A:$G,3,FALSE)</f>
        <v>0.36</v>
      </c>
      <c r="S186" s="11">
        <f>VLOOKUP(A186,[1]Sheet1!$A:$G,4,FALSE)</f>
        <v>0.25369999999999998</v>
      </c>
      <c r="T186" s="11">
        <f>VLOOKUP(A186,[1]Sheet1!$A:$G,5,FALSE)</f>
        <v>0</v>
      </c>
      <c r="U186" s="11">
        <f>VLOOKUP(A186,[1]Sheet1!$A:$G,6,FALSE)</f>
        <v>28</v>
      </c>
      <c r="V186" s="18">
        <f>VLOOKUP(A186,[1]Sheet1!$A:$G,7,FALSE)</f>
        <v>28</v>
      </c>
    </row>
    <row r="187" spans="1:22" s="13" customFormat="1" ht="30" customHeight="1">
      <c r="A187" s="17">
        <v>183</v>
      </c>
      <c r="B187" s="8">
        <v>40756</v>
      </c>
      <c r="C187" s="8" t="str">
        <f t="shared" si="9"/>
        <v>Monday</v>
      </c>
      <c r="D187" s="9">
        <v>1</v>
      </c>
      <c r="E187" s="9">
        <v>0</v>
      </c>
      <c r="F187" s="9">
        <v>1</v>
      </c>
      <c r="G187" s="7">
        <v>21</v>
      </c>
      <c r="H187" s="9" t="b">
        <v>0</v>
      </c>
      <c r="I187" s="9">
        <v>6</v>
      </c>
      <c r="J187" s="38" t="str">
        <f>CHOOSE(Table1[[#This Row],[Weekday]]+1,"Sunday","Monday","Tuesday","Wednesday","Thursday","Friday","Saturday")</f>
        <v>Saturday</v>
      </c>
      <c r="K187" s="9">
        <v>1</v>
      </c>
      <c r="L187" s="38" t="str">
        <f>IF(Table1[[#This Row],[Weather_code]]=1,"Clear",IF(Table1[[#This Row],[Weather_code]]=2,"Cloudy",IF(Table1[[#This Row],[Weather_code]]=3,"Light Rain",IF(Table1[[#This Row],[Weather_code]]=4,"Heavy Rain"))))</f>
        <v>Clear</v>
      </c>
      <c r="M187" s="10">
        <v>0.12</v>
      </c>
      <c r="N187" s="11" t="str">
        <f t="shared" si="7"/>
        <v>Winter</v>
      </c>
      <c r="O187" s="11" t="str">
        <f t="shared" si="8"/>
        <v>Weekday</v>
      </c>
      <c r="P187" s="11">
        <f>VLOOKUP(A187,[1]Sheet1!$A:$H,2, FALSE)</f>
        <v>0.1061</v>
      </c>
      <c r="Q187" s="40">
        <f>Table1[[#This Row],[A_Temperature]]*41</f>
        <v>4.3501000000000003</v>
      </c>
      <c r="R187" s="11">
        <f>VLOOKUP(A187,[1]Sheet1!$A:$G,3,FALSE)</f>
        <v>0.39</v>
      </c>
      <c r="S187" s="11">
        <f>VLOOKUP(A187,[1]Sheet1!$A:$G,4,FALSE)</f>
        <v>0.35820000000000002</v>
      </c>
      <c r="T187" s="11">
        <f>VLOOKUP(A187,[1]Sheet1!$A:$G,5,FALSE)</f>
        <v>2</v>
      </c>
      <c r="U187" s="11">
        <f>VLOOKUP(A187,[1]Sheet1!$A:$G,6,FALSE)</f>
        <v>35</v>
      </c>
      <c r="V187" s="18">
        <f>VLOOKUP(A187,[1]Sheet1!$A:$G,7,FALSE)</f>
        <v>37</v>
      </c>
    </row>
    <row r="188" spans="1:22" s="13" customFormat="1" ht="30" customHeight="1">
      <c r="A188" s="17">
        <v>184</v>
      </c>
      <c r="B188" s="8">
        <v>40756</v>
      </c>
      <c r="C188" s="8" t="str">
        <f t="shared" si="9"/>
        <v>Monday</v>
      </c>
      <c r="D188" s="9">
        <v>1</v>
      </c>
      <c r="E188" s="9">
        <v>0</v>
      </c>
      <c r="F188" s="9">
        <v>1</v>
      </c>
      <c r="G188" s="7">
        <v>22</v>
      </c>
      <c r="H188" s="9" t="b">
        <v>0</v>
      </c>
      <c r="I188" s="9">
        <v>6</v>
      </c>
      <c r="J188" s="38" t="str">
        <f>CHOOSE(Table1[[#This Row],[Weekday]]+1,"Sunday","Monday","Tuesday","Wednesday","Thursday","Friday","Saturday")</f>
        <v>Saturday</v>
      </c>
      <c r="K188" s="9">
        <v>1</v>
      </c>
      <c r="L188" s="38" t="str">
        <f>IF(Table1[[#This Row],[Weather_code]]=1,"Clear",IF(Table1[[#This Row],[Weather_code]]=2,"Cloudy",IF(Table1[[#This Row],[Weather_code]]=3,"Light Rain",IF(Table1[[#This Row],[Weather_code]]=4,"Heavy Rain"))))</f>
        <v>Clear</v>
      </c>
      <c r="M188" s="10">
        <v>0.12</v>
      </c>
      <c r="N188" s="11" t="str">
        <f t="shared" si="7"/>
        <v>Winter</v>
      </c>
      <c r="O188" s="11" t="str">
        <f t="shared" si="8"/>
        <v>Weekday</v>
      </c>
      <c r="P188" s="11">
        <f>VLOOKUP(A188,[1]Sheet1!$A:$H,2, FALSE)</f>
        <v>0.1061</v>
      </c>
      <c r="Q188" s="40">
        <f>Table1[[#This Row],[A_Temperature]]*41</f>
        <v>4.3501000000000003</v>
      </c>
      <c r="R188" s="11">
        <f>VLOOKUP(A188,[1]Sheet1!$A:$G,3,FALSE)</f>
        <v>0.36</v>
      </c>
      <c r="S188" s="11">
        <f>VLOOKUP(A188,[1]Sheet1!$A:$G,4,FALSE)</f>
        <v>0.3881</v>
      </c>
      <c r="T188" s="11">
        <f>VLOOKUP(A188,[1]Sheet1!$A:$G,5,FALSE)</f>
        <v>1</v>
      </c>
      <c r="U188" s="11">
        <f>VLOOKUP(A188,[1]Sheet1!$A:$G,6,FALSE)</f>
        <v>33</v>
      </c>
      <c r="V188" s="18">
        <f>VLOOKUP(A188,[1]Sheet1!$A:$G,7,FALSE)</f>
        <v>34</v>
      </c>
    </row>
    <row r="189" spans="1:22" s="13" customFormat="1" ht="30" customHeight="1">
      <c r="A189" s="17">
        <v>185</v>
      </c>
      <c r="B189" s="8">
        <v>40756</v>
      </c>
      <c r="C189" s="8" t="str">
        <f t="shared" si="9"/>
        <v>Monday</v>
      </c>
      <c r="D189" s="9">
        <v>1</v>
      </c>
      <c r="E189" s="9">
        <v>0</v>
      </c>
      <c r="F189" s="9">
        <v>1</v>
      </c>
      <c r="G189" s="7">
        <v>23</v>
      </c>
      <c r="H189" s="9" t="b">
        <v>0</v>
      </c>
      <c r="I189" s="9">
        <v>6</v>
      </c>
      <c r="J189" s="38" t="str">
        <f>CHOOSE(Table1[[#This Row],[Weekday]]+1,"Sunday","Monday","Tuesday","Wednesday","Thursday","Friday","Saturday")</f>
        <v>Saturday</v>
      </c>
      <c r="K189" s="9">
        <v>1</v>
      </c>
      <c r="L189" s="38" t="str">
        <f>IF(Table1[[#This Row],[Weather_code]]=1,"Clear",IF(Table1[[#This Row],[Weather_code]]=2,"Cloudy",IF(Table1[[#This Row],[Weather_code]]=3,"Light Rain",IF(Table1[[#This Row],[Weather_code]]=4,"Heavy Rain"))))</f>
        <v>Clear</v>
      </c>
      <c r="M189" s="10">
        <v>0.1</v>
      </c>
      <c r="N189" s="11" t="str">
        <f t="shared" si="7"/>
        <v>Winter</v>
      </c>
      <c r="O189" s="11" t="str">
        <f t="shared" si="8"/>
        <v>Weekday</v>
      </c>
      <c r="P189" s="11">
        <f>VLOOKUP(A189,[1]Sheet1!$A:$H,2, FALSE)</f>
        <v>6.0600000000000001E-2</v>
      </c>
      <c r="Q189" s="40">
        <f>Table1[[#This Row],[A_Temperature]]*41</f>
        <v>2.4845999999999999</v>
      </c>
      <c r="R189" s="11">
        <f>VLOOKUP(A189,[1]Sheet1!$A:$G,3,FALSE)</f>
        <v>0.39</v>
      </c>
      <c r="S189" s="11">
        <f>VLOOKUP(A189,[1]Sheet1!$A:$G,4,FALSE)</f>
        <v>0.44779999999999998</v>
      </c>
      <c r="T189" s="11">
        <f>VLOOKUP(A189,[1]Sheet1!$A:$G,5,FALSE)</f>
        <v>0</v>
      </c>
      <c r="U189" s="11">
        <f>VLOOKUP(A189,[1]Sheet1!$A:$G,6,FALSE)</f>
        <v>22</v>
      </c>
      <c r="V189" s="18">
        <f>VLOOKUP(A189,[1]Sheet1!$A:$G,7,FALSE)</f>
        <v>22</v>
      </c>
    </row>
    <row r="190" spans="1:22" s="13" customFormat="1" ht="30" customHeight="1">
      <c r="A190" s="17">
        <v>186</v>
      </c>
      <c r="B190" s="8">
        <v>40787</v>
      </c>
      <c r="C190" s="8" t="str">
        <f t="shared" si="9"/>
        <v>Thursday</v>
      </c>
      <c r="D190" s="9">
        <v>1</v>
      </c>
      <c r="E190" s="9">
        <v>0</v>
      </c>
      <c r="F190" s="9">
        <v>1</v>
      </c>
      <c r="G190" s="7">
        <v>0</v>
      </c>
      <c r="H190" s="9" t="b">
        <v>0</v>
      </c>
      <c r="I190" s="9">
        <v>0</v>
      </c>
      <c r="J190" s="38" t="str">
        <f>CHOOSE(Table1[[#This Row],[Weekday]]+1,"Sunday","Monday","Tuesday","Wednesday","Thursday","Friday","Saturday")</f>
        <v>Sunday</v>
      </c>
      <c r="K190" s="9">
        <v>1</v>
      </c>
      <c r="L190" s="38" t="str">
        <f>IF(Table1[[#This Row],[Weather_code]]=1,"Clear",IF(Table1[[#This Row],[Weather_code]]=2,"Cloudy",IF(Table1[[#This Row],[Weather_code]]=3,"Light Rain",IF(Table1[[#This Row],[Weather_code]]=4,"Heavy Rain"))))</f>
        <v>Clear</v>
      </c>
      <c r="M190" s="10">
        <v>0.1</v>
      </c>
      <c r="N190" s="11" t="str">
        <f t="shared" si="7"/>
        <v>Winter</v>
      </c>
      <c r="O190" s="11" t="str">
        <f t="shared" si="8"/>
        <v>Weekday</v>
      </c>
      <c r="P190" s="11">
        <f>VLOOKUP(A190,[1]Sheet1!$A:$H,2, FALSE)</f>
        <v>7.5800000000000006E-2</v>
      </c>
      <c r="Q190" s="40">
        <f>Table1[[#This Row],[A_Temperature]]*41</f>
        <v>3.1078000000000001</v>
      </c>
      <c r="R190" s="11">
        <f>VLOOKUP(A190,[1]Sheet1!$A:$G,3,FALSE)</f>
        <v>0.42</v>
      </c>
      <c r="S190" s="11">
        <f>VLOOKUP(A190,[1]Sheet1!$A:$G,4,FALSE)</f>
        <v>0.3881</v>
      </c>
      <c r="T190" s="11">
        <f>VLOOKUP(A190,[1]Sheet1!$A:$G,5,FALSE)</f>
        <v>1</v>
      </c>
      <c r="U190" s="11">
        <f>VLOOKUP(A190,[1]Sheet1!$A:$G,6,FALSE)</f>
        <v>24</v>
      </c>
      <c r="V190" s="18">
        <f>VLOOKUP(A190,[1]Sheet1!$A:$G,7,FALSE)</f>
        <v>25</v>
      </c>
    </row>
    <row r="191" spans="1:22" s="13" customFormat="1" ht="30" customHeight="1">
      <c r="A191" s="17">
        <v>187</v>
      </c>
      <c r="B191" s="8">
        <v>40787</v>
      </c>
      <c r="C191" s="8" t="str">
        <f t="shared" si="9"/>
        <v>Thursday</v>
      </c>
      <c r="D191" s="9">
        <v>1</v>
      </c>
      <c r="E191" s="9">
        <v>0</v>
      </c>
      <c r="F191" s="9">
        <v>1</v>
      </c>
      <c r="G191" s="7">
        <v>1</v>
      </c>
      <c r="H191" s="9" t="b">
        <v>0</v>
      </c>
      <c r="I191" s="9">
        <v>0</v>
      </c>
      <c r="J191" s="38" t="str">
        <f>CHOOSE(Table1[[#This Row],[Weekday]]+1,"Sunday","Monday","Tuesday","Wednesday","Thursday","Friday","Saturday")</f>
        <v>Sunday</v>
      </c>
      <c r="K191" s="9">
        <v>1</v>
      </c>
      <c r="L191" s="38" t="str">
        <f>IF(Table1[[#This Row],[Weather_code]]=1,"Clear",IF(Table1[[#This Row],[Weather_code]]=2,"Cloudy",IF(Table1[[#This Row],[Weather_code]]=3,"Light Rain",IF(Table1[[#This Row],[Weather_code]]=4,"Heavy Rain"))))</f>
        <v>Clear</v>
      </c>
      <c r="M191" s="10">
        <v>0.1</v>
      </c>
      <c r="N191" s="11" t="str">
        <f t="shared" si="7"/>
        <v>Winter</v>
      </c>
      <c r="O191" s="11" t="str">
        <f t="shared" si="8"/>
        <v>Weekday</v>
      </c>
      <c r="P191" s="11">
        <f>VLOOKUP(A191,[1]Sheet1!$A:$H,2, FALSE)</f>
        <v>6.0600000000000001E-2</v>
      </c>
      <c r="Q191" s="40">
        <f>Table1[[#This Row],[A_Temperature]]*41</f>
        <v>2.4845999999999999</v>
      </c>
      <c r="R191" s="11">
        <f>VLOOKUP(A191,[1]Sheet1!$A:$G,3,FALSE)</f>
        <v>0.42</v>
      </c>
      <c r="S191" s="11">
        <f>VLOOKUP(A191,[1]Sheet1!$A:$G,4,FALSE)</f>
        <v>0.4627</v>
      </c>
      <c r="T191" s="11">
        <f>VLOOKUP(A191,[1]Sheet1!$A:$G,5,FALSE)</f>
        <v>0</v>
      </c>
      <c r="U191" s="11">
        <f>VLOOKUP(A191,[1]Sheet1!$A:$G,6,FALSE)</f>
        <v>12</v>
      </c>
      <c r="V191" s="18">
        <f>VLOOKUP(A191,[1]Sheet1!$A:$G,7,FALSE)</f>
        <v>12</v>
      </c>
    </row>
    <row r="192" spans="1:22" s="13" customFormat="1" ht="30" customHeight="1">
      <c r="A192" s="17">
        <v>188</v>
      </c>
      <c r="B192" s="8">
        <v>40787</v>
      </c>
      <c r="C192" s="8" t="str">
        <f t="shared" si="9"/>
        <v>Thursday</v>
      </c>
      <c r="D192" s="9">
        <v>1</v>
      </c>
      <c r="E192" s="9">
        <v>0</v>
      </c>
      <c r="F192" s="9">
        <v>1</v>
      </c>
      <c r="G192" s="7">
        <v>2</v>
      </c>
      <c r="H192" s="9" t="b">
        <v>0</v>
      </c>
      <c r="I192" s="9">
        <v>0</v>
      </c>
      <c r="J192" s="38" t="str">
        <f>CHOOSE(Table1[[#This Row],[Weekday]]+1,"Sunday","Monday","Tuesday","Wednesday","Thursday","Friday","Saturday")</f>
        <v>Sunday</v>
      </c>
      <c r="K192" s="9">
        <v>1</v>
      </c>
      <c r="L192" s="38" t="str">
        <f>IF(Table1[[#This Row],[Weather_code]]=1,"Clear",IF(Table1[[#This Row],[Weather_code]]=2,"Cloudy",IF(Table1[[#This Row],[Weather_code]]=3,"Light Rain",IF(Table1[[#This Row],[Weather_code]]=4,"Heavy Rain"))))</f>
        <v>Clear</v>
      </c>
      <c r="M192" s="10">
        <v>0.1</v>
      </c>
      <c r="N192" s="11" t="str">
        <f t="shared" si="7"/>
        <v>Winter</v>
      </c>
      <c r="O192" s="11" t="str">
        <f t="shared" si="8"/>
        <v>Weekday</v>
      </c>
      <c r="P192" s="11">
        <f>VLOOKUP(A192,[1]Sheet1!$A:$H,2, FALSE)</f>
        <v>6.0600000000000001E-2</v>
      </c>
      <c r="Q192" s="40">
        <f>Table1[[#This Row],[A_Temperature]]*41</f>
        <v>2.4845999999999999</v>
      </c>
      <c r="R192" s="11">
        <f>VLOOKUP(A192,[1]Sheet1!$A:$G,3,FALSE)</f>
        <v>0.46</v>
      </c>
      <c r="S192" s="11">
        <f>VLOOKUP(A192,[1]Sheet1!$A:$G,4,FALSE)</f>
        <v>0.4627</v>
      </c>
      <c r="T192" s="11">
        <f>VLOOKUP(A192,[1]Sheet1!$A:$G,5,FALSE)</f>
        <v>0</v>
      </c>
      <c r="U192" s="11">
        <f>VLOOKUP(A192,[1]Sheet1!$A:$G,6,FALSE)</f>
        <v>11</v>
      </c>
      <c r="V192" s="18">
        <f>VLOOKUP(A192,[1]Sheet1!$A:$G,7,FALSE)</f>
        <v>11</v>
      </c>
    </row>
    <row r="193" spans="1:22" s="13" customFormat="1" ht="30" customHeight="1">
      <c r="A193" s="17">
        <v>189</v>
      </c>
      <c r="B193" s="8">
        <v>40787</v>
      </c>
      <c r="C193" s="8" t="str">
        <f t="shared" si="9"/>
        <v>Thursday</v>
      </c>
      <c r="D193" s="9">
        <v>1</v>
      </c>
      <c r="E193" s="9">
        <v>0</v>
      </c>
      <c r="F193" s="9">
        <v>1</v>
      </c>
      <c r="G193" s="7">
        <v>3</v>
      </c>
      <c r="H193" s="9" t="b">
        <v>0</v>
      </c>
      <c r="I193" s="9">
        <v>0</v>
      </c>
      <c r="J193" s="38" t="str">
        <f>CHOOSE(Table1[[#This Row],[Weekday]]+1,"Sunday","Monday","Tuesday","Wednesday","Thursday","Friday","Saturday")</f>
        <v>Sunday</v>
      </c>
      <c r="K193" s="9">
        <v>1</v>
      </c>
      <c r="L193" s="38" t="str">
        <f>IF(Table1[[#This Row],[Weather_code]]=1,"Clear",IF(Table1[[#This Row],[Weather_code]]=2,"Cloudy",IF(Table1[[#This Row],[Weather_code]]=3,"Light Rain",IF(Table1[[#This Row],[Weather_code]]=4,"Heavy Rain"))))</f>
        <v>Clear</v>
      </c>
      <c r="M193" s="10">
        <v>0.1</v>
      </c>
      <c r="N193" s="11" t="str">
        <f t="shared" si="7"/>
        <v>Winter</v>
      </c>
      <c r="O193" s="11" t="str">
        <f t="shared" si="8"/>
        <v>Weekday</v>
      </c>
      <c r="P193" s="11">
        <f>VLOOKUP(A193,[1]Sheet1!$A:$H,2, FALSE)</f>
        <v>7.5800000000000006E-2</v>
      </c>
      <c r="Q193" s="40">
        <f>Table1[[#This Row],[A_Temperature]]*41</f>
        <v>3.1078000000000001</v>
      </c>
      <c r="R193" s="11">
        <f>VLOOKUP(A193,[1]Sheet1!$A:$G,3,FALSE)</f>
        <v>0.46</v>
      </c>
      <c r="S193" s="11">
        <f>VLOOKUP(A193,[1]Sheet1!$A:$G,4,FALSE)</f>
        <v>0.41789999999999999</v>
      </c>
      <c r="T193" s="11">
        <f>VLOOKUP(A193,[1]Sheet1!$A:$G,5,FALSE)</f>
        <v>0</v>
      </c>
      <c r="U193" s="11">
        <f>VLOOKUP(A193,[1]Sheet1!$A:$G,6,FALSE)</f>
        <v>4</v>
      </c>
      <c r="V193" s="18">
        <f>VLOOKUP(A193,[1]Sheet1!$A:$G,7,FALSE)</f>
        <v>4</v>
      </c>
    </row>
    <row r="194" spans="1:22" s="13" customFormat="1" ht="30" customHeight="1">
      <c r="A194" s="17">
        <v>190</v>
      </c>
      <c r="B194" s="8">
        <v>40787</v>
      </c>
      <c r="C194" s="8" t="str">
        <f t="shared" si="9"/>
        <v>Thursday</v>
      </c>
      <c r="D194" s="9">
        <v>1</v>
      </c>
      <c r="E194" s="9">
        <v>0</v>
      </c>
      <c r="F194" s="9">
        <v>1</v>
      </c>
      <c r="G194" s="7">
        <v>4</v>
      </c>
      <c r="H194" s="9" t="b">
        <v>0</v>
      </c>
      <c r="I194" s="9">
        <v>0</v>
      </c>
      <c r="J194" s="38" t="str">
        <f>CHOOSE(Table1[[#This Row],[Weekday]]+1,"Sunday","Monday","Tuesday","Wednesday","Thursday","Friday","Saturday")</f>
        <v>Sunday</v>
      </c>
      <c r="K194" s="9">
        <v>1</v>
      </c>
      <c r="L194" s="38" t="str">
        <f>IF(Table1[[#This Row],[Weather_code]]=1,"Clear",IF(Table1[[#This Row],[Weather_code]]=2,"Cloudy",IF(Table1[[#This Row],[Weather_code]]=3,"Light Rain",IF(Table1[[#This Row],[Weather_code]]=4,"Heavy Rain"))))</f>
        <v>Clear</v>
      </c>
      <c r="M194" s="10">
        <v>0.08</v>
      </c>
      <c r="N194" s="11" t="str">
        <f t="shared" si="7"/>
        <v>Winter</v>
      </c>
      <c r="O194" s="11" t="str">
        <f t="shared" si="8"/>
        <v>Weekday</v>
      </c>
      <c r="P194" s="11">
        <f>VLOOKUP(A194,[1]Sheet1!$A:$H,2, FALSE)</f>
        <v>9.0899999999999995E-2</v>
      </c>
      <c r="Q194" s="40">
        <f>Table1[[#This Row],[A_Temperature]]*41</f>
        <v>3.7268999999999997</v>
      </c>
      <c r="R194" s="11">
        <f>VLOOKUP(A194,[1]Sheet1!$A:$G,3,FALSE)</f>
        <v>0.53</v>
      </c>
      <c r="S194" s="11">
        <f>VLOOKUP(A194,[1]Sheet1!$A:$G,4,FALSE)</f>
        <v>0.19400000000000001</v>
      </c>
      <c r="T194" s="11">
        <f>VLOOKUP(A194,[1]Sheet1!$A:$G,5,FALSE)</f>
        <v>0</v>
      </c>
      <c r="U194" s="11">
        <f>VLOOKUP(A194,[1]Sheet1!$A:$G,6,FALSE)</f>
        <v>1</v>
      </c>
      <c r="V194" s="18">
        <f>VLOOKUP(A194,[1]Sheet1!$A:$G,7,FALSE)</f>
        <v>1</v>
      </c>
    </row>
    <row r="195" spans="1:22" s="13" customFormat="1" ht="30" customHeight="1">
      <c r="A195" s="17">
        <v>191</v>
      </c>
      <c r="B195" s="8">
        <v>40787</v>
      </c>
      <c r="C195" s="8" t="str">
        <f t="shared" si="9"/>
        <v>Thursday</v>
      </c>
      <c r="D195" s="9">
        <v>1</v>
      </c>
      <c r="E195" s="9">
        <v>0</v>
      </c>
      <c r="F195" s="9">
        <v>1</v>
      </c>
      <c r="G195" s="7">
        <v>5</v>
      </c>
      <c r="H195" s="9" t="b">
        <v>0</v>
      </c>
      <c r="I195" s="9">
        <v>0</v>
      </c>
      <c r="J195" s="38" t="str">
        <f>CHOOSE(Table1[[#This Row],[Weekday]]+1,"Sunday","Monday","Tuesday","Wednesday","Thursday","Friday","Saturday")</f>
        <v>Sunday</v>
      </c>
      <c r="K195" s="9">
        <v>1</v>
      </c>
      <c r="L195" s="38" t="str">
        <f>IF(Table1[[#This Row],[Weather_code]]=1,"Clear",IF(Table1[[#This Row],[Weather_code]]=2,"Cloudy",IF(Table1[[#This Row],[Weather_code]]=3,"Light Rain",IF(Table1[[#This Row],[Weather_code]]=4,"Heavy Rain"))))</f>
        <v>Clear</v>
      </c>
      <c r="M195" s="10">
        <v>0.08</v>
      </c>
      <c r="N195" s="11" t="str">
        <f t="shared" si="7"/>
        <v>Winter</v>
      </c>
      <c r="O195" s="11" t="str">
        <f t="shared" si="8"/>
        <v>Weekday</v>
      </c>
      <c r="P195" s="11">
        <f>VLOOKUP(A195,[1]Sheet1!$A:$H,2, FALSE)</f>
        <v>9.0899999999999995E-2</v>
      </c>
      <c r="Q195" s="40">
        <f>Table1[[#This Row],[A_Temperature]]*41</f>
        <v>3.7268999999999997</v>
      </c>
      <c r="R195" s="11">
        <f>VLOOKUP(A195,[1]Sheet1!$A:$G,3,FALSE)</f>
        <v>0.53</v>
      </c>
      <c r="S195" s="11">
        <f>VLOOKUP(A195,[1]Sheet1!$A:$G,4,FALSE)</f>
        <v>0.19400000000000001</v>
      </c>
      <c r="T195" s="11">
        <f>VLOOKUP(A195,[1]Sheet1!$A:$G,5,FALSE)</f>
        <v>0</v>
      </c>
      <c r="U195" s="11">
        <f>VLOOKUP(A195,[1]Sheet1!$A:$G,6,FALSE)</f>
        <v>1</v>
      </c>
      <c r="V195" s="18">
        <f>VLOOKUP(A195,[1]Sheet1!$A:$G,7,FALSE)</f>
        <v>1</v>
      </c>
    </row>
    <row r="196" spans="1:22" s="13" customFormat="1" ht="30" customHeight="1">
      <c r="A196" s="17">
        <v>192</v>
      </c>
      <c r="B196" s="8">
        <v>40787</v>
      </c>
      <c r="C196" s="8" t="str">
        <f t="shared" si="9"/>
        <v>Thursday</v>
      </c>
      <c r="D196" s="9">
        <v>1</v>
      </c>
      <c r="E196" s="9">
        <v>0</v>
      </c>
      <c r="F196" s="9">
        <v>1</v>
      </c>
      <c r="G196" s="7">
        <v>6</v>
      </c>
      <c r="H196" s="9" t="b">
        <v>0</v>
      </c>
      <c r="I196" s="9">
        <v>0</v>
      </c>
      <c r="J196" s="38" t="str">
        <f>CHOOSE(Table1[[#This Row],[Weekday]]+1,"Sunday","Monday","Tuesday","Wednesday","Thursday","Friday","Saturday")</f>
        <v>Sunday</v>
      </c>
      <c r="K196" s="9">
        <v>1</v>
      </c>
      <c r="L196" s="38" t="str">
        <f>IF(Table1[[#This Row],[Weather_code]]=1,"Clear",IF(Table1[[#This Row],[Weather_code]]=2,"Cloudy",IF(Table1[[#This Row],[Weather_code]]=3,"Light Rain",IF(Table1[[#This Row],[Weather_code]]=4,"Heavy Rain"))))</f>
        <v>Clear</v>
      </c>
      <c r="M196" s="10">
        <v>0.1</v>
      </c>
      <c r="N196" s="11" t="str">
        <f t="shared" si="7"/>
        <v>Winter</v>
      </c>
      <c r="O196" s="11" t="str">
        <f t="shared" si="8"/>
        <v>Weekday</v>
      </c>
      <c r="P196" s="11">
        <f>VLOOKUP(A196,[1]Sheet1!$A:$H,2, FALSE)</f>
        <v>9.0899999999999995E-2</v>
      </c>
      <c r="Q196" s="40">
        <f>Table1[[#This Row],[A_Temperature]]*41</f>
        <v>3.7268999999999997</v>
      </c>
      <c r="R196" s="11">
        <f>VLOOKUP(A196,[1]Sheet1!$A:$G,3,FALSE)</f>
        <v>0.49</v>
      </c>
      <c r="S196" s="11">
        <f>VLOOKUP(A196,[1]Sheet1!$A:$G,4,FALSE)</f>
        <v>0.28360000000000002</v>
      </c>
      <c r="T196" s="11">
        <f>VLOOKUP(A196,[1]Sheet1!$A:$G,5,FALSE)</f>
        <v>0</v>
      </c>
      <c r="U196" s="11">
        <f>VLOOKUP(A196,[1]Sheet1!$A:$G,6,FALSE)</f>
        <v>1</v>
      </c>
      <c r="V196" s="18">
        <f>VLOOKUP(A196,[1]Sheet1!$A:$G,7,FALSE)</f>
        <v>1</v>
      </c>
    </row>
    <row r="197" spans="1:22" s="13" customFormat="1" ht="30" customHeight="1">
      <c r="A197" s="17">
        <v>193</v>
      </c>
      <c r="B197" s="8">
        <v>40787</v>
      </c>
      <c r="C197" s="8" t="str">
        <f t="shared" si="9"/>
        <v>Thursday</v>
      </c>
      <c r="D197" s="9">
        <v>1</v>
      </c>
      <c r="E197" s="9">
        <v>0</v>
      </c>
      <c r="F197" s="9">
        <v>1</v>
      </c>
      <c r="G197" s="7">
        <v>7</v>
      </c>
      <c r="H197" s="9" t="b">
        <v>0</v>
      </c>
      <c r="I197" s="9">
        <v>0</v>
      </c>
      <c r="J197" s="38" t="str">
        <f>CHOOSE(Table1[[#This Row],[Weekday]]+1,"Sunday","Monday","Tuesday","Wednesday","Thursday","Friday","Saturday")</f>
        <v>Sunday</v>
      </c>
      <c r="K197" s="9">
        <v>1</v>
      </c>
      <c r="L197" s="38" t="str">
        <f>IF(Table1[[#This Row],[Weather_code]]=1,"Clear",IF(Table1[[#This Row],[Weather_code]]=2,"Cloudy",IF(Table1[[#This Row],[Weather_code]]=3,"Light Rain",IF(Table1[[#This Row],[Weather_code]]=4,"Heavy Rain"))))</f>
        <v>Clear</v>
      </c>
      <c r="M197" s="10">
        <v>0.08</v>
      </c>
      <c r="N197" s="11" t="str">
        <f t="shared" si="7"/>
        <v>Winter</v>
      </c>
      <c r="O197" s="11" t="str">
        <f t="shared" si="8"/>
        <v>Weekday</v>
      </c>
      <c r="P197" s="11">
        <f>VLOOKUP(A197,[1]Sheet1!$A:$H,2, FALSE)</f>
        <v>9.0899999999999995E-2</v>
      </c>
      <c r="Q197" s="40">
        <f>Table1[[#This Row],[A_Temperature]]*41</f>
        <v>3.7268999999999997</v>
      </c>
      <c r="R197" s="11">
        <f>VLOOKUP(A197,[1]Sheet1!$A:$G,3,FALSE)</f>
        <v>0.53</v>
      </c>
      <c r="S197" s="11">
        <f>VLOOKUP(A197,[1]Sheet1!$A:$G,4,FALSE)</f>
        <v>0.19400000000000001</v>
      </c>
      <c r="T197" s="11">
        <f>VLOOKUP(A197,[1]Sheet1!$A:$G,5,FALSE)</f>
        <v>1</v>
      </c>
      <c r="U197" s="11">
        <f>VLOOKUP(A197,[1]Sheet1!$A:$G,6,FALSE)</f>
        <v>5</v>
      </c>
      <c r="V197" s="18">
        <f>VLOOKUP(A197,[1]Sheet1!$A:$G,7,FALSE)</f>
        <v>6</v>
      </c>
    </row>
    <row r="198" spans="1:22" s="13" customFormat="1" ht="30" customHeight="1">
      <c r="A198" s="17">
        <v>194</v>
      </c>
      <c r="B198" s="8">
        <v>40787</v>
      </c>
      <c r="C198" s="8" t="str">
        <f t="shared" si="9"/>
        <v>Thursday</v>
      </c>
      <c r="D198" s="9">
        <v>1</v>
      </c>
      <c r="E198" s="9">
        <v>0</v>
      </c>
      <c r="F198" s="9">
        <v>1</v>
      </c>
      <c r="G198" s="7">
        <v>8</v>
      </c>
      <c r="H198" s="9" t="b">
        <v>0</v>
      </c>
      <c r="I198" s="9">
        <v>0</v>
      </c>
      <c r="J198" s="38" t="str">
        <f>CHOOSE(Table1[[#This Row],[Weekday]]+1,"Sunday","Monday","Tuesday","Wednesday","Thursday","Friday","Saturday")</f>
        <v>Sunday</v>
      </c>
      <c r="K198" s="9">
        <v>1</v>
      </c>
      <c r="L198" s="38" t="str">
        <f>IF(Table1[[#This Row],[Weather_code]]=1,"Clear",IF(Table1[[#This Row],[Weather_code]]=2,"Cloudy",IF(Table1[[#This Row],[Weather_code]]=3,"Light Rain",IF(Table1[[#This Row],[Weather_code]]=4,"Heavy Rain"))))</f>
        <v>Clear</v>
      </c>
      <c r="M198" s="10">
        <v>0.1</v>
      </c>
      <c r="N198" s="11" t="str">
        <f t="shared" ref="N198:N261" si="10">CHOOSE(D198,"Winter","Spring","Summer","Fall")</f>
        <v>Winter</v>
      </c>
      <c r="O198" s="11" t="str">
        <f t="shared" ref="O198:O261" si="11">IF(OR(WEEKDAY(B198,2)=6,WEEKDAY(B198,2)=7),"Weekend","Weekday")</f>
        <v>Weekday</v>
      </c>
      <c r="P198" s="11">
        <f>VLOOKUP(A198,[1]Sheet1!$A:$H,2, FALSE)</f>
        <v>9.0899999999999995E-2</v>
      </c>
      <c r="Q198" s="40">
        <f>Table1[[#This Row],[A_Temperature]]*41</f>
        <v>3.7268999999999997</v>
      </c>
      <c r="R198" s="11">
        <f>VLOOKUP(A198,[1]Sheet1!$A:$G,3,FALSE)</f>
        <v>0.49</v>
      </c>
      <c r="S198" s="11">
        <f>VLOOKUP(A198,[1]Sheet1!$A:$G,4,FALSE)</f>
        <v>0.28360000000000002</v>
      </c>
      <c r="T198" s="11">
        <f>VLOOKUP(A198,[1]Sheet1!$A:$G,5,FALSE)</f>
        <v>0</v>
      </c>
      <c r="U198" s="11">
        <f>VLOOKUP(A198,[1]Sheet1!$A:$G,6,FALSE)</f>
        <v>10</v>
      </c>
      <c r="V198" s="18">
        <f>VLOOKUP(A198,[1]Sheet1!$A:$G,7,FALSE)</f>
        <v>10</v>
      </c>
    </row>
    <row r="199" spans="1:22" s="13" customFormat="1" ht="30" customHeight="1">
      <c r="A199" s="17">
        <v>195</v>
      </c>
      <c r="B199" s="8">
        <v>40787</v>
      </c>
      <c r="C199" s="8" t="str">
        <f t="shared" si="9"/>
        <v>Thursday</v>
      </c>
      <c r="D199" s="9">
        <v>1</v>
      </c>
      <c r="E199" s="9">
        <v>0</v>
      </c>
      <c r="F199" s="9">
        <v>1</v>
      </c>
      <c r="G199" s="7">
        <v>9</v>
      </c>
      <c r="H199" s="9" t="b">
        <v>0</v>
      </c>
      <c r="I199" s="9">
        <v>0</v>
      </c>
      <c r="J199" s="38" t="str">
        <f>CHOOSE(Table1[[#This Row],[Weekday]]+1,"Sunday","Monday","Tuesday","Wednesday","Thursday","Friday","Saturday")</f>
        <v>Sunday</v>
      </c>
      <c r="K199" s="9">
        <v>1</v>
      </c>
      <c r="L199" s="38" t="str">
        <f>IF(Table1[[#This Row],[Weather_code]]=1,"Clear",IF(Table1[[#This Row],[Weather_code]]=2,"Cloudy",IF(Table1[[#This Row],[Weather_code]]=3,"Light Rain",IF(Table1[[#This Row],[Weather_code]]=4,"Heavy Rain"))))</f>
        <v>Clear</v>
      </c>
      <c r="M199" s="10">
        <v>0.12</v>
      </c>
      <c r="N199" s="11" t="str">
        <f t="shared" si="10"/>
        <v>Winter</v>
      </c>
      <c r="O199" s="11" t="str">
        <f t="shared" si="11"/>
        <v>Weekday</v>
      </c>
      <c r="P199" s="11">
        <f>VLOOKUP(A199,[1]Sheet1!$A:$H,2, FALSE)</f>
        <v>7.5800000000000006E-2</v>
      </c>
      <c r="Q199" s="40">
        <f>Table1[[#This Row],[A_Temperature]]*41</f>
        <v>3.1078000000000001</v>
      </c>
      <c r="R199" s="11">
        <f>VLOOKUP(A199,[1]Sheet1!$A:$G,3,FALSE)</f>
        <v>0.46</v>
      </c>
      <c r="S199" s="11">
        <f>VLOOKUP(A199,[1]Sheet1!$A:$G,4,FALSE)</f>
        <v>0.52239999999999998</v>
      </c>
      <c r="T199" s="11">
        <f>VLOOKUP(A199,[1]Sheet1!$A:$G,5,FALSE)</f>
        <v>0</v>
      </c>
      <c r="U199" s="11">
        <f>VLOOKUP(A199,[1]Sheet1!$A:$G,6,FALSE)</f>
        <v>19</v>
      </c>
      <c r="V199" s="18">
        <f>VLOOKUP(A199,[1]Sheet1!$A:$G,7,FALSE)</f>
        <v>19</v>
      </c>
    </row>
    <row r="200" spans="1:22" s="13" customFormat="1" ht="30" customHeight="1">
      <c r="A200" s="17">
        <v>196</v>
      </c>
      <c r="B200" s="8">
        <v>40787</v>
      </c>
      <c r="C200" s="8" t="str">
        <f t="shared" si="9"/>
        <v>Thursday</v>
      </c>
      <c r="D200" s="9">
        <v>1</v>
      </c>
      <c r="E200" s="9">
        <v>0</v>
      </c>
      <c r="F200" s="9">
        <v>1</v>
      </c>
      <c r="G200" s="7">
        <v>10</v>
      </c>
      <c r="H200" s="9" t="b">
        <v>0</v>
      </c>
      <c r="I200" s="9">
        <v>0</v>
      </c>
      <c r="J200" s="38" t="str">
        <f>CHOOSE(Table1[[#This Row],[Weekday]]+1,"Sunday","Monday","Tuesday","Wednesday","Thursday","Friday","Saturday")</f>
        <v>Sunday</v>
      </c>
      <c r="K200" s="9">
        <v>1</v>
      </c>
      <c r="L200" s="38" t="str">
        <f>IF(Table1[[#This Row],[Weather_code]]=1,"Clear",IF(Table1[[#This Row],[Weather_code]]=2,"Cloudy",IF(Table1[[#This Row],[Weather_code]]=3,"Light Rain",IF(Table1[[#This Row],[Weather_code]]=4,"Heavy Rain"))))</f>
        <v>Clear</v>
      </c>
      <c r="M200" s="10">
        <v>0.14000000000000001</v>
      </c>
      <c r="N200" s="11" t="str">
        <f t="shared" si="10"/>
        <v>Winter</v>
      </c>
      <c r="O200" s="11" t="str">
        <f t="shared" si="11"/>
        <v>Weekday</v>
      </c>
      <c r="P200" s="11">
        <f>VLOOKUP(A200,[1]Sheet1!$A:$H,2, FALSE)</f>
        <v>0.1061</v>
      </c>
      <c r="Q200" s="40">
        <f>Table1[[#This Row],[A_Temperature]]*41</f>
        <v>4.3501000000000003</v>
      </c>
      <c r="R200" s="11">
        <f>VLOOKUP(A200,[1]Sheet1!$A:$G,3,FALSE)</f>
        <v>0.43</v>
      </c>
      <c r="S200" s="11">
        <f>VLOOKUP(A200,[1]Sheet1!$A:$G,4,FALSE)</f>
        <v>0.3881</v>
      </c>
      <c r="T200" s="11">
        <f>VLOOKUP(A200,[1]Sheet1!$A:$G,5,FALSE)</f>
        <v>0</v>
      </c>
      <c r="U200" s="11">
        <f>VLOOKUP(A200,[1]Sheet1!$A:$G,6,FALSE)</f>
        <v>49</v>
      </c>
      <c r="V200" s="18">
        <f>VLOOKUP(A200,[1]Sheet1!$A:$G,7,FALSE)</f>
        <v>49</v>
      </c>
    </row>
    <row r="201" spans="1:22" s="13" customFormat="1" ht="30" customHeight="1">
      <c r="A201" s="17">
        <v>197</v>
      </c>
      <c r="B201" s="8">
        <v>40787</v>
      </c>
      <c r="C201" s="8" t="str">
        <f t="shared" si="9"/>
        <v>Thursday</v>
      </c>
      <c r="D201" s="9">
        <v>1</v>
      </c>
      <c r="E201" s="9">
        <v>0</v>
      </c>
      <c r="F201" s="9">
        <v>1</v>
      </c>
      <c r="G201" s="7">
        <v>11</v>
      </c>
      <c r="H201" s="9" t="b">
        <v>0</v>
      </c>
      <c r="I201" s="9">
        <v>0</v>
      </c>
      <c r="J201" s="38" t="str">
        <f>CHOOSE(Table1[[#This Row],[Weekday]]+1,"Sunday","Monday","Tuesday","Wednesday","Thursday","Friday","Saturday")</f>
        <v>Sunday</v>
      </c>
      <c r="K201" s="9">
        <v>1</v>
      </c>
      <c r="L201" s="38" t="str">
        <f>IF(Table1[[#This Row],[Weather_code]]=1,"Clear",IF(Table1[[#This Row],[Weather_code]]=2,"Cloudy",IF(Table1[[#This Row],[Weather_code]]=3,"Light Rain",IF(Table1[[#This Row],[Weather_code]]=4,"Heavy Rain"))))</f>
        <v>Clear</v>
      </c>
      <c r="M201" s="10">
        <v>0.16</v>
      </c>
      <c r="N201" s="11" t="str">
        <f t="shared" si="10"/>
        <v>Winter</v>
      </c>
      <c r="O201" s="11" t="str">
        <f t="shared" si="11"/>
        <v>Weekday</v>
      </c>
      <c r="P201" s="11">
        <f>VLOOKUP(A201,[1]Sheet1!$A:$H,2, FALSE)</f>
        <v>0.1212</v>
      </c>
      <c r="Q201" s="40">
        <f>Table1[[#This Row],[A_Temperature]]*41</f>
        <v>4.9691999999999998</v>
      </c>
      <c r="R201" s="11">
        <f>VLOOKUP(A201,[1]Sheet1!$A:$G,3,FALSE)</f>
        <v>0.4</v>
      </c>
      <c r="S201" s="11">
        <f>VLOOKUP(A201,[1]Sheet1!$A:$G,4,FALSE)</f>
        <v>0.52239999999999998</v>
      </c>
      <c r="T201" s="11">
        <f>VLOOKUP(A201,[1]Sheet1!$A:$G,5,FALSE)</f>
        <v>2</v>
      </c>
      <c r="U201" s="11">
        <f>VLOOKUP(A201,[1]Sheet1!$A:$G,6,FALSE)</f>
        <v>47</v>
      </c>
      <c r="V201" s="18">
        <f>VLOOKUP(A201,[1]Sheet1!$A:$G,7,FALSE)</f>
        <v>49</v>
      </c>
    </row>
    <row r="202" spans="1:22" s="13" customFormat="1" ht="30" customHeight="1">
      <c r="A202" s="17">
        <v>198</v>
      </c>
      <c r="B202" s="8">
        <v>40787</v>
      </c>
      <c r="C202" s="8" t="str">
        <f t="shared" si="9"/>
        <v>Thursday</v>
      </c>
      <c r="D202" s="9">
        <v>1</v>
      </c>
      <c r="E202" s="9">
        <v>0</v>
      </c>
      <c r="F202" s="9">
        <v>1</v>
      </c>
      <c r="G202" s="7">
        <v>12</v>
      </c>
      <c r="H202" s="9" t="b">
        <v>0</v>
      </c>
      <c r="I202" s="9">
        <v>0</v>
      </c>
      <c r="J202" s="38" t="str">
        <f>CHOOSE(Table1[[#This Row],[Weekday]]+1,"Sunday","Monday","Tuesday","Wednesday","Thursday","Friday","Saturday")</f>
        <v>Sunday</v>
      </c>
      <c r="K202" s="9">
        <v>1</v>
      </c>
      <c r="L202" s="38" t="str">
        <f>IF(Table1[[#This Row],[Weather_code]]=1,"Clear",IF(Table1[[#This Row],[Weather_code]]=2,"Cloudy",IF(Table1[[#This Row],[Weather_code]]=3,"Light Rain",IF(Table1[[#This Row],[Weather_code]]=4,"Heavy Rain"))))</f>
        <v>Clear</v>
      </c>
      <c r="M202" s="10">
        <v>0.18</v>
      </c>
      <c r="N202" s="11" t="str">
        <f t="shared" si="10"/>
        <v>Winter</v>
      </c>
      <c r="O202" s="11" t="str">
        <f t="shared" si="11"/>
        <v>Weekday</v>
      </c>
      <c r="P202" s="11">
        <f>VLOOKUP(A202,[1]Sheet1!$A:$H,2, FALSE)</f>
        <v>0.13639999999999999</v>
      </c>
      <c r="Q202" s="40">
        <f>Table1[[#This Row],[A_Temperature]]*41</f>
        <v>5.5923999999999996</v>
      </c>
      <c r="R202" s="11">
        <f>VLOOKUP(A202,[1]Sheet1!$A:$G,3,FALSE)</f>
        <v>0.37</v>
      </c>
      <c r="S202" s="11">
        <f>VLOOKUP(A202,[1]Sheet1!$A:$G,4,FALSE)</f>
        <v>0.44779999999999998</v>
      </c>
      <c r="T202" s="11">
        <f>VLOOKUP(A202,[1]Sheet1!$A:$G,5,FALSE)</f>
        <v>4</v>
      </c>
      <c r="U202" s="11">
        <f>VLOOKUP(A202,[1]Sheet1!$A:$G,6,FALSE)</f>
        <v>79</v>
      </c>
      <c r="V202" s="18">
        <f>VLOOKUP(A202,[1]Sheet1!$A:$G,7,FALSE)</f>
        <v>83</v>
      </c>
    </row>
    <row r="203" spans="1:22" s="13" customFormat="1" ht="30" customHeight="1">
      <c r="A203" s="17">
        <v>199</v>
      </c>
      <c r="B203" s="8">
        <v>40787</v>
      </c>
      <c r="C203" s="8" t="str">
        <f t="shared" si="9"/>
        <v>Thursday</v>
      </c>
      <c r="D203" s="9">
        <v>1</v>
      </c>
      <c r="E203" s="9">
        <v>0</v>
      </c>
      <c r="F203" s="9">
        <v>1</v>
      </c>
      <c r="G203" s="7">
        <v>13</v>
      </c>
      <c r="H203" s="9" t="b">
        <v>0</v>
      </c>
      <c r="I203" s="9">
        <v>0</v>
      </c>
      <c r="J203" s="38" t="str">
        <f>CHOOSE(Table1[[#This Row],[Weekday]]+1,"Sunday","Monday","Tuesday","Wednesday","Thursday","Friday","Saturday")</f>
        <v>Sunday</v>
      </c>
      <c r="K203" s="9">
        <v>1</v>
      </c>
      <c r="L203" s="38" t="str">
        <f>IF(Table1[[#This Row],[Weather_code]]=1,"Clear",IF(Table1[[#This Row],[Weather_code]]=2,"Cloudy",IF(Table1[[#This Row],[Weather_code]]=3,"Light Rain",IF(Table1[[#This Row],[Weather_code]]=4,"Heavy Rain"))))</f>
        <v>Clear</v>
      </c>
      <c r="M203" s="10">
        <v>0.2</v>
      </c>
      <c r="N203" s="11" t="str">
        <f t="shared" si="10"/>
        <v>Winter</v>
      </c>
      <c r="O203" s="11" t="str">
        <f t="shared" si="11"/>
        <v>Weekday</v>
      </c>
      <c r="P203" s="11">
        <f>VLOOKUP(A203,[1]Sheet1!$A:$H,2, FALSE)</f>
        <v>0.16669999999999999</v>
      </c>
      <c r="Q203" s="40">
        <f>Table1[[#This Row],[A_Temperature]]*41</f>
        <v>6.8346999999999998</v>
      </c>
      <c r="R203" s="11">
        <f>VLOOKUP(A203,[1]Sheet1!$A:$G,3,FALSE)</f>
        <v>0.34</v>
      </c>
      <c r="S203" s="11">
        <f>VLOOKUP(A203,[1]Sheet1!$A:$G,4,FALSE)</f>
        <v>0.44779999999999998</v>
      </c>
      <c r="T203" s="11">
        <f>VLOOKUP(A203,[1]Sheet1!$A:$G,5,FALSE)</f>
        <v>6</v>
      </c>
      <c r="U203" s="11">
        <f>VLOOKUP(A203,[1]Sheet1!$A:$G,6,FALSE)</f>
        <v>69</v>
      </c>
      <c r="V203" s="18">
        <f>VLOOKUP(A203,[1]Sheet1!$A:$G,7,FALSE)</f>
        <v>75</v>
      </c>
    </row>
    <row r="204" spans="1:22" s="13" customFormat="1" ht="30" customHeight="1">
      <c r="A204" s="17">
        <v>200</v>
      </c>
      <c r="B204" s="8">
        <v>40787</v>
      </c>
      <c r="C204" s="8" t="str">
        <f t="shared" si="9"/>
        <v>Thursday</v>
      </c>
      <c r="D204" s="9">
        <v>1</v>
      </c>
      <c r="E204" s="9">
        <v>0</v>
      </c>
      <c r="F204" s="9">
        <v>1</v>
      </c>
      <c r="G204" s="7">
        <v>14</v>
      </c>
      <c r="H204" s="9" t="b">
        <v>0</v>
      </c>
      <c r="I204" s="9">
        <v>0</v>
      </c>
      <c r="J204" s="38" t="str">
        <f>CHOOSE(Table1[[#This Row],[Weekday]]+1,"Sunday","Monday","Tuesday","Wednesday","Thursday","Friday","Saturday")</f>
        <v>Sunday</v>
      </c>
      <c r="K204" s="9">
        <v>1</v>
      </c>
      <c r="L204" s="38" t="str">
        <f>IF(Table1[[#This Row],[Weather_code]]=1,"Clear",IF(Table1[[#This Row],[Weather_code]]=2,"Cloudy",IF(Table1[[#This Row],[Weather_code]]=3,"Light Rain",IF(Table1[[#This Row],[Weather_code]]=4,"Heavy Rain"))))</f>
        <v>Clear</v>
      </c>
      <c r="M204" s="10">
        <v>0.22</v>
      </c>
      <c r="N204" s="11" t="str">
        <f t="shared" si="10"/>
        <v>Winter</v>
      </c>
      <c r="O204" s="11" t="str">
        <f t="shared" si="11"/>
        <v>Weekday</v>
      </c>
      <c r="P204" s="11">
        <f>VLOOKUP(A204,[1]Sheet1!$A:$H,2, FALSE)</f>
        <v>0.18179999999999999</v>
      </c>
      <c r="Q204" s="40">
        <f>Table1[[#This Row],[A_Temperature]]*41</f>
        <v>7.4537999999999993</v>
      </c>
      <c r="R204" s="11">
        <f>VLOOKUP(A204,[1]Sheet1!$A:$G,3,FALSE)</f>
        <v>0.32</v>
      </c>
      <c r="S204" s="11">
        <f>VLOOKUP(A204,[1]Sheet1!$A:$G,4,FALSE)</f>
        <v>0.4627</v>
      </c>
      <c r="T204" s="11">
        <f>VLOOKUP(A204,[1]Sheet1!$A:$G,5,FALSE)</f>
        <v>8</v>
      </c>
      <c r="U204" s="11">
        <f>VLOOKUP(A204,[1]Sheet1!$A:$G,6,FALSE)</f>
        <v>64</v>
      </c>
      <c r="V204" s="18">
        <f>VLOOKUP(A204,[1]Sheet1!$A:$G,7,FALSE)</f>
        <v>72</v>
      </c>
    </row>
    <row r="205" spans="1:22" s="13" customFormat="1" ht="30" customHeight="1">
      <c r="A205" s="17">
        <v>201</v>
      </c>
      <c r="B205" s="8">
        <v>40787</v>
      </c>
      <c r="C205" s="8" t="str">
        <f t="shared" si="9"/>
        <v>Thursday</v>
      </c>
      <c r="D205" s="9">
        <v>1</v>
      </c>
      <c r="E205" s="9">
        <v>0</v>
      </c>
      <c r="F205" s="9">
        <v>1</v>
      </c>
      <c r="G205" s="7">
        <v>15</v>
      </c>
      <c r="H205" s="9" t="b">
        <v>0</v>
      </c>
      <c r="I205" s="9">
        <v>0</v>
      </c>
      <c r="J205" s="38" t="str">
        <f>CHOOSE(Table1[[#This Row],[Weekday]]+1,"Sunday","Monday","Tuesday","Wednesday","Thursday","Friday","Saturday")</f>
        <v>Sunday</v>
      </c>
      <c r="K205" s="9">
        <v>1</v>
      </c>
      <c r="L205" s="38" t="str">
        <f>IF(Table1[[#This Row],[Weather_code]]=1,"Clear",IF(Table1[[#This Row],[Weather_code]]=2,"Cloudy",IF(Table1[[#This Row],[Weather_code]]=3,"Light Rain",IF(Table1[[#This Row],[Weather_code]]=4,"Heavy Rain"))))</f>
        <v>Clear</v>
      </c>
      <c r="M205" s="10">
        <v>0.22</v>
      </c>
      <c r="N205" s="11" t="str">
        <f t="shared" si="10"/>
        <v>Winter</v>
      </c>
      <c r="O205" s="11" t="str">
        <f t="shared" si="11"/>
        <v>Weekday</v>
      </c>
      <c r="P205" s="11">
        <f>VLOOKUP(A205,[1]Sheet1!$A:$H,2, FALSE)</f>
        <v>0.19700000000000001</v>
      </c>
      <c r="Q205" s="40">
        <f>Table1[[#This Row],[A_Temperature]]*41</f>
        <v>8.077</v>
      </c>
      <c r="R205" s="11">
        <f>VLOOKUP(A205,[1]Sheet1!$A:$G,3,FALSE)</f>
        <v>0.35</v>
      </c>
      <c r="S205" s="11">
        <f>VLOOKUP(A205,[1]Sheet1!$A:$G,4,FALSE)</f>
        <v>0.35820000000000002</v>
      </c>
      <c r="T205" s="11">
        <f>VLOOKUP(A205,[1]Sheet1!$A:$G,5,FALSE)</f>
        <v>5</v>
      </c>
      <c r="U205" s="11">
        <f>VLOOKUP(A205,[1]Sheet1!$A:$G,6,FALSE)</f>
        <v>77</v>
      </c>
      <c r="V205" s="18">
        <f>VLOOKUP(A205,[1]Sheet1!$A:$G,7,FALSE)</f>
        <v>82</v>
      </c>
    </row>
    <row r="206" spans="1:22" s="13" customFormat="1" ht="30" customHeight="1">
      <c r="A206" s="17">
        <v>202</v>
      </c>
      <c r="B206" s="8">
        <v>40787</v>
      </c>
      <c r="C206" s="8" t="str">
        <f t="shared" si="9"/>
        <v>Thursday</v>
      </c>
      <c r="D206" s="9">
        <v>1</v>
      </c>
      <c r="E206" s="9">
        <v>0</v>
      </c>
      <c r="F206" s="9">
        <v>1</v>
      </c>
      <c r="G206" s="7">
        <v>16</v>
      </c>
      <c r="H206" s="9" t="b">
        <v>0</v>
      </c>
      <c r="I206" s="9">
        <v>0</v>
      </c>
      <c r="J206" s="38" t="str">
        <f>CHOOSE(Table1[[#This Row],[Weekday]]+1,"Sunday","Monday","Tuesday","Wednesday","Thursday","Friday","Saturday")</f>
        <v>Sunday</v>
      </c>
      <c r="K206" s="9">
        <v>1</v>
      </c>
      <c r="L206" s="38" t="str">
        <f>IF(Table1[[#This Row],[Weather_code]]=1,"Clear",IF(Table1[[#This Row],[Weather_code]]=2,"Cloudy",IF(Table1[[#This Row],[Weather_code]]=3,"Light Rain",IF(Table1[[#This Row],[Weather_code]]=4,"Heavy Rain"))))</f>
        <v>Clear</v>
      </c>
      <c r="M206" s="10">
        <v>0.2</v>
      </c>
      <c r="N206" s="11" t="str">
        <f t="shared" si="10"/>
        <v>Winter</v>
      </c>
      <c r="O206" s="11" t="str">
        <f t="shared" si="11"/>
        <v>Weekday</v>
      </c>
      <c r="P206" s="11">
        <f>VLOOKUP(A206,[1]Sheet1!$A:$H,2, FALSE)</f>
        <v>0.16669999999999999</v>
      </c>
      <c r="Q206" s="40">
        <f>Table1[[#This Row],[A_Temperature]]*41</f>
        <v>6.8346999999999998</v>
      </c>
      <c r="R206" s="11">
        <f>VLOOKUP(A206,[1]Sheet1!$A:$G,3,FALSE)</f>
        <v>0.34</v>
      </c>
      <c r="S206" s="11">
        <f>VLOOKUP(A206,[1]Sheet1!$A:$G,4,FALSE)</f>
        <v>0.44779999999999998</v>
      </c>
      <c r="T206" s="11">
        <f>VLOOKUP(A206,[1]Sheet1!$A:$G,5,FALSE)</f>
        <v>13</v>
      </c>
      <c r="U206" s="11">
        <f>VLOOKUP(A206,[1]Sheet1!$A:$G,6,FALSE)</f>
        <v>79</v>
      </c>
      <c r="V206" s="18">
        <f>VLOOKUP(A206,[1]Sheet1!$A:$G,7,FALSE)</f>
        <v>92</v>
      </c>
    </row>
    <row r="207" spans="1:22" s="13" customFormat="1" ht="30" customHeight="1">
      <c r="A207" s="17">
        <v>203</v>
      </c>
      <c r="B207" s="8">
        <v>40787</v>
      </c>
      <c r="C207" s="8" t="str">
        <f t="shared" si="9"/>
        <v>Thursday</v>
      </c>
      <c r="D207" s="9">
        <v>1</v>
      </c>
      <c r="E207" s="9">
        <v>0</v>
      </c>
      <c r="F207" s="9">
        <v>1</v>
      </c>
      <c r="G207" s="7">
        <v>17</v>
      </c>
      <c r="H207" s="9" t="b">
        <v>0</v>
      </c>
      <c r="I207" s="9">
        <v>0</v>
      </c>
      <c r="J207" s="38" t="str">
        <f>CHOOSE(Table1[[#This Row],[Weekday]]+1,"Sunday","Monday","Tuesday","Wednesday","Thursday","Friday","Saturday")</f>
        <v>Sunday</v>
      </c>
      <c r="K207" s="9">
        <v>1</v>
      </c>
      <c r="L207" s="38" t="str">
        <f>IF(Table1[[#This Row],[Weather_code]]=1,"Clear",IF(Table1[[#This Row],[Weather_code]]=2,"Cloudy",IF(Table1[[#This Row],[Weather_code]]=3,"Light Rain",IF(Table1[[#This Row],[Weather_code]]=4,"Heavy Rain"))))</f>
        <v>Clear</v>
      </c>
      <c r="M207" s="10">
        <v>0.18</v>
      </c>
      <c r="N207" s="11" t="str">
        <f t="shared" si="10"/>
        <v>Winter</v>
      </c>
      <c r="O207" s="11" t="str">
        <f t="shared" si="11"/>
        <v>Weekday</v>
      </c>
      <c r="P207" s="11">
        <f>VLOOKUP(A207,[1]Sheet1!$A:$H,2, FALSE)</f>
        <v>0.1515</v>
      </c>
      <c r="Q207" s="40">
        <f>Table1[[#This Row],[A_Temperature]]*41</f>
        <v>6.2115</v>
      </c>
      <c r="R207" s="11">
        <f>VLOOKUP(A207,[1]Sheet1!$A:$G,3,FALSE)</f>
        <v>0.37</v>
      </c>
      <c r="S207" s="11">
        <f>VLOOKUP(A207,[1]Sheet1!$A:$G,4,FALSE)</f>
        <v>0.3881</v>
      </c>
      <c r="T207" s="11">
        <f>VLOOKUP(A207,[1]Sheet1!$A:$G,5,FALSE)</f>
        <v>3</v>
      </c>
      <c r="U207" s="11">
        <f>VLOOKUP(A207,[1]Sheet1!$A:$G,6,FALSE)</f>
        <v>59</v>
      </c>
      <c r="V207" s="18">
        <f>VLOOKUP(A207,[1]Sheet1!$A:$G,7,FALSE)</f>
        <v>62</v>
      </c>
    </row>
    <row r="208" spans="1:22" s="13" customFormat="1" ht="30" customHeight="1">
      <c r="A208" s="17">
        <v>204</v>
      </c>
      <c r="B208" s="8">
        <v>40787</v>
      </c>
      <c r="C208" s="8" t="str">
        <f t="shared" si="9"/>
        <v>Thursday</v>
      </c>
      <c r="D208" s="9">
        <v>1</v>
      </c>
      <c r="E208" s="9">
        <v>0</v>
      </c>
      <c r="F208" s="9">
        <v>1</v>
      </c>
      <c r="G208" s="7">
        <v>18</v>
      </c>
      <c r="H208" s="9" t="b">
        <v>0</v>
      </c>
      <c r="I208" s="9">
        <v>0</v>
      </c>
      <c r="J208" s="38" t="str">
        <f>CHOOSE(Table1[[#This Row],[Weekday]]+1,"Sunday","Monday","Tuesday","Wednesday","Thursday","Friday","Saturday")</f>
        <v>Sunday</v>
      </c>
      <c r="K208" s="9">
        <v>1</v>
      </c>
      <c r="L208" s="38" t="str">
        <f>IF(Table1[[#This Row],[Weather_code]]=1,"Clear",IF(Table1[[#This Row],[Weather_code]]=2,"Cloudy",IF(Table1[[#This Row],[Weather_code]]=3,"Light Rain",IF(Table1[[#This Row],[Weather_code]]=4,"Heavy Rain"))))</f>
        <v>Clear</v>
      </c>
      <c r="M208" s="10">
        <v>0.16</v>
      </c>
      <c r="N208" s="11" t="str">
        <f t="shared" si="10"/>
        <v>Winter</v>
      </c>
      <c r="O208" s="11" t="str">
        <f t="shared" si="11"/>
        <v>Weekday</v>
      </c>
      <c r="P208" s="11">
        <f>VLOOKUP(A208,[1]Sheet1!$A:$H,2, FALSE)</f>
        <v>0.13639999999999999</v>
      </c>
      <c r="Q208" s="40">
        <f>Table1[[#This Row],[A_Temperature]]*41</f>
        <v>5.5923999999999996</v>
      </c>
      <c r="R208" s="11">
        <f>VLOOKUP(A208,[1]Sheet1!$A:$G,3,FALSE)</f>
        <v>0.4</v>
      </c>
      <c r="S208" s="11">
        <f>VLOOKUP(A208,[1]Sheet1!$A:$G,4,FALSE)</f>
        <v>0.32840000000000003</v>
      </c>
      <c r="T208" s="11">
        <f>VLOOKUP(A208,[1]Sheet1!$A:$G,5,FALSE)</f>
        <v>4</v>
      </c>
      <c r="U208" s="11">
        <f>VLOOKUP(A208,[1]Sheet1!$A:$G,6,FALSE)</f>
        <v>44</v>
      </c>
      <c r="V208" s="18">
        <f>VLOOKUP(A208,[1]Sheet1!$A:$G,7,FALSE)</f>
        <v>48</v>
      </c>
    </row>
    <row r="209" spans="1:22" s="13" customFormat="1" ht="30" customHeight="1">
      <c r="A209" s="17">
        <v>205</v>
      </c>
      <c r="B209" s="8">
        <v>40787</v>
      </c>
      <c r="C209" s="8" t="str">
        <f t="shared" si="9"/>
        <v>Thursday</v>
      </c>
      <c r="D209" s="9">
        <v>1</v>
      </c>
      <c r="E209" s="9">
        <v>0</v>
      </c>
      <c r="F209" s="9">
        <v>1</v>
      </c>
      <c r="G209" s="7">
        <v>19</v>
      </c>
      <c r="H209" s="9" t="b">
        <v>0</v>
      </c>
      <c r="I209" s="9">
        <v>0</v>
      </c>
      <c r="J209" s="38" t="str">
        <f>CHOOSE(Table1[[#This Row],[Weekday]]+1,"Sunday","Monday","Tuesday","Wednesday","Thursday","Friday","Saturday")</f>
        <v>Sunday</v>
      </c>
      <c r="K209" s="9">
        <v>1</v>
      </c>
      <c r="L209" s="38" t="str">
        <f>IF(Table1[[#This Row],[Weather_code]]=1,"Clear",IF(Table1[[#This Row],[Weather_code]]=2,"Cloudy",IF(Table1[[#This Row],[Weather_code]]=3,"Light Rain",IF(Table1[[#This Row],[Weather_code]]=4,"Heavy Rain"))))</f>
        <v>Clear</v>
      </c>
      <c r="M209" s="10">
        <v>0.16</v>
      </c>
      <c r="N209" s="11" t="str">
        <f t="shared" si="10"/>
        <v>Winter</v>
      </c>
      <c r="O209" s="11" t="str">
        <f t="shared" si="11"/>
        <v>Weekday</v>
      </c>
      <c r="P209" s="11">
        <f>VLOOKUP(A209,[1]Sheet1!$A:$H,2, FALSE)</f>
        <v>0.13639999999999999</v>
      </c>
      <c r="Q209" s="40">
        <f>Table1[[#This Row],[A_Temperature]]*41</f>
        <v>5.5923999999999996</v>
      </c>
      <c r="R209" s="11">
        <f>VLOOKUP(A209,[1]Sheet1!$A:$G,3,FALSE)</f>
        <v>0.43</v>
      </c>
      <c r="S209" s="11">
        <f>VLOOKUP(A209,[1]Sheet1!$A:$G,4,FALSE)</f>
        <v>0.32840000000000003</v>
      </c>
      <c r="T209" s="11">
        <f>VLOOKUP(A209,[1]Sheet1!$A:$G,5,FALSE)</f>
        <v>1</v>
      </c>
      <c r="U209" s="11">
        <f>VLOOKUP(A209,[1]Sheet1!$A:$G,6,FALSE)</f>
        <v>40</v>
      </c>
      <c r="V209" s="18">
        <f>VLOOKUP(A209,[1]Sheet1!$A:$G,7,FALSE)</f>
        <v>41</v>
      </c>
    </row>
    <row r="210" spans="1:22" s="13" customFormat="1" ht="30" customHeight="1">
      <c r="A210" s="17">
        <v>206</v>
      </c>
      <c r="B210" s="8">
        <v>40787</v>
      </c>
      <c r="C210" s="8" t="str">
        <f t="shared" si="9"/>
        <v>Thursday</v>
      </c>
      <c r="D210" s="9">
        <v>1</v>
      </c>
      <c r="E210" s="9">
        <v>0</v>
      </c>
      <c r="F210" s="9">
        <v>1</v>
      </c>
      <c r="G210" s="7">
        <v>20</v>
      </c>
      <c r="H210" s="9" t="b">
        <v>0</v>
      </c>
      <c r="I210" s="9">
        <v>0</v>
      </c>
      <c r="J210" s="38" t="str">
        <f>CHOOSE(Table1[[#This Row],[Weekday]]+1,"Sunday","Monday","Tuesday","Wednesday","Thursday","Friday","Saturday")</f>
        <v>Sunday</v>
      </c>
      <c r="K210" s="9">
        <v>1</v>
      </c>
      <c r="L210" s="38" t="str">
        <f>IF(Table1[[#This Row],[Weather_code]]=1,"Clear",IF(Table1[[#This Row],[Weather_code]]=2,"Cloudy",IF(Table1[[#This Row],[Weather_code]]=3,"Light Rain",IF(Table1[[#This Row],[Weather_code]]=4,"Heavy Rain"))))</f>
        <v>Clear</v>
      </c>
      <c r="M210" s="10">
        <v>0.14000000000000001</v>
      </c>
      <c r="N210" s="11" t="str">
        <f t="shared" si="10"/>
        <v>Winter</v>
      </c>
      <c r="O210" s="11" t="str">
        <f t="shared" si="11"/>
        <v>Weekday</v>
      </c>
      <c r="P210" s="11">
        <f>VLOOKUP(A210,[1]Sheet1!$A:$H,2, FALSE)</f>
        <v>0.1212</v>
      </c>
      <c r="Q210" s="40">
        <f>Table1[[#This Row],[A_Temperature]]*41</f>
        <v>4.9691999999999998</v>
      </c>
      <c r="R210" s="11">
        <f>VLOOKUP(A210,[1]Sheet1!$A:$G,3,FALSE)</f>
        <v>0.46</v>
      </c>
      <c r="S210" s="11">
        <f>VLOOKUP(A210,[1]Sheet1!$A:$G,4,FALSE)</f>
        <v>0.25369999999999998</v>
      </c>
      <c r="T210" s="11">
        <f>VLOOKUP(A210,[1]Sheet1!$A:$G,5,FALSE)</f>
        <v>0</v>
      </c>
      <c r="U210" s="11">
        <f>VLOOKUP(A210,[1]Sheet1!$A:$G,6,FALSE)</f>
        <v>38</v>
      </c>
      <c r="V210" s="18">
        <f>VLOOKUP(A210,[1]Sheet1!$A:$G,7,FALSE)</f>
        <v>38</v>
      </c>
    </row>
    <row r="211" spans="1:22" s="13" customFormat="1" ht="30" customHeight="1">
      <c r="A211" s="17">
        <v>207</v>
      </c>
      <c r="B211" s="8">
        <v>40787</v>
      </c>
      <c r="C211" s="8" t="str">
        <f t="shared" si="9"/>
        <v>Thursday</v>
      </c>
      <c r="D211" s="9">
        <v>1</v>
      </c>
      <c r="E211" s="9">
        <v>0</v>
      </c>
      <c r="F211" s="9">
        <v>1</v>
      </c>
      <c r="G211" s="7">
        <v>21</v>
      </c>
      <c r="H211" s="9" t="b">
        <v>0</v>
      </c>
      <c r="I211" s="9">
        <v>0</v>
      </c>
      <c r="J211" s="38" t="str">
        <f>CHOOSE(Table1[[#This Row],[Weekday]]+1,"Sunday","Monday","Tuesday","Wednesday","Thursday","Friday","Saturday")</f>
        <v>Sunday</v>
      </c>
      <c r="K211" s="9">
        <v>1</v>
      </c>
      <c r="L211" s="38" t="str">
        <f>IF(Table1[[#This Row],[Weather_code]]=1,"Clear",IF(Table1[[#This Row],[Weather_code]]=2,"Cloudy",IF(Table1[[#This Row],[Weather_code]]=3,"Light Rain",IF(Table1[[#This Row],[Weather_code]]=4,"Heavy Rain"))))</f>
        <v>Clear</v>
      </c>
      <c r="M211" s="10">
        <v>0.14000000000000001</v>
      </c>
      <c r="N211" s="11" t="str">
        <f t="shared" si="10"/>
        <v>Winter</v>
      </c>
      <c r="O211" s="11" t="str">
        <f t="shared" si="11"/>
        <v>Weekday</v>
      </c>
      <c r="P211" s="11">
        <f>VLOOKUP(A211,[1]Sheet1!$A:$H,2, FALSE)</f>
        <v>0.1061</v>
      </c>
      <c r="Q211" s="40">
        <f>Table1[[#This Row],[A_Temperature]]*41</f>
        <v>4.3501000000000003</v>
      </c>
      <c r="R211" s="11">
        <f>VLOOKUP(A211,[1]Sheet1!$A:$G,3,FALSE)</f>
        <v>0.46</v>
      </c>
      <c r="S211" s="11">
        <f>VLOOKUP(A211,[1]Sheet1!$A:$G,4,FALSE)</f>
        <v>0.41789999999999999</v>
      </c>
      <c r="T211" s="11">
        <f>VLOOKUP(A211,[1]Sheet1!$A:$G,5,FALSE)</f>
        <v>1</v>
      </c>
      <c r="U211" s="11">
        <f>VLOOKUP(A211,[1]Sheet1!$A:$G,6,FALSE)</f>
        <v>19</v>
      </c>
      <c r="V211" s="18">
        <f>VLOOKUP(A211,[1]Sheet1!$A:$G,7,FALSE)</f>
        <v>20</v>
      </c>
    </row>
    <row r="212" spans="1:22" s="13" customFormat="1" ht="30" customHeight="1">
      <c r="A212" s="17">
        <v>208</v>
      </c>
      <c r="B212" s="8">
        <v>40787</v>
      </c>
      <c r="C212" s="8" t="str">
        <f t="shared" si="9"/>
        <v>Thursday</v>
      </c>
      <c r="D212" s="9">
        <v>1</v>
      </c>
      <c r="E212" s="9">
        <v>0</v>
      </c>
      <c r="F212" s="9">
        <v>1</v>
      </c>
      <c r="G212" s="7">
        <v>22</v>
      </c>
      <c r="H212" s="9" t="b">
        <v>0</v>
      </c>
      <c r="I212" s="9">
        <v>0</v>
      </c>
      <c r="J212" s="38" t="str">
        <f>CHOOSE(Table1[[#This Row],[Weekday]]+1,"Sunday","Monday","Tuesday","Wednesday","Thursday","Friday","Saturday")</f>
        <v>Sunday</v>
      </c>
      <c r="K212" s="9">
        <v>1</v>
      </c>
      <c r="L212" s="38" t="str">
        <f>IF(Table1[[#This Row],[Weather_code]]=1,"Clear",IF(Table1[[#This Row],[Weather_code]]=2,"Cloudy",IF(Table1[[#This Row],[Weather_code]]=3,"Light Rain",IF(Table1[[#This Row],[Weather_code]]=4,"Heavy Rain"))))</f>
        <v>Clear</v>
      </c>
      <c r="M212" s="10">
        <v>0.14000000000000001</v>
      </c>
      <c r="N212" s="11" t="str">
        <f t="shared" si="10"/>
        <v>Winter</v>
      </c>
      <c r="O212" s="11" t="str">
        <f t="shared" si="11"/>
        <v>Weekday</v>
      </c>
      <c r="P212" s="11">
        <f>VLOOKUP(A212,[1]Sheet1!$A:$H,2, FALSE)</f>
        <v>0.1212</v>
      </c>
      <c r="Q212" s="40">
        <f>Table1[[#This Row],[A_Temperature]]*41</f>
        <v>4.9691999999999998</v>
      </c>
      <c r="R212" s="11">
        <f>VLOOKUP(A212,[1]Sheet1!$A:$G,3,FALSE)</f>
        <v>0.46</v>
      </c>
      <c r="S212" s="11">
        <f>VLOOKUP(A212,[1]Sheet1!$A:$G,4,FALSE)</f>
        <v>0.29849999999999999</v>
      </c>
      <c r="T212" s="11">
        <f>VLOOKUP(A212,[1]Sheet1!$A:$G,5,FALSE)</f>
        <v>5</v>
      </c>
      <c r="U212" s="11">
        <f>VLOOKUP(A212,[1]Sheet1!$A:$G,6,FALSE)</f>
        <v>10</v>
      </c>
      <c r="V212" s="18">
        <f>VLOOKUP(A212,[1]Sheet1!$A:$G,7,FALSE)</f>
        <v>15</v>
      </c>
    </row>
    <row r="213" spans="1:22" s="13" customFormat="1" ht="30" customHeight="1">
      <c r="A213" s="17">
        <v>209</v>
      </c>
      <c r="B213" s="8">
        <v>40787</v>
      </c>
      <c r="C213" s="8" t="str">
        <f t="shared" si="9"/>
        <v>Thursday</v>
      </c>
      <c r="D213" s="9">
        <v>1</v>
      </c>
      <c r="E213" s="9">
        <v>0</v>
      </c>
      <c r="F213" s="9">
        <v>1</v>
      </c>
      <c r="G213" s="7">
        <v>23</v>
      </c>
      <c r="H213" s="9" t="b">
        <v>0</v>
      </c>
      <c r="I213" s="9">
        <v>0</v>
      </c>
      <c r="J213" s="38" t="str">
        <f>CHOOSE(Table1[[#This Row],[Weekday]]+1,"Sunday","Monday","Tuesday","Wednesday","Thursday","Friday","Saturday")</f>
        <v>Sunday</v>
      </c>
      <c r="K213" s="9">
        <v>1</v>
      </c>
      <c r="L213" s="38" t="str">
        <f>IF(Table1[[#This Row],[Weather_code]]=1,"Clear",IF(Table1[[#This Row],[Weather_code]]=2,"Cloudy",IF(Table1[[#This Row],[Weather_code]]=3,"Light Rain",IF(Table1[[#This Row],[Weather_code]]=4,"Heavy Rain"))))</f>
        <v>Clear</v>
      </c>
      <c r="M213" s="10">
        <v>0.12</v>
      </c>
      <c r="N213" s="11" t="str">
        <f t="shared" si="10"/>
        <v>Winter</v>
      </c>
      <c r="O213" s="11" t="str">
        <f t="shared" si="11"/>
        <v>Weekday</v>
      </c>
      <c r="P213" s="11">
        <f>VLOOKUP(A213,[1]Sheet1!$A:$H,2, FALSE)</f>
        <v>0.13639999999999999</v>
      </c>
      <c r="Q213" s="40">
        <f>Table1[[#This Row],[A_Temperature]]*41</f>
        <v>5.5923999999999996</v>
      </c>
      <c r="R213" s="11">
        <f>VLOOKUP(A213,[1]Sheet1!$A:$G,3,FALSE)</f>
        <v>0.5</v>
      </c>
      <c r="S213" s="11">
        <f>VLOOKUP(A213,[1]Sheet1!$A:$G,4,FALSE)</f>
        <v>0.19400000000000001</v>
      </c>
      <c r="T213" s="11">
        <f>VLOOKUP(A213,[1]Sheet1!$A:$G,5,FALSE)</f>
        <v>0</v>
      </c>
      <c r="U213" s="11">
        <f>VLOOKUP(A213,[1]Sheet1!$A:$G,6,FALSE)</f>
        <v>6</v>
      </c>
      <c r="V213" s="18">
        <f>VLOOKUP(A213,[1]Sheet1!$A:$G,7,FALSE)</f>
        <v>6</v>
      </c>
    </row>
    <row r="214" spans="1:22" s="13" customFormat="1" ht="30" customHeight="1">
      <c r="A214" s="17">
        <v>210</v>
      </c>
      <c r="B214" s="8">
        <v>40817</v>
      </c>
      <c r="C214" s="8" t="str">
        <f t="shared" si="9"/>
        <v>Saturday</v>
      </c>
      <c r="D214" s="9">
        <v>1</v>
      </c>
      <c r="E214" s="9">
        <v>0</v>
      </c>
      <c r="F214" s="9">
        <v>1</v>
      </c>
      <c r="G214" s="7">
        <v>0</v>
      </c>
      <c r="H214" s="9" t="b">
        <v>0</v>
      </c>
      <c r="I214" s="9">
        <v>1</v>
      </c>
      <c r="J214" s="38" t="str">
        <f>CHOOSE(Table1[[#This Row],[Weekday]]+1,"Sunday","Monday","Tuesday","Wednesday","Thursday","Friday","Saturday")</f>
        <v>Monday</v>
      </c>
      <c r="K214" s="9">
        <v>1</v>
      </c>
      <c r="L214" s="38" t="str">
        <f>IF(Table1[[#This Row],[Weather_code]]=1,"Clear",IF(Table1[[#This Row],[Weather_code]]=2,"Cloudy",IF(Table1[[#This Row],[Weather_code]]=3,"Light Rain",IF(Table1[[#This Row],[Weather_code]]=4,"Heavy Rain"))))</f>
        <v>Clear</v>
      </c>
      <c r="M214" s="10">
        <v>0.12</v>
      </c>
      <c r="N214" s="11" t="str">
        <f t="shared" si="10"/>
        <v>Winter</v>
      </c>
      <c r="O214" s="11" t="str">
        <f t="shared" si="11"/>
        <v>Weekend</v>
      </c>
      <c r="P214" s="11">
        <f>VLOOKUP(A214,[1]Sheet1!$A:$H,2, FALSE)</f>
        <v>0.1212</v>
      </c>
      <c r="Q214" s="40">
        <f>Table1[[#This Row],[A_Temperature]]*41</f>
        <v>4.9691999999999998</v>
      </c>
      <c r="R214" s="11">
        <f>VLOOKUP(A214,[1]Sheet1!$A:$G,3,FALSE)</f>
        <v>0.5</v>
      </c>
      <c r="S214" s="11">
        <f>VLOOKUP(A214,[1]Sheet1!$A:$G,4,FALSE)</f>
        <v>0.28360000000000002</v>
      </c>
      <c r="T214" s="11">
        <f>VLOOKUP(A214,[1]Sheet1!$A:$G,5,FALSE)</f>
        <v>2</v>
      </c>
      <c r="U214" s="11">
        <f>VLOOKUP(A214,[1]Sheet1!$A:$G,6,FALSE)</f>
        <v>3</v>
      </c>
      <c r="V214" s="18">
        <f>VLOOKUP(A214,[1]Sheet1!$A:$G,7,FALSE)</f>
        <v>5</v>
      </c>
    </row>
    <row r="215" spans="1:22" s="13" customFormat="1" ht="30" customHeight="1">
      <c r="A215" s="17">
        <v>211</v>
      </c>
      <c r="B215" s="8">
        <v>40817</v>
      </c>
      <c r="C215" s="8" t="str">
        <f t="shared" si="9"/>
        <v>Saturday</v>
      </c>
      <c r="D215" s="9">
        <v>1</v>
      </c>
      <c r="E215" s="9">
        <v>0</v>
      </c>
      <c r="F215" s="9">
        <v>1</v>
      </c>
      <c r="G215" s="7">
        <v>1</v>
      </c>
      <c r="H215" s="9" t="b">
        <v>0</v>
      </c>
      <c r="I215" s="9">
        <v>1</v>
      </c>
      <c r="J215" s="38" t="str">
        <f>CHOOSE(Table1[[#This Row],[Weekday]]+1,"Sunday","Monday","Tuesday","Wednesday","Thursday","Friday","Saturday")</f>
        <v>Monday</v>
      </c>
      <c r="K215" s="9">
        <v>1</v>
      </c>
      <c r="L215" s="38" t="str">
        <f>IF(Table1[[#This Row],[Weather_code]]=1,"Clear",IF(Table1[[#This Row],[Weather_code]]=2,"Cloudy",IF(Table1[[#This Row],[Weather_code]]=3,"Light Rain",IF(Table1[[#This Row],[Weather_code]]=4,"Heavy Rain"))))</f>
        <v>Clear</v>
      </c>
      <c r="M215" s="10">
        <v>0.12</v>
      </c>
      <c r="N215" s="11" t="str">
        <f t="shared" si="10"/>
        <v>Winter</v>
      </c>
      <c r="O215" s="11" t="str">
        <f t="shared" si="11"/>
        <v>Weekend</v>
      </c>
      <c r="P215" s="11">
        <f>VLOOKUP(A215,[1]Sheet1!$A:$H,2, FALSE)</f>
        <v>0.1212</v>
      </c>
      <c r="Q215" s="40">
        <f>Table1[[#This Row],[A_Temperature]]*41</f>
        <v>4.9691999999999998</v>
      </c>
      <c r="R215" s="11">
        <f>VLOOKUP(A215,[1]Sheet1!$A:$G,3,FALSE)</f>
        <v>0.5</v>
      </c>
      <c r="S215" s="11">
        <f>VLOOKUP(A215,[1]Sheet1!$A:$G,4,FALSE)</f>
        <v>0.28360000000000002</v>
      </c>
      <c r="T215" s="11">
        <f>VLOOKUP(A215,[1]Sheet1!$A:$G,5,FALSE)</f>
        <v>1</v>
      </c>
      <c r="U215" s="11">
        <f>VLOOKUP(A215,[1]Sheet1!$A:$G,6,FALSE)</f>
        <v>0</v>
      </c>
      <c r="V215" s="18">
        <f>VLOOKUP(A215,[1]Sheet1!$A:$G,7,FALSE)</f>
        <v>1</v>
      </c>
    </row>
    <row r="216" spans="1:22" s="13" customFormat="1" ht="30" customHeight="1">
      <c r="A216" s="17">
        <v>212</v>
      </c>
      <c r="B216" s="8">
        <v>40817</v>
      </c>
      <c r="C216" s="8" t="str">
        <f t="shared" si="9"/>
        <v>Saturday</v>
      </c>
      <c r="D216" s="9">
        <v>1</v>
      </c>
      <c r="E216" s="9">
        <v>0</v>
      </c>
      <c r="F216" s="9">
        <v>1</v>
      </c>
      <c r="G216" s="7">
        <v>2</v>
      </c>
      <c r="H216" s="9" t="b">
        <v>0</v>
      </c>
      <c r="I216" s="9">
        <v>1</v>
      </c>
      <c r="J216" s="38" t="str">
        <f>CHOOSE(Table1[[#This Row],[Weekday]]+1,"Sunday","Monday","Tuesday","Wednesday","Thursday","Friday","Saturday")</f>
        <v>Monday</v>
      </c>
      <c r="K216" s="9">
        <v>1</v>
      </c>
      <c r="L216" s="38" t="str">
        <f>IF(Table1[[#This Row],[Weather_code]]=1,"Clear",IF(Table1[[#This Row],[Weather_code]]=2,"Cloudy",IF(Table1[[#This Row],[Weather_code]]=3,"Light Rain",IF(Table1[[#This Row],[Weather_code]]=4,"Heavy Rain"))))</f>
        <v>Clear</v>
      </c>
      <c r="M216" s="10">
        <v>0.12</v>
      </c>
      <c r="N216" s="11" t="str">
        <f t="shared" si="10"/>
        <v>Winter</v>
      </c>
      <c r="O216" s="11" t="str">
        <f t="shared" si="11"/>
        <v>Weekend</v>
      </c>
      <c r="P216" s="11">
        <f>VLOOKUP(A216,[1]Sheet1!$A:$H,2, FALSE)</f>
        <v>0.1212</v>
      </c>
      <c r="Q216" s="40">
        <f>Table1[[#This Row],[A_Temperature]]*41</f>
        <v>4.9691999999999998</v>
      </c>
      <c r="R216" s="11">
        <f>VLOOKUP(A216,[1]Sheet1!$A:$G,3,FALSE)</f>
        <v>0.5</v>
      </c>
      <c r="S216" s="11">
        <f>VLOOKUP(A216,[1]Sheet1!$A:$G,4,FALSE)</f>
        <v>0.22389999999999999</v>
      </c>
      <c r="T216" s="11">
        <f>VLOOKUP(A216,[1]Sheet1!$A:$G,5,FALSE)</f>
        <v>0</v>
      </c>
      <c r="U216" s="11">
        <f>VLOOKUP(A216,[1]Sheet1!$A:$G,6,FALSE)</f>
        <v>3</v>
      </c>
      <c r="V216" s="18">
        <f>VLOOKUP(A216,[1]Sheet1!$A:$G,7,FALSE)</f>
        <v>3</v>
      </c>
    </row>
    <row r="217" spans="1:22" s="13" customFormat="1" ht="30" customHeight="1">
      <c r="A217" s="17">
        <v>213</v>
      </c>
      <c r="B217" s="8">
        <v>40817</v>
      </c>
      <c r="C217" s="8" t="str">
        <f t="shared" si="9"/>
        <v>Saturday</v>
      </c>
      <c r="D217" s="9">
        <v>1</v>
      </c>
      <c r="E217" s="9">
        <v>0</v>
      </c>
      <c r="F217" s="9">
        <v>1</v>
      </c>
      <c r="G217" s="7">
        <v>3</v>
      </c>
      <c r="H217" s="9" t="b">
        <v>0</v>
      </c>
      <c r="I217" s="9">
        <v>1</v>
      </c>
      <c r="J217" s="38" t="str">
        <f>CHOOSE(Table1[[#This Row],[Weekday]]+1,"Sunday","Monday","Tuesday","Wednesday","Thursday","Friday","Saturday")</f>
        <v>Monday</v>
      </c>
      <c r="K217" s="9">
        <v>1</v>
      </c>
      <c r="L217" s="38" t="str">
        <f>IF(Table1[[#This Row],[Weather_code]]=1,"Clear",IF(Table1[[#This Row],[Weather_code]]=2,"Cloudy",IF(Table1[[#This Row],[Weather_code]]=3,"Light Rain",IF(Table1[[#This Row],[Weather_code]]=4,"Heavy Rain"))))</f>
        <v>Clear</v>
      </c>
      <c r="M217" s="10">
        <v>0.12</v>
      </c>
      <c r="N217" s="11" t="str">
        <f t="shared" si="10"/>
        <v>Winter</v>
      </c>
      <c r="O217" s="11" t="str">
        <f t="shared" si="11"/>
        <v>Weekend</v>
      </c>
      <c r="P217" s="11">
        <f>VLOOKUP(A217,[1]Sheet1!$A:$H,2, FALSE)</f>
        <v>0.1212</v>
      </c>
      <c r="Q217" s="40">
        <f>Table1[[#This Row],[A_Temperature]]*41</f>
        <v>4.9691999999999998</v>
      </c>
      <c r="R217" s="11">
        <f>VLOOKUP(A217,[1]Sheet1!$A:$G,3,FALSE)</f>
        <v>0.5</v>
      </c>
      <c r="S217" s="11">
        <f>VLOOKUP(A217,[1]Sheet1!$A:$G,4,FALSE)</f>
        <v>0.22389999999999999</v>
      </c>
      <c r="T217" s="11">
        <f>VLOOKUP(A217,[1]Sheet1!$A:$G,5,FALSE)</f>
        <v>0</v>
      </c>
      <c r="U217" s="11">
        <f>VLOOKUP(A217,[1]Sheet1!$A:$G,6,FALSE)</f>
        <v>1</v>
      </c>
      <c r="V217" s="18">
        <f>VLOOKUP(A217,[1]Sheet1!$A:$G,7,FALSE)</f>
        <v>1</v>
      </c>
    </row>
    <row r="218" spans="1:22" s="13" customFormat="1" ht="30" customHeight="1">
      <c r="A218" s="17">
        <v>214</v>
      </c>
      <c r="B218" s="8">
        <v>40817</v>
      </c>
      <c r="C218" s="8" t="str">
        <f t="shared" si="9"/>
        <v>Saturday</v>
      </c>
      <c r="D218" s="9">
        <v>1</v>
      </c>
      <c r="E218" s="9">
        <v>0</v>
      </c>
      <c r="F218" s="9">
        <v>1</v>
      </c>
      <c r="G218" s="7">
        <v>4</v>
      </c>
      <c r="H218" s="9" t="b">
        <v>0</v>
      </c>
      <c r="I218" s="9">
        <v>1</v>
      </c>
      <c r="J218" s="38" t="str">
        <f>CHOOSE(Table1[[#This Row],[Weekday]]+1,"Sunday","Monday","Tuesday","Wednesday","Thursday","Friday","Saturday")</f>
        <v>Monday</v>
      </c>
      <c r="K218" s="9">
        <v>1</v>
      </c>
      <c r="L218" s="38" t="str">
        <f>IF(Table1[[#This Row],[Weather_code]]=1,"Clear",IF(Table1[[#This Row],[Weather_code]]=2,"Cloudy",IF(Table1[[#This Row],[Weather_code]]=3,"Light Rain",IF(Table1[[#This Row],[Weather_code]]=4,"Heavy Rain"))))</f>
        <v>Clear</v>
      </c>
      <c r="M218" s="10">
        <v>0.1</v>
      </c>
      <c r="N218" s="11" t="str">
        <f t="shared" si="10"/>
        <v>Winter</v>
      </c>
      <c r="O218" s="11" t="str">
        <f t="shared" si="11"/>
        <v>Weekend</v>
      </c>
      <c r="P218" s="11">
        <f>VLOOKUP(A218,[1]Sheet1!$A:$H,2, FALSE)</f>
        <v>0.1212</v>
      </c>
      <c r="Q218" s="40">
        <f>Table1[[#This Row],[A_Temperature]]*41</f>
        <v>4.9691999999999998</v>
      </c>
      <c r="R218" s="11">
        <f>VLOOKUP(A218,[1]Sheet1!$A:$G,3,FALSE)</f>
        <v>0.54</v>
      </c>
      <c r="S218" s="11">
        <f>VLOOKUP(A218,[1]Sheet1!$A:$G,4,FALSE)</f>
        <v>0.1343</v>
      </c>
      <c r="T218" s="11">
        <f>VLOOKUP(A218,[1]Sheet1!$A:$G,5,FALSE)</f>
        <v>1</v>
      </c>
      <c r="U218" s="11">
        <f>VLOOKUP(A218,[1]Sheet1!$A:$G,6,FALSE)</f>
        <v>2</v>
      </c>
      <c r="V218" s="18">
        <f>VLOOKUP(A218,[1]Sheet1!$A:$G,7,FALSE)</f>
        <v>3</v>
      </c>
    </row>
    <row r="219" spans="1:22" s="13" customFormat="1" ht="30" customHeight="1">
      <c r="A219" s="17">
        <v>215</v>
      </c>
      <c r="B219" s="8">
        <v>40817</v>
      </c>
      <c r="C219" s="8" t="str">
        <f t="shared" si="9"/>
        <v>Saturday</v>
      </c>
      <c r="D219" s="9">
        <v>1</v>
      </c>
      <c r="E219" s="9">
        <v>0</v>
      </c>
      <c r="F219" s="9">
        <v>1</v>
      </c>
      <c r="G219" s="7">
        <v>5</v>
      </c>
      <c r="H219" s="9" t="b">
        <v>0</v>
      </c>
      <c r="I219" s="9">
        <v>1</v>
      </c>
      <c r="J219" s="38" t="str">
        <f>CHOOSE(Table1[[#This Row],[Weekday]]+1,"Sunday","Monday","Tuesday","Wednesday","Thursday","Friday","Saturday")</f>
        <v>Monday</v>
      </c>
      <c r="K219" s="9">
        <v>1</v>
      </c>
      <c r="L219" s="38" t="str">
        <f>IF(Table1[[#This Row],[Weather_code]]=1,"Clear",IF(Table1[[#This Row],[Weather_code]]=2,"Cloudy",IF(Table1[[#This Row],[Weather_code]]=3,"Light Rain",IF(Table1[[#This Row],[Weather_code]]=4,"Heavy Rain"))))</f>
        <v>Clear</v>
      </c>
      <c r="M219" s="10">
        <v>0.1</v>
      </c>
      <c r="N219" s="11" t="str">
        <f t="shared" si="10"/>
        <v>Winter</v>
      </c>
      <c r="O219" s="11" t="str">
        <f t="shared" si="11"/>
        <v>Weekend</v>
      </c>
      <c r="P219" s="11">
        <f>VLOOKUP(A219,[1]Sheet1!$A:$H,2, FALSE)</f>
        <v>0.1061</v>
      </c>
      <c r="Q219" s="40">
        <f>Table1[[#This Row],[A_Temperature]]*41</f>
        <v>4.3501000000000003</v>
      </c>
      <c r="R219" s="11">
        <f>VLOOKUP(A219,[1]Sheet1!$A:$G,3,FALSE)</f>
        <v>0.54</v>
      </c>
      <c r="S219" s="11">
        <f>VLOOKUP(A219,[1]Sheet1!$A:$G,4,FALSE)</f>
        <v>0.25369999999999998</v>
      </c>
      <c r="T219" s="11">
        <f>VLOOKUP(A219,[1]Sheet1!$A:$G,5,FALSE)</f>
        <v>0</v>
      </c>
      <c r="U219" s="11">
        <f>VLOOKUP(A219,[1]Sheet1!$A:$G,6,FALSE)</f>
        <v>3</v>
      </c>
      <c r="V219" s="18">
        <f>VLOOKUP(A219,[1]Sheet1!$A:$G,7,FALSE)</f>
        <v>3</v>
      </c>
    </row>
    <row r="220" spans="1:22" s="13" customFormat="1" ht="30" customHeight="1">
      <c r="A220" s="17">
        <v>216</v>
      </c>
      <c r="B220" s="8">
        <v>40817</v>
      </c>
      <c r="C220" s="8" t="str">
        <f t="shared" si="9"/>
        <v>Saturday</v>
      </c>
      <c r="D220" s="9">
        <v>1</v>
      </c>
      <c r="E220" s="9">
        <v>0</v>
      </c>
      <c r="F220" s="9">
        <v>1</v>
      </c>
      <c r="G220" s="7">
        <v>6</v>
      </c>
      <c r="H220" s="9" t="b">
        <v>0</v>
      </c>
      <c r="I220" s="9">
        <v>1</v>
      </c>
      <c r="J220" s="38" t="str">
        <f>CHOOSE(Table1[[#This Row],[Weekday]]+1,"Sunday","Monday","Tuesday","Wednesday","Thursday","Friday","Saturday")</f>
        <v>Monday</v>
      </c>
      <c r="K220" s="9">
        <v>1</v>
      </c>
      <c r="L220" s="38" t="str">
        <f>IF(Table1[[#This Row],[Weather_code]]=1,"Clear",IF(Table1[[#This Row],[Weather_code]]=2,"Cloudy",IF(Table1[[#This Row],[Weather_code]]=3,"Light Rain",IF(Table1[[#This Row],[Weather_code]]=4,"Heavy Rain"))))</f>
        <v>Clear</v>
      </c>
      <c r="M220" s="10">
        <v>0.12</v>
      </c>
      <c r="N220" s="11" t="str">
        <f t="shared" si="10"/>
        <v>Winter</v>
      </c>
      <c r="O220" s="11" t="str">
        <f t="shared" si="11"/>
        <v>Weekend</v>
      </c>
      <c r="P220" s="11">
        <f>VLOOKUP(A220,[1]Sheet1!$A:$H,2, FALSE)</f>
        <v>0.1212</v>
      </c>
      <c r="Q220" s="40">
        <f>Table1[[#This Row],[A_Temperature]]*41</f>
        <v>4.9691999999999998</v>
      </c>
      <c r="R220" s="11">
        <f>VLOOKUP(A220,[1]Sheet1!$A:$G,3,FALSE)</f>
        <v>0.5</v>
      </c>
      <c r="S220" s="11">
        <f>VLOOKUP(A220,[1]Sheet1!$A:$G,4,FALSE)</f>
        <v>0.28360000000000002</v>
      </c>
      <c r="T220" s="11">
        <f>VLOOKUP(A220,[1]Sheet1!$A:$G,5,FALSE)</f>
        <v>0</v>
      </c>
      <c r="U220" s="11">
        <f>VLOOKUP(A220,[1]Sheet1!$A:$G,6,FALSE)</f>
        <v>31</v>
      </c>
      <c r="V220" s="18">
        <f>VLOOKUP(A220,[1]Sheet1!$A:$G,7,FALSE)</f>
        <v>31</v>
      </c>
    </row>
    <row r="221" spans="1:22" s="13" customFormat="1" ht="30" customHeight="1">
      <c r="A221" s="17">
        <v>217</v>
      </c>
      <c r="B221" s="8">
        <v>40817</v>
      </c>
      <c r="C221" s="8" t="str">
        <f t="shared" ref="C221:C284" si="12">TEXT(B221,"DDDD")</f>
        <v>Saturday</v>
      </c>
      <c r="D221" s="9">
        <v>1</v>
      </c>
      <c r="E221" s="9">
        <v>0</v>
      </c>
      <c r="F221" s="9">
        <v>1</v>
      </c>
      <c r="G221" s="7">
        <v>7</v>
      </c>
      <c r="H221" s="9" t="b">
        <v>0</v>
      </c>
      <c r="I221" s="9">
        <v>1</v>
      </c>
      <c r="J221" s="38" t="str">
        <f>CHOOSE(Table1[[#This Row],[Weekday]]+1,"Sunday","Monday","Tuesday","Wednesday","Thursday","Friday","Saturday")</f>
        <v>Monday</v>
      </c>
      <c r="K221" s="9">
        <v>1</v>
      </c>
      <c r="L221" s="38" t="str">
        <f>IF(Table1[[#This Row],[Weather_code]]=1,"Clear",IF(Table1[[#This Row],[Weather_code]]=2,"Cloudy",IF(Table1[[#This Row],[Weather_code]]=3,"Light Rain",IF(Table1[[#This Row],[Weather_code]]=4,"Heavy Rain"))))</f>
        <v>Clear</v>
      </c>
      <c r="M221" s="10">
        <v>0.12</v>
      </c>
      <c r="N221" s="11" t="str">
        <f t="shared" si="10"/>
        <v>Winter</v>
      </c>
      <c r="O221" s="11" t="str">
        <f t="shared" si="11"/>
        <v>Weekend</v>
      </c>
      <c r="P221" s="11">
        <f>VLOOKUP(A221,[1]Sheet1!$A:$H,2, FALSE)</f>
        <v>0.1212</v>
      </c>
      <c r="Q221" s="40">
        <f>Table1[[#This Row],[A_Temperature]]*41</f>
        <v>4.9691999999999998</v>
      </c>
      <c r="R221" s="11">
        <f>VLOOKUP(A221,[1]Sheet1!$A:$G,3,FALSE)</f>
        <v>0.5</v>
      </c>
      <c r="S221" s="11">
        <f>VLOOKUP(A221,[1]Sheet1!$A:$G,4,FALSE)</f>
        <v>0.22389999999999999</v>
      </c>
      <c r="T221" s="11">
        <f>VLOOKUP(A221,[1]Sheet1!$A:$G,5,FALSE)</f>
        <v>2</v>
      </c>
      <c r="U221" s="11">
        <f>VLOOKUP(A221,[1]Sheet1!$A:$G,6,FALSE)</f>
        <v>75</v>
      </c>
      <c r="V221" s="18">
        <f>VLOOKUP(A221,[1]Sheet1!$A:$G,7,FALSE)</f>
        <v>77</v>
      </c>
    </row>
    <row r="222" spans="1:22" s="13" customFormat="1" ht="30" customHeight="1">
      <c r="A222" s="17">
        <v>218</v>
      </c>
      <c r="B222" s="8">
        <v>40817</v>
      </c>
      <c r="C222" s="8" t="str">
        <f t="shared" si="12"/>
        <v>Saturday</v>
      </c>
      <c r="D222" s="9">
        <v>1</v>
      </c>
      <c r="E222" s="9">
        <v>0</v>
      </c>
      <c r="F222" s="9">
        <v>1</v>
      </c>
      <c r="G222" s="7">
        <v>8</v>
      </c>
      <c r="H222" s="9" t="b">
        <v>0</v>
      </c>
      <c r="I222" s="9">
        <v>1</v>
      </c>
      <c r="J222" s="38" t="str">
        <f>CHOOSE(Table1[[#This Row],[Weekday]]+1,"Sunday","Monday","Tuesday","Wednesday","Thursday","Friday","Saturday")</f>
        <v>Monday</v>
      </c>
      <c r="K222" s="9">
        <v>2</v>
      </c>
      <c r="L222" s="38" t="str">
        <f>IF(Table1[[#This Row],[Weather_code]]=1,"Clear",IF(Table1[[#This Row],[Weather_code]]=2,"Cloudy",IF(Table1[[#This Row],[Weather_code]]=3,"Light Rain",IF(Table1[[#This Row],[Weather_code]]=4,"Heavy Rain"))))</f>
        <v>Cloudy</v>
      </c>
      <c r="M222" s="10">
        <v>0.12</v>
      </c>
      <c r="N222" s="11" t="str">
        <f t="shared" si="10"/>
        <v>Winter</v>
      </c>
      <c r="O222" s="11" t="str">
        <f t="shared" si="11"/>
        <v>Weekend</v>
      </c>
      <c r="P222" s="11">
        <f>VLOOKUP(A222,[1]Sheet1!$A:$H,2, FALSE)</f>
        <v>0.1212</v>
      </c>
      <c r="Q222" s="40">
        <f>Table1[[#This Row],[A_Temperature]]*41</f>
        <v>4.9691999999999998</v>
      </c>
      <c r="R222" s="11">
        <f>VLOOKUP(A222,[1]Sheet1!$A:$G,3,FALSE)</f>
        <v>0.5</v>
      </c>
      <c r="S222" s="11">
        <f>VLOOKUP(A222,[1]Sheet1!$A:$G,4,FALSE)</f>
        <v>0.28360000000000002</v>
      </c>
      <c r="T222" s="11">
        <f>VLOOKUP(A222,[1]Sheet1!$A:$G,5,FALSE)</f>
        <v>4</v>
      </c>
      <c r="U222" s="11">
        <f>VLOOKUP(A222,[1]Sheet1!$A:$G,6,FALSE)</f>
        <v>184</v>
      </c>
      <c r="V222" s="18">
        <f>VLOOKUP(A222,[1]Sheet1!$A:$G,7,FALSE)</f>
        <v>188</v>
      </c>
    </row>
    <row r="223" spans="1:22" s="13" customFormat="1" ht="30" customHeight="1">
      <c r="A223" s="17">
        <v>219</v>
      </c>
      <c r="B223" s="8">
        <v>40817</v>
      </c>
      <c r="C223" s="8" t="str">
        <f t="shared" si="12"/>
        <v>Saturday</v>
      </c>
      <c r="D223" s="9">
        <v>1</v>
      </c>
      <c r="E223" s="9">
        <v>0</v>
      </c>
      <c r="F223" s="9">
        <v>1</v>
      </c>
      <c r="G223" s="7">
        <v>9</v>
      </c>
      <c r="H223" s="9" t="b">
        <v>0</v>
      </c>
      <c r="I223" s="9">
        <v>1</v>
      </c>
      <c r="J223" s="38" t="str">
        <f>CHOOSE(Table1[[#This Row],[Weekday]]+1,"Sunday","Monday","Tuesday","Wednesday","Thursday","Friday","Saturday")</f>
        <v>Monday</v>
      </c>
      <c r="K223" s="9">
        <v>2</v>
      </c>
      <c r="L223" s="38" t="str">
        <f>IF(Table1[[#This Row],[Weather_code]]=1,"Clear",IF(Table1[[#This Row],[Weather_code]]=2,"Cloudy",IF(Table1[[#This Row],[Weather_code]]=3,"Light Rain",IF(Table1[[#This Row],[Weather_code]]=4,"Heavy Rain"))))</f>
        <v>Cloudy</v>
      </c>
      <c r="M223" s="10">
        <v>0.14000000000000001</v>
      </c>
      <c r="N223" s="11" t="str">
        <f t="shared" si="10"/>
        <v>Winter</v>
      </c>
      <c r="O223" s="11" t="str">
        <f t="shared" si="11"/>
        <v>Weekend</v>
      </c>
      <c r="P223" s="11">
        <f>VLOOKUP(A223,[1]Sheet1!$A:$H,2, FALSE)</f>
        <v>0.1212</v>
      </c>
      <c r="Q223" s="40">
        <f>Table1[[#This Row],[A_Temperature]]*41</f>
        <v>4.9691999999999998</v>
      </c>
      <c r="R223" s="11">
        <f>VLOOKUP(A223,[1]Sheet1!$A:$G,3,FALSE)</f>
        <v>0.5</v>
      </c>
      <c r="S223" s="11">
        <f>VLOOKUP(A223,[1]Sheet1!$A:$G,4,FALSE)</f>
        <v>0.25369999999999998</v>
      </c>
      <c r="T223" s="11">
        <f>VLOOKUP(A223,[1]Sheet1!$A:$G,5,FALSE)</f>
        <v>2</v>
      </c>
      <c r="U223" s="11">
        <f>VLOOKUP(A223,[1]Sheet1!$A:$G,6,FALSE)</f>
        <v>92</v>
      </c>
      <c r="V223" s="18">
        <f>VLOOKUP(A223,[1]Sheet1!$A:$G,7,FALSE)</f>
        <v>94</v>
      </c>
    </row>
    <row r="224" spans="1:22" s="13" customFormat="1" ht="30" customHeight="1">
      <c r="A224" s="17">
        <v>220</v>
      </c>
      <c r="B224" s="8">
        <v>40817</v>
      </c>
      <c r="C224" s="8" t="str">
        <f t="shared" si="12"/>
        <v>Saturday</v>
      </c>
      <c r="D224" s="9">
        <v>1</v>
      </c>
      <c r="E224" s="9">
        <v>0</v>
      </c>
      <c r="F224" s="9">
        <v>1</v>
      </c>
      <c r="G224" s="7">
        <v>10</v>
      </c>
      <c r="H224" s="9" t="b">
        <v>0</v>
      </c>
      <c r="I224" s="9">
        <v>1</v>
      </c>
      <c r="J224" s="38" t="str">
        <f>CHOOSE(Table1[[#This Row],[Weekday]]+1,"Sunday","Monday","Tuesday","Wednesday","Thursday","Friday","Saturday")</f>
        <v>Monday</v>
      </c>
      <c r="K224" s="9">
        <v>2</v>
      </c>
      <c r="L224" s="38" t="str">
        <f>IF(Table1[[#This Row],[Weather_code]]=1,"Clear",IF(Table1[[#This Row],[Weather_code]]=2,"Cloudy",IF(Table1[[#This Row],[Weather_code]]=3,"Light Rain",IF(Table1[[#This Row],[Weather_code]]=4,"Heavy Rain"))))</f>
        <v>Cloudy</v>
      </c>
      <c r="M224" s="10">
        <v>0.14000000000000001</v>
      </c>
      <c r="N224" s="11" t="str">
        <f t="shared" si="10"/>
        <v>Winter</v>
      </c>
      <c r="O224" s="11" t="str">
        <f t="shared" si="11"/>
        <v>Weekend</v>
      </c>
      <c r="P224" s="11">
        <f>VLOOKUP(A224,[1]Sheet1!$A:$H,2, FALSE)</f>
        <v>0.1212</v>
      </c>
      <c r="Q224" s="40">
        <f>Table1[[#This Row],[A_Temperature]]*41</f>
        <v>4.9691999999999998</v>
      </c>
      <c r="R224" s="11">
        <f>VLOOKUP(A224,[1]Sheet1!$A:$G,3,FALSE)</f>
        <v>0.5</v>
      </c>
      <c r="S224" s="11">
        <f>VLOOKUP(A224,[1]Sheet1!$A:$G,4,FALSE)</f>
        <v>0.29849999999999999</v>
      </c>
      <c r="T224" s="11">
        <f>VLOOKUP(A224,[1]Sheet1!$A:$G,5,FALSE)</f>
        <v>0</v>
      </c>
      <c r="U224" s="11">
        <f>VLOOKUP(A224,[1]Sheet1!$A:$G,6,FALSE)</f>
        <v>31</v>
      </c>
      <c r="V224" s="18">
        <f>VLOOKUP(A224,[1]Sheet1!$A:$G,7,FALSE)</f>
        <v>31</v>
      </c>
    </row>
    <row r="225" spans="1:22" s="13" customFormat="1" ht="30" customHeight="1">
      <c r="A225" s="17">
        <v>221</v>
      </c>
      <c r="B225" s="8">
        <v>40817</v>
      </c>
      <c r="C225" s="8" t="str">
        <f t="shared" si="12"/>
        <v>Saturday</v>
      </c>
      <c r="D225" s="9">
        <v>1</v>
      </c>
      <c r="E225" s="9">
        <v>0</v>
      </c>
      <c r="F225" s="9">
        <v>1</v>
      </c>
      <c r="G225" s="7">
        <v>11</v>
      </c>
      <c r="H225" s="9" t="b">
        <v>0</v>
      </c>
      <c r="I225" s="9">
        <v>1</v>
      </c>
      <c r="J225" s="38" t="str">
        <f>CHOOSE(Table1[[#This Row],[Weekday]]+1,"Sunday","Monday","Tuesday","Wednesday","Thursday","Friday","Saturday")</f>
        <v>Monday</v>
      </c>
      <c r="K225" s="9">
        <v>2</v>
      </c>
      <c r="L225" s="38" t="str">
        <f>IF(Table1[[#This Row],[Weather_code]]=1,"Clear",IF(Table1[[#This Row],[Weather_code]]=2,"Cloudy",IF(Table1[[#This Row],[Weather_code]]=3,"Light Rain",IF(Table1[[#This Row],[Weather_code]]=4,"Heavy Rain"))))</f>
        <v>Cloudy</v>
      </c>
      <c r="M225" s="10">
        <v>0.16</v>
      </c>
      <c r="N225" s="11" t="str">
        <f t="shared" si="10"/>
        <v>Winter</v>
      </c>
      <c r="O225" s="11" t="str">
        <f t="shared" si="11"/>
        <v>Weekend</v>
      </c>
      <c r="P225" s="11">
        <f>VLOOKUP(A225,[1]Sheet1!$A:$H,2, FALSE)</f>
        <v>0.13639999999999999</v>
      </c>
      <c r="Q225" s="40">
        <f>Table1[[#This Row],[A_Temperature]]*41</f>
        <v>5.5923999999999996</v>
      </c>
      <c r="R225" s="11">
        <f>VLOOKUP(A225,[1]Sheet1!$A:$G,3,FALSE)</f>
        <v>0.47</v>
      </c>
      <c r="S225" s="11">
        <f>VLOOKUP(A225,[1]Sheet1!$A:$G,4,FALSE)</f>
        <v>0.28360000000000002</v>
      </c>
      <c r="T225" s="11">
        <f>VLOOKUP(A225,[1]Sheet1!$A:$G,5,FALSE)</f>
        <v>2</v>
      </c>
      <c r="U225" s="11">
        <f>VLOOKUP(A225,[1]Sheet1!$A:$G,6,FALSE)</f>
        <v>28</v>
      </c>
      <c r="V225" s="18">
        <f>VLOOKUP(A225,[1]Sheet1!$A:$G,7,FALSE)</f>
        <v>30</v>
      </c>
    </row>
    <row r="226" spans="1:22" s="13" customFormat="1" ht="30" customHeight="1">
      <c r="A226" s="17">
        <v>222</v>
      </c>
      <c r="B226" s="8">
        <v>40817</v>
      </c>
      <c r="C226" s="8" t="str">
        <f t="shared" si="12"/>
        <v>Saturday</v>
      </c>
      <c r="D226" s="9">
        <v>1</v>
      </c>
      <c r="E226" s="9">
        <v>0</v>
      </c>
      <c r="F226" s="9">
        <v>1</v>
      </c>
      <c r="G226" s="7">
        <v>12</v>
      </c>
      <c r="H226" s="9" t="b">
        <v>0</v>
      </c>
      <c r="I226" s="9">
        <v>1</v>
      </c>
      <c r="J226" s="38" t="str">
        <f>CHOOSE(Table1[[#This Row],[Weekday]]+1,"Sunday","Monday","Tuesday","Wednesday","Thursday","Friday","Saturday")</f>
        <v>Monday</v>
      </c>
      <c r="K226" s="9">
        <v>2</v>
      </c>
      <c r="L226" s="38" t="str">
        <f>IF(Table1[[#This Row],[Weather_code]]=1,"Clear",IF(Table1[[#This Row],[Weather_code]]=2,"Cloudy",IF(Table1[[#This Row],[Weather_code]]=3,"Light Rain",IF(Table1[[#This Row],[Weather_code]]=4,"Heavy Rain"))))</f>
        <v>Cloudy</v>
      </c>
      <c r="M226" s="10">
        <v>0.2</v>
      </c>
      <c r="N226" s="11" t="str">
        <f t="shared" si="10"/>
        <v>Winter</v>
      </c>
      <c r="O226" s="11" t="str">
        <f t="shared" si="11"/>
        <v>Weekend</v>
      </c>
      <c r="P226" s="11">
        <f>VLOOKUP(A226,[1]Sheet1!$A:$H,2, FALSE)</f>
        <v>0.18179999999999999</v>
      </c>
      <c r="Q226" s="40">
        <f>Table1[[#This Row],[A_Temperature]]*41</f>
        <v>7.4537999999999993</v>
      </c>
      <c r="R226" s="11">
        <f>VLOOKUP(A226,[1]Sheet1!$A:$G,3,FALSE)</f>
        <v>0.4</v>
      </c>
      <c r="S226" s="11">
        <f>VLOOKUP(A226,[1]Sheet1!$A:$G,4,FALSE)</f>
        <v>0.28360000000000002</v>
      </c>
      <c r="T226" s="11">
        <f>VLOOKUP(A226,[1]Sheet1!$A:$G,5,FALSE)</f>
        <v>5</v>
      </c>
      <c r="U226" s="11">
        <f>VLOOKUP(A226,[1]Sheet1!$A:$G,6,FALSE)</f>
        <v>47</v>
      </c>
      <c r="V226" s="18">
        <f>VLOOKUP(A226,[1]Sheet1!$A:$G,7,FALSE)</f>
        <v>52</v>
      </c>
    </row>
    <row r="227" spans="1:22" s="13" customFormat="1" ht="30" customHeight="1">
      <c r="A227" s="17">
        <v>223</v>
      </c>
      <c r="B227" s="8">
        <v>40817</v>
      </c>
      <c r="C227" s="8" t="str">
        <f t="shared" si="12"/>
        <v>Saturday</v>
      </c>
      <c r="D227" s="9">
        <v>1</v>
      </c>
      <c r="E227" s="9">
        <v>0</v>
      </c>
      <c r="F227" s="9">
        <v>1</v>
      </c>
      <c r="G227" s="7">
        <v>13</v>
      </c>
      <c r="H227" s="9" t="b">
        <v>0</v>
      </c>
      <c r="I227" s="9">
        <v>1</v>
      </c>
      <c r="J227" s="38" t="str">
        <f>CHOOSE(Table1[[#This Row],[Weekday]]+1,"Sunday","Monday","Tuesday","Wednesday","Thursday","Friday","Saturday")</f>
        <v>Monday</v>
      </c>
      <c r="K227" s="9">
        <v>2</v>
      </c>
      <c r="L227" s="38" t="str">
        <f>IF(Table1[[#This Row],[Weather_code]]=1,"Clear",IF(Table1[[#This Row],[Weather_code]]=2,"Cloudy",IF(Table1[[#This Row],[Weather_code]]=3,"Light Rain",IF(Table1[[#This Row],[Weather_code]]=4,"Heavy Rain"))))</f>
        <v>Cloudy</v>
      </c>
      <c r="M227" s="10">
        <v>0.2</v>
      </c>
      <c r="N227" s="11" t="str">
        <f t="shared" si="10"/>
        <v>Winter</v>
      </c>
      <c r="O227" s="11" t="str">
        <f t="shared" si="11"/>
        <v>Weekend</v>
      </c>
      <c r="P227" s="11">
        <f>VLOOKUP(A227,[1]Sheet1!$A:$H,2, FALSE)</f>
        <v>0.18179999999999999</v>
      </c>
      <c r="Q227" s="40">
        <f>Table1[[#This Row],[A_Temperature]]*41</f>
        <v>7.4537999999999993</v>
      </c>
      <c r="R227" s="11">
        <f>VLOOKUP(A227,[1]Sheet1!$A:$G,3,FALSE)</f>
        <v>0.4</v>
      </c>
      <c r="S227" s="11">
        <f>VLOOKUP(A227,[1]Sheet1!$A:$G,4,FALSE)</f>
        <v>0.28360000000000002</v>
      </c>
      <c r="T227" s="11">
        <f>VLOOKUP(A227,[1]Sheet1!$A:$G,5,FALSE)</f>
        <v>4</v>
      </c>
      <c r="U227" s="11">
        <f>VLOOKUP(A227,[1]Sheet1!$A:$G,6,FALSE)</f>
        <v>50</v>
      </c>
      <c r="V227" s="18">
        <f>VLOOKUP(A227,[1]Sheet1!$A:$G,7,FALSE)</f>
        <v>54</v>
      </c>
    </row>
    <row r="228" spans="1:22" s="13" customFormat="1" ht="30" customHeight="1">
      <c r="A228" s="17">
        <v>224</v>
      </c>
      <c r="B228" s="8">
        <v>40817</v>
      </c>
      <c r="C228" s="8" t="str">
        <f t="shared" si="12"/>
        <v>Saturday</v>
      </c>
      <c r="D228" s="9">
        <v>1</v>
      </c>
      <c r="E228" s="9">
        <v>0</v>
      </c>
      <c r="F228" s="9">
        <v>1</v>
      </c>
      <c r="G228" s="7">
        <v>14</v>
      </c>
      <c r="H228" s="9" t="b">
        <v>0</v>
      </c>
      <c r="I228" s="9">
        <v>1</v>
      </c>
      <c r="J228" s="38" t="str">
        <f>CHOOSE(Table1[[#This Row],[Weekday]]+1,"Sunday","Monday","Tuesday","Wednesday","Thursday","Friday","Saturday")</f>
        <v>Monday</v>
      </c>
      <c r="K228" s="9">
        <v>2</v>
      </c>
      <c r="L228" s="38" t="str">
        <f>IF(Table1[[#This Row],[Weather_code]]=1,"Clear",IF(Table1[[#This Row],[Weather_code]]=2,"Cloudy",IF(Table1[[#This Row],[Weather_code]]=3,"Light Rain",IF(Table1[[#This Row],[Weather_code]]=4,"Heavy Rain"))))</f>
        <v>Cloudy</v>
      </c>
      <c r="M228" s="10">
        <v>0.2</v>
      </c>
      <c r="N228" s="11" t="str">
        <f t="shared" si="10"/>
        <v>Winter</v>
      </c>
      <c r="O228" s="11" t="str">
        <f t="shared" si="11"/>
        <v>Weekend</v>
      </c>
      <c r="P228" s="11">
        <f>VLOOKUP(A228,[1]Sheet1!$A:$H,2, FALSE)</f>
        <v>0.19700000000000001</v>
      </c>
      <c r="Q228" s="40">
        <f>Table1[[#This Row],[A_Temperature]]*41</f>
        <v>8.077</v>
      </c>
      <c r="R228" s="11">
        <f>VLOOKUP(A228,[1]Sheet1!$A:$G,3,FALSE)</f>
        <v>0.4</v>
      </c>
      <c r="S228" s="11">
        <f>VLOOKUP(A228,[1]Sheet1!$A:$G,4,FALSE)</f>
        <v>0.22389999999999999</v>
      </c>
      <c r="T228" s="11">
        <f>VLOOKUP(A228,[1]Sheet1!$A:$G,5,FALSE)</f>
        <v>0</v>
      </c>
      <c r="U228" s="11">
        <f>VLOOKUP(A228,[1]Sheet1!$A:$G,6,FALSE)</f>
        <v>47</v>
      </c>
      <c r="V228" s="18">
        <f>VLOOKUP(A228,[1]Sheet1!$A:$G,7,FALSE)</f>
        <v>47</v>
      </c>
    </row>
    <row r="229" spans="1:22" s="13" customFormat="1" ht="30" customHeight="1">
      <c r="A229" s="17">
        <v>225</v>
      </c>
      <c r="B229" s="8">
        <v>40817</v>
      </c>
      <c r="C229" s="8" t="str">
        <f t="shared" si="12"/>
        <v>Saturday</v>
      </c>
      <c r="D229" s="9">
        <v>1</v>
      </c>
      <c r="E229" s="9">
        <v>0</v>
      </c>
      <c r="F229" s="9">
        <v>1</v>
      </c>
      <c r="G229" s="7">
        <v>15</v>
      </c>
      <c r="H229" s="9" t="b">
        <v>0</v>
      </c>
      <c r="I229" s="9">
        <v>1</v>
      </c>
      <c r="J229" s="38" t="str">
        <f>CHOOSE(Table1[[#This Row],[Weekday]]+1,"Sunday","Monday","Tuesday","Wednesday","Thursday","Friday","Saturday")</f>
        <v>Monday</v>
      </c>
      <c r="K229" s="9">
        <v>2</v>
      </c>
      <c r="L229" s="38" t="str">
        <f>IF(Table1[[#This Row],[Weather_code]]=1,"Clear",IF(Table1[[#This Row],[Weather_code]]=2,"Cloudy",IF(Table1[[#This Row],[Weather_code]]=3,"Light Rain",IF(Table1[[#This Row],[Weather_code]]=4,"Heavy Rain"))))</f>
        <v>Cloudy</v>
      </c>
      <c r="M229" s="10">
        <v>0.2</v>
      </c>
      <c r="N229" s="11" t="str">
        <f t="shared" si="10"/>
        <v>Winter</v>
      </c>
      <c r="O229" s="11" t="str">
        <f t="shared" si="11"/>
        <v>Weekend</v>
      </c>
      <c r="P229" s="11">
        <f>VLOOKUP(A229,[1]Sheet1!$A:$H,2, FALSE)</f>
        <v>0.19700000000000001</v>
      </c>
      <c r="Q229" s="40">
        <f>Table1[[#This Row],[A_Temperature]]*41</f>
        <v>8.077</v>
      </c>
      <c r="R229" s="11">
        <f>VLOOKUP(A229,[1]Sheet1!$A:$G,3,FALSE)</f>
        <v>0.4</v>
      </c>
      <c r="S229" s="11">
        <f>VLOOKUP(A229,[1]Sheet1!$A:$G,4,FALSE)</f>
        <v>0.22389999999999999</v>
      </c>
      <c r="T229" s="11">
        <f>VLOOKUP(A229,[1]Sheet1!$A:$G,5,FALSE)</f>
        <v>2</v>
      </c>
      <c r="U229" s="11">
        <f>VLOOKUP(A229,[1]Sheet1!$A:$G,6,FALSE)</f>
        <v>43</v>
      </c>
      <c r="V229" s="18">
        <f>VLOOKUP(A229,[1]Sheet1!$A:$G,7,FALSE)</f>
        <v>45</v>
      </c>
    </row>
    <row r="230" spans="1:22" s="13" customFormat="1" ht="30" customHeight="1">
      <c r="A230" s="17">
        <v>226</v>
      </c>
      <c r="B230" s="8">
        <v>40817</v>
      </c>
      <c r="C230" s="8" t="str">
        <f t="shared" si="12"/>
        <v>Saturday</v>
      </c>
      <c r="D230" s="9">
        <v>1</v>
      </c>
      <c r="E230" s="9">
        <v>0</v>
      </c>
      <c r="F230" s="9">
        <v>1</v>
      </c>
      <c r="G230" s="7">
        <v>16</v>
      </c>
      <c r="H230" s="9" t="b">
        <v>0</v>
      </c>
      <c r="I230" s="9">
        <v>1</v>
      </c>
      <c r="J230" s="38" t="str">
        <f>CHOOSE(Table1[[#This Row],[Weekday]]+1,"Sunday","Monday","Tuesday","Wednesday","Thursday","Friday","Saturday")</f>
        <v>Monday</v>
      </c>
      <c r="K230" s="9">
        <v>1</v>
      </c>
      <c r="L230" s="38" t="str">
        <f>IF(Table1[[#This Row],[Weather_code]]=1,"Clear",IF(Table1[[#This Row],[Weather_code]]=2,"Cloudy",IF(Table1[[#This Row],[Weather_code]]=3,"Light Rain",IF(Table1[[#This Row],[Weather_code]]=4,"Heavy Rain"))))</f>
        <v>Clear</v>
      </c>
      <c r="M230" s="10">
        <v>0.2</v>
      </c>
      <c r="N230" s="11" t="str">
        <f t="shared" si="10"/>
        <v>Winter</v>
      </c>
      <c r="O230" s="11" t="str">
        <f t="shared" si="11"/>
        <v>Weekend</v>
      </c>
      <c r="P230" s="11">
        <f>VLOOKUP(A230,[1]Sheet1!$A:$H,2, FALSE)</f>
        <v>0.21210000000000001</v>
      </c>
      <c r="Q230" s="40">
        <f>Table1[[#This Row],[A_Temperature]]*41</f>
        <v>8.6961000000000013</v>
      </c>
      <c r="R230" s="11">
        <f>VLOOKUP(A230,[1]Sheet1!$A:$G,3,FALSE)</f>
        <v>0.4</v>
      </c>
      <c r="S230" s="11">
        <f>VLOOKUP(A230,[1]Sheet1!$A:$G,4,FALSE)</f>
        <v>0.1343</v>
      </c>
      <c r="T230" s="11">
        <f>VLOOKUP(A230,[1]Sheet1!$A:$G,5,FALSE)</f>
        <v>4</v>
      </c>
      <c r="U230" s="11">
        <f>VLOOKUP(A230,[1]Sheet1!$A:$G,6,FALSE)</f>
        <v>70</v>
      </c>
      <c r="V230" s="18">
        <f>VLOOKUP(A230,[1]Sheet1!$A:$G,7,FALSE)</f>
        <v>74</v>
      </c>
    </row>
    <row r="231" spans="1:22" s="13" customFormat="1" ht="30" customHeight="1">
      <c r="A231" s="17">
        <v>227</v>
      </c>
      <c r="B231" s="8">
        <v>40817</v>
      </c>
      <c r="C231" s="8" t="str">
        <f t="shared" si="12"/>
        <v>Saturday</v>
      </c>
      <c r="D231" s="9">
        <v>1</v>
      </c>
      <c r="E231" s="9">
        <v>0</v>
      </c>
      <c r="F231" s="9">
        <v>1</v>
      </c>
      <c r="G231" s="7">
        <v>17</v>
      </c>
      <c r="H231" s="9" t="b">
        <v>0</v>
      </c>
      <c r="I231" s="9">
        <v>1</v>
      </c>
      <c r="J231" s="38" t="str">
        <f>CHOOSE(Table1[[#This Row],[Weekday]]+1,"Sunday","Monday","Tuesday","Wednesday","Thursday","Friday","Saturday")</f>
        <v>Monday</v>
      </c>
      <c r="K231" s="9">
        <v>1</v>
      </c>
      <c r="L231" s="38" t="str">
        <f>IF(Table1[[#This Row],[Weather_code]]=1,"Clear",IF(Table1[[#This Row],[Weather_code]]=2,"Cloudy",IF(Table1[[#This Row],[Weather_code]]=3,"Light Rain",IF(Table1[[#This Row],[Weather_code]]=4,"Heavy Rain"))))</f>
        <v>Clear</v>
      </c>
      <c r="M231" s="10">
        <v>0.2</v>
      </c>
      <c r="N231" s="11" t="str">
        <f t="shared" si="10"/>
        <v>Winter</v>
      </c>
      <c r="O231" s="11" t="str">
        <f t="shared" si="11"/>
        <v>Weekend</v>
      </c>
      <c r="P231" s="11">
        <f>VLOOKUP(A231,[1]Sheet1!$A:$H,2, FALSE)</f>
        <v>0.2273</v>
      </c>
      <c r="Q231" s="40">
        <f>Table1[[#This Row],[A_Temperature]]*41</f>
        <v>9.3193000000000001</v>
      </c>
      <c r="R231" s="11">
        <f>VLOOKUP(A231,[1]Sheet1!$A:$G,3,FALSE)</f>
        <v>0.4</v>
      </c>
      <c r="S231" s="11">
        <f>VLOOKUP(A231,[1]Sheet1!$A:$G,4,FALSE)</f>
        <v>0.1045</v>
      </c>
      <c r="T231" s="11">
        <f>VLOOKUP(A231,[1]Sheet1!$A:$G,5,FALSE)</f>
        <v>4</v>
      </c>
      <c r="U231" s="11">
        <f>VLOOKUP(A231,[1]Sheet1!$A:$G,6,FALSE)</f>
        <v>174</v>
      </c>
      <c r="V231" s="18">
        <f>VLOOKUP(A231,[1]Sheet1!$A:$G,7,FALSE)</f>
        <v>178</v>
      </c>
    </row>
    <row r="232" spans="1:22" s="13" customFormat="1" ht="30" customHeight="1">
      <c r="A232" s="17">
        <v>228</v>
      </c>
      <c r="B232" s="8">
        <v>40817</v>
      </c>
      <c r="C232" s="8" t="str">
        <f t="shared" si="12"/>
        <v>Saturday</v>
      </c>
      <c r="D232" s="9">
        <v>1</v>
      </c>
      <c r="E232" s="9">
        <v>0</v>
      </c>
      <c r="F232" s="9">
        <v>1</v>
      </c>
      <c r="G232" s="7">
        <v>18</v>
      </c>
      <c r="H232" s="9" t="b">
        <v>0</v>
      </c>
      <c r="I232" s="9">
        <v>1</v>
      </c>
      <c r="J232" s="38" t="str">
        <f>CHOOSE(Table1[[#This Row],[Weekday]]+1,"Sunday","Monday","Tuesday","Wednesday","Thursday","Friday","Saturday")</f>
        <v>Monday</v>
      </c>
      <c r="K232" s="9">
        <v>1</v>
      </c>
      <c r="L232" s="38" t="str">
        <f>IF(Table1[[#This Row],[Weather_code]]=1,"Clear",IF(Table1[[#This Row],[Weather_code]]=2,"Cloudy",IF(Table1[[#This Row],[Weather_code]]=3,"Light Rain",IF(Table1[[#This Row],[Weather_code]]=4,"Heavy Rain"))))</f>
        <v>Clear</v>
      </c>
      <c r="M232" s="10">
        <v>0.2</v>
      </c>
      <c r="N232" s="11" t="str">
        <f t="shared" si="10"/>
        <v>Winter</v>
      </c>
      <c r="O232" s="11" t="str">
        <f t="shared" si="11"/>
        <v>Weekend</v>
      </c>
      <c r="P232" s="11">
        <f>VLOOKUP(A232,[1]Sheet1!$A:$H,2, FALSE)</f>
        <v>0.19700000000000001</v>
      </c>
      <c r="Q232" s="40">
        <f>Table1[[#This Row],[A_Temperature]]*41</f>
        <v>8.077</v>
      </c>
      <c r="R232" s="11">
        <f>VLOOKUP(A232,[1]Sheet1!$A:$G,3,FALSE)</f>
        <v>0.4</v>
      </c>
      <c r="S232" s="11">
        <f>VLOOKUP(A232,[1]Sheet1!$A:$G,4,FALSE)</f>
        <v>0.22389999999999999</v>
      </c>
      <c r="T232" s="11">
        <f>VLOOKUP(A232,[1]Sheet1!$A:$G,5,FALSE)</f>
        <v>1</v>
      </c>
      <c r="U232" s="11">
        <f>VLOOKUP(A232,[1]Sheet1!$A:$G,6,FALSE)</f>
        <v>154</v>
      </c>
      <c r="V232" s="18">
        <f>VLOOKUP(A232,[1]Sheet1!$A:$G,7,FALSE)</f>
        <v>155</v>
      </c>
    </row>
    <row r="233" spans="1:22" s="13" customFormat="1" ht="30" customHeight="1">
      <c r="A233" s="17">
        <v>229</v>
      </c>
      <c r="B233" s="8">
        <v>40817</v>
      </c>
      <c r="C233" s="8" t="str">
        <f t="shared" si="12"/>
        <v>Saturday</v>
      </c>
      <c r="D233" s="9">
        <v>1</v>
      </c>
      <c r="E233" s="9">
        <v>0</v>
      </c>
      <c r="F233" s="9">
        <v>1</v>
      </c>
      <c r="G233" s="7">
        <v>19</v>
      </c>
      <c r="H233" s="9" t="b">
        <v>0</v>
      </c>
      <c r="I233" s="9">
        <v>1</v>
      </c>
      <c r="J233" s="38" t="str">
        <f>CHOOSE(Table1[[#This Row],[Weekday]]+1,"Sunday","Monday","Tuesday","Wednesday","Thursday","Friday","Saturday")</f>
        <v>Monday</v>
      </c>
      <c r="K233" s="9">
        <v>1</v>
      </c>
      <c r="L233" s="38" t="str">
        <f>IF(Table1[[#This Row],[Weather_code]]=1,"Clear",IF(Table1[[#This Row],[Weather_code]]=2,"Cloudy",IF(Table1[[#This Row],[Weather_code]]=3,"Light Rain",IF(Table1[[#This Row],[Weather_code]]=4,"Heavy Rain"))))</f>
        <v>Clear</v>
      </c>
      <c r="M233" s="10">
        <v>0.16</v>
      </c>
      <c r="N233" s="11" t="str">
        <f t="shared" si="10"/>
        <v>Winter</v>
      </c>
      <c r="O233" s="11" t="str">
        <f t="shared" si="11"/>
        <v>Weekend</v>
      </c>
      <c r="P233" s="11">
        <f>VLOOKUP(A233,[1]Sheet1!$A:$H,2, FALSE)</f>
        <v>0.16669999999999999</v>
      </c>
      <c r="Q233" s="40">
        <f>Table1[[#This Row],[A_Temperature]]*41</f>
        <v>6.8346999999999998</v>
      </c>
      <c r="R233" s="11">
        <f>VLOOKUP(A233,[1]Sheet1!$A:$G,3,FALSE)</f>
        <v>0.47</v>
      </c>
      <c r="S233" s="11">
        <f>VLOOKUP(A233,[1]Sheet1!$A:$G,4,FALSE)</f>
        <v>0.16420000000000001</v>
      </c>
      <c r="T233" s="11">
        <f>VLOOKUP(A233,[1]Sheet1!$A:$G,5,FALSE)</f>
        <v>3</v>
      </c>
      <c r="U233" s="11">
        <f>VLOOKUP(A233,[1]Sheet1!$A:$G,6,FALSE)</f>
        <v>92</v>
      </c>
      <c r="V233" s="18">
        <f>VLOOKUP(A233,[1]Sheet1!$A:$G,7,FALSE)</f>
        <v>95</v>
      </c>
    </row>
    <row r="234" spans="1:22" s="13" customFormat="1" ht="30" customHeight="1">
      <c r="A234" s="17">
        <v>230</v>
      </c>
      <c r="B234" s="8">
        <v>40817</v>
      </c>
      <c r="C234" s="8" t="str">
        <f t="shared" si="12"/>
        <v>Saturday</v>
      </c>
      <c r="D234" s="9">
        <v>1</v>
      </c>
      <c r="E234" s="9">
        <v>0</v>
      </c>
      <c r="F234" s="9">
        <v>1</v>
      </c>
      <c r="G234" s="7">
        <v>20</v>
      </c>
      <c r="H234" s="9" t="b">
        <v>0</v>
      </c>
      <c r="I234" s="9">
        <v>1</v>
      </c>
      <c r="J234" s="38" t="str">
        <f>CHOOSE(Table1[[#This Row],[Weekday]]+1,"Sunday","Monday","Tuesday","Wednesday","Thursday","Friday","Saturday")</f>
        <v>Monday</v>
      </c>
      <c r="K234" s="9">
        <v>1</v>
      </c>
      <c r="L234" s="38" t="str">
        <f>IF(Table1[[#This Row],[Weather_code]]=1,"Clear",IF(Table1[[#This Row],[Weather_code]]=2,"Cloudy",IF(Table1[[#This Row],[Weather_code]]=3,"Light Rain",IF(Table1[[#This Row],[Weather_code]]=4,"Heavy Rain"))))</f>
        <v>Clear</v>
      </c>
      <c r="M234" s="10">
        <v>0.16</v>
      </c>
      <c r="N234" s="11" t="str">
        <f t="shared" si="10"/>
        <v>Winter</v>
      </c>
      <c r="O234" s="11" t="str">
        <f t="shared" si="11"/>
        <v>Weekend</v>
      </c>
      <c r="P234" s="11">
        <f>VLOOKUP(A234,[1]Sheet1!$A:$H,2, FALSE)</f>
        <v>0.16669999999999999</v>
      </c>
      <c r="Q234" s="40">
        <f>Table1[[#This Row],[A_Temperature]]*41</f>
        <v>6.8346999999999998</v>
      </c>
      <c r="R234" s="11">
        <f>VLOOKUP(A234,[1]Sheet1!$A:$G,3,FALSE)</f>
        <v>0.5</v>
      </c>
      <c r="S234" s="11">
        <f>VLOOKUP(A234,[1]Sheet1!$A:$G,4,FALSE)</f>
        <v>0.16420000000000001</v>
      </c>
      <c r="T234" s="11">
        <f>VLOOKUP(A234,[1]Sheet1!$A:$G,5,FALSE)</f>
        <v>1</v>
      </c>
      <c r="U234" s="11">
        <f>VLOOKUP(A234,[1]Sheet1!$A:$G,6,FALSE)</f>
        <v>73</v>
      </c>
      <c r="V234" s="18">
        <f>VLOOKUP(A234,[1]Sheet1!$A:$G,7,FALSE)</f>
        <v>74</v>
      </c>
    </row>
    <row r="235" spans="1:22" s="13" customFormat="1" ht="30" customHeight="1">
      <c r="A235" s="17">
        <v>231</v>
      </c>
      <c r="B235" s="8">
        <v>40817</v>
      </c>
      <c r="C235" s="8" t="str">
        <f t="shared" si="12"/>
        <v>Saturday</v>
      </c>
      <c r="D235" s="9">
        <v>1</v>
      </c>
      <c r="E235" s="9">
        <v>0</v>
      </c>
      <c r="F235" s="9">
        <v>1</v>
      </c>
      <c r="G235" s="7">
        <v>21</v>
      </c>
      <c r="H235" s="9" t="b">
        <v>0</v>
      </c>
      <c r="I235" s="9">
        <v>1</v>
      </c>
      <c r="J235" s="38" t="str">
        <f>CHOOSE(Table1[[#This Row],[Weekday]]+1,"Sunday","Monday","Tuesday","Wednesday","Thursday","Friday","Saturday")</f>
        <v>Monday</v>
      </c>
      <c r="K235" s="9">
        <v>1</v>
      </c>
      <c r="L235" s="38" t="str">
        <f>IF(Table1[[#This Row],[Weather_code]]=1,"Clear",IF(Table1[[#This Row],[Weather_code]]=2,"Cloudy",IF(Table1[[#This Row],[Weather_code]]=3,"Light Rain",IF(Table1[[#This Row],[Weather_code]]=4,"Heavy Rain"))))</f>
        <v>Clear</v>
      </c>
      <c r="M235" s="10">
        <v>0.14000000000000001</v>
      </c>
      <c r="N235" s="11" t="str">
        <f t="shared" si="10"/>
        <v>Winter</v>
      </c>
      <c r="O235" s="11" t="str">
        <f t="shared" si="11"/>
        <v>Weekend</v>
      </c>
      <c r="P235" s="11">
        <f>VLOOKUP(A235,[1]Sheet1!$A:$H,2, FALSE)</f>
        <v>0.13639999999999999</v>
      </c>
      <c r="Q235" s="40">
        <f>Table1[[#This Row],[A_Temperature]]*41</f>
        <v>5.5923999999999996</v>
      </c>
      <c r="R235" s="11">
        <f>VLOOKUP(A235,[1]Sheet1!$A:$G,3,FALSE)</f>
        <v>0.59</v>
      </c>
      <c r="S235" s="11">
        <f>VLOOKUP(A235,[1]Sheet1!$A:$G,4,FALSE)</f>
        <v>0.19400000000000001</v>
      </c>
      <c r="T235" s="11">
        <f>VLOOKUP(A235,[1]Sheet1!$A:$G,5,FALSE)</f>
        <v>1</v>
      </c>
      <c r="U235" s="11">
        <f>VLOOKUP(A235,[1]Sheet1!$A:$G,6,FALSE)</f>
        <v>37</v>
      </c>
      <c r="V235" s="18">
        <f>VLOOKUP(A235,[1]Sheet1!$A:$G,7,FALSE)</f>
        <v>38</v>
      </c>
    </row>
    <row r="236" spans="1:22" s="13" customFormat="1" ht="30" customHeight="1">
      <c r="A236" s="17">
        <v>232</v>
      </c>
      <c r="B236" s="8">
        <v>40817</v>
      </c>
      <c r="C236" s="8" t="str">
        <f t="shared" si="12"/>
        <v>Saturday</v>
      </c>
      <c r="D236" s="9">
        <v>1</v>
      </c>
      <c r="E236" s="9">
        <v>0</v>
      </c>
      <c r="F236" s="9">
        <v>1</v>
      </c>
      <c r="G236" s="7">
        <v>22</v>
      </c>
      <c r="H236" s="9" t="b">
        <v>0</v>
      </c>
      <c r="I236" s="9">
        <v>1</v>
      </c>
      <c r="J236" s="38" t="str">
        <f>CHOOSE(Table1[[#This Row],[Weekday]]+1,"Sunday","Monday","Tuesday","Wednesday","Thursday","Friday","Saturday")</f>
        <v>Monday</v>
      </c>
      <c r="K236" s="9">
        <v>1</v>
      </c>
      <c r="L236" s="38" t="str">
        <f>IF(Table1[[#This Row],[Weather_code]]=1,"Clear",IF(Table1[[#This Row],[Weather_code]]=2,"Cloudy",IF(Table1[[#This Row],[Weather_code]]=3,"Light Rain",IF(Table1[[#This Row],[Weather_code]]=4,"Heavy Rain"))))</f>
        <v>Clear</v>
      </c>
      <c r="M236" s="10">
        <v>0.14000000000000001</v>
      </c>
      <c r="N236" s="11" t="str">
        <f t="shared" si="10"/>
        <v>Winter</v>
      </c>
      <c r="O236" s="11" t="str">
        <f t="shared" si="11"/>
        <v>Weekend</v>
      </c>
      <c r="P236" s="11">
        <f>VLOOKUP(A236,[1]Sheet1!$A:$H,2, FALSE)</f>
        <v>0.1515</v>
      </c>
      <c r="Q236" s="40">
        <f>Table1[[#This Row],[A_Temperature]]*41</f>
        <v>6.2115</v>
      </c>
      <c r="R236" s="11">
        <f>VLOOKUP(A236,[1]Sheet1!$A:$G,3,FALSE)</f>
        <v>0.59</v>
      </c>
      <c r="S236" s="11">
        <f>VLOOKUP(A236,[1]Sheet1!$A:$G,4,FALSE)</f>
        <v>0.16420000000000001</v>
      </c>
      <c r="T236" s="11">
        <f>VLOOKUP(A236,[1]Sheet1!$A:$G,5,FALSE)</f>
        <v>2</v>
      </c>
      <c r="U236" s="11">
        <f>VLOOKUP(A236,[1]Sheet1!$A:$G,6,FALSE)</f>
        <v>22</v>
      </c>
      <c r="V236" s="18">
        <f>VLOOKUP(A236,[1]Sheet1!$A:$G,7,FALSE)</f>
        <v>24</v>
      </c>
    </row>
    <row r="237" spans="1:22" s="13" customFormat="1" ht="30" customHeight="1">
      <c r="A237" s="17">
        <v>233</v>
      </c>
      <c r="B237" s="8">
        <v>40817</v>
      </c>
      <c r="C237" s="8" t="str">
        <f t="shared" si="12"/>
        <v>Saturday</v>
      </c>
      <c r="D237" s="9">
        <v>1</v>
      </c>
      <c r="E237" s="9">
        <v>0</v>
      </c>
      <c r="F237" s="9">
        <v>1</v>
      </c>
      <c r="G237" s="7">
        <v>23</v>
      </c>
      <c r="H237" s="9" t="b">
        <v>0</v>
      </c>
      <c r="I237" s="9">
        <v>1</v>
      </c>
      <c r="J237" s="38" t="str">
        <f>CHOOSE(Table1[[#This Row],[Weekday]]+1,"Sunday","Monday","Tuesday","Wednesday","Thursday","Friday","Saturday")</f>
        <v>Monday</v>
      </c>
      <c r="K237" s="9">
        <v>1</v>
      </c>
      <c r="L237" s="38" t="str">
        <f>IF(Table1[[#This Row],[Weather_code]]=1,"Clear",IF(Table1[[#This Row],[Weather_code]]=2,"Cloudy",IF(Table1[[#This Row],[Weather_code]]=3,"Light Rain",IF(Table1[[#This Row],[Weather_code]]=4,"Heavy Rain"))))</f>
        <v>Clear</v>
      </c>
      <c r="M237" s="10">
        <v>0.14000000000000001</v>
      </c>
      <c r="N237" s="11" t="str">
        <f t="shared" si="10"/>
        <v>Winter</v>
      </c>
      <c r="O237" s="11" t="str">
        <f t="shared" si="11"/>
        <v>Weekend</v>
      </c>
      <c r="P237" s="11">
        <f>VLOOKUP(A237,[1]Sheet1!$A:$H,2, FALSE)</f>
        <v>0.1515</v>
      </c>
      <c r="Q237" s="40">
        <f>Table1[[#This Row],[A_Temperature]]*41</f>
        <v>6.2115</v>
      </c>
      <c r="R237" s="11">
        <f>VLOOKUP(A237,[1]Sheet1!$A:$G,3,FALSE)</f>
        <v>0.59</v>
      </c>
      <c r="S237" s="11">
        <f>VLOOKUP(A237,[1]Sheet1!$A:$G,4,FALSE)</f>
        <v>0.16420000000000001</v>
      </c>
      <c r="T237" s="11">
        <f>VLOOKUP(A237,[1]Sheet1!$A:$G,5,FALSE)</f>
        <v>0</v>
      </c>
      <c r="U237" s="11">
        <f>VLOOKUP(A237,[1]Sheet1!$A:$G,6,FALSE)</f>
        <v>18</v>
      </c>
      <c r="V237" s="18">
        <f>VLOOKUP(A237,[1]Sheet1!$A:$G,7,FALSE)</f>
        <v>18</v>
      </c>
    </row>
    <row r="238" spans="1:22" s="13" customFormat="1" ht="30" customHeight="1">
      <c r="A238" s="17">
        <v>234</v>
      </c>
      <c r="B238" s="8">
        <v>40848</v>
      </c>
      <c r="C238" s="8" t="str">
        <f t="shared" si="12"/>
        <v>Tuesday</v>
      </c>
      <c r="D238" s="9">
        <v>1</v>
      </c>
      <c r="E238" s="9">
        <v>0</v>
      </c>
      <c r="F238" s="9">
        <v>1</v>
      </c>
      <c r="G238" s="7">
        <v>0</v>
      </c>
      <c r="H238" s="9" t="b">
        <v>0</v>
      </c>
      <c r="I238" s="9">
        <v>2</v>
      </c>
      <c r="J238" s="38" t="str">
        <f>CHOOSE(Table1[[#This Row],[Weekday]]+1,"Sunday","Monday","Tuesday","Wednesday","Thursday","Friday","Saturday")</f>
        <v>Tuesday</v>
      </c>
      <c r="K238" s="9">
        <v>1</v>
      </c>
      <c r="L238" s="38" t="str">
        <f>IF(Table1[[#This Row],[Weather_code]]=1,"Clear",IF(Table1[[#This Row],[Weather_code]]=2,"Cloudy",IF(Table1[[#This Row],[Weather_code]]=3,"Light Rain",IF(Table1[[#This Row],[Weather_code]]=4,"Heavy Rain"))))</f>
        <v>Clear</v>
      </c>
      <c r="M238" s="10">
        <v>0.14000000000000001</v>
      </c>
      <c r="N238" s="11" t="str">
        <f t="shared" si="10"/>
        <v>Winter</v>
      </c>
      <c r="O238" s="11" t="str">
        <f t="shared" si="11"/>
        <v>Weekday</v>
      </c>
      <c r="P238" s="11">
        <f>VLOOKUP(A238,[1]Sheet1!$A:$H,2, FALSE)</f>
        <v>0.16669999999999999</v>
      </c>
      <c r="Q238" s="40">
        <f>Table1[[#This Row],[A_Temperature]]*41</f>
        <v>6.8346999999999998</v>
      </c>
      <c r="R238" s="11">
        <f>VLOOKUP(A238,[1]Sheet1!$A:$G,3,FALSE)</f>
        <v>0.59</v>
      </c>
      <c r="S238" s="11">
        <f>VLOOKUP(A238,[1]Sheet1!$A:$G,4,FALSE)</f>
        <v>0.1045</v>
      </c>
      <c r="T238" s="11">
        <f>VLOOKUP(A238,[1]Sheet1!$A:$G,5,FALSE)</f>
        <v>2</v>
      </c>
      <c r="U238" s="11">
        <f>VLOOKUP(A238,[1]Sheet1!$A:$G,6,FALSE)</f>
        <v>10</v>
      </c>
      <c r="V238" s="18">
        <f>VLOOKUP(A238,[1]Sheet1!$A:$G,7,FALSE)</f>
        <v>12</v>
      </c>
    </row>
    <row r="239" spans="1:22" s="13" customFormat="1" ht="30" customHeight="1">
      <c r="A239" s="17">
        <v>235</v>
      </c>
      <c r="B239" s="8">
        <v>40848</v>
      </c>
      <c r="C239" s="8" t="str">
        <f t="shared" si="12"/>
        <v>Tuesday</v>
      </c>
      <c r="D239" s="9">
        <v>1</v>
      </c>
      <c r="E239" s="9">
        <v>0</v>
      </c>
      <c r="F239" s="9">
        <v>1</v>
      </c>
      <c r="G239" s="7">
        <v>1</v>
      </c>
      <c r="H239" s="9" t="b">
        <v>0</v>
      </c>
      <c r="I239" s="9">
        <v>2</v>
      </c>
      <c r="J239" s="38" t="str">
        <f>CHOOSE(Table1[[#This Row],[Weekday]]+1,"Sunday","Monday","Tuesday","Wednesday","Thursday","Friday","Saturday")</f>
        <v>Tuesday</v>
      </c>
      <c r="K239" s="9">
        <v>1</v>
      </c>
      <c r="L239" s="38" t="str">
        <f>IF(Table1[[#This Row],[Weather_code]]=1,"Clear",IF(Table1[[#This Row],[Weather_code]]=2,"Cloudy",IF(Table1[[#This Row],[Weather_code]]=3,"Light Rain",IF(Table1[[#This Row],[Weather_code]]=4,"Heavy Rain"))))</f>
        <v>Clear</v>
      </c>
      <c r="M239" s="10">
        <v>0.14000000000000001</v>
      </c>
      <c r="N239" s="11" t="str">
        <f t="shared" si="10"/>
        <v>Winter</v>
      </c>
      <c r="O239" s="11" t="str">
        <f t="shared" si="11"/>
        <v>Weekday</v>
      </c>
      <c r="P239" s="11">
        <f>VLOOKUP(A239,[1]Sheet1!$A:$H,2, FALSE)</f>
        <v>0.1515</v>
      </c>
      <c r="Q239" s="40">
        <f>Table1[[#This Row],[A_Temperature]]*41</f>
        <v>6.2115</v>
      </c>
      <c r="R239" s="11">
        <f>VLOOKUP(A239,[1]Sheet1!$A:$G,3,FALSE)</f>
        <v>0.59</v>
      </c>
      <c r="S239" s="11">
        <f>VLOOKUP(A239,[1]Sheet1!$A:$G,4,FALSE)</f>
        <v>0.16420000000000001</v>
      </c>
      <c r="T239" s="11">
        <f>VLOOKUP(A239,[1]Sheet1!$A:$G,5,FALSE)</f>
        <v>0</v>
      </c>
      <c r="U239" s="11">
        <f>VLOOKUP(A239,[1]Sheet1!$A:$G,6,FALSE)</f>
        <v>3</v>
      </c>
      <c r="V239" s="18">
        <f>VLOOKUP(A239,[1]Sheet1!$A:$G,7,FALSE)</f>
        <v>3</v>
      </c>
    </row>
    <row r="240" spans="1:22" s="13" customFormat="1" ht="30" customHeight="1">
      <c r="A240" s="17">
        <v>236</v>
      </c>
      <c r="B240" s="8">
        <v>40848</v>
      </c>
      <c r="C240" s="8" t="str">
        <f t="shared" si="12"/>
        <v>Tuesday</v>
      </c>
      <c r="D240" s="9">
        <v>1</v>
      </c>
      <c r="E240" s="9">
        <v>0</v>
      </c>
      <c r="F240" s="9">
        <v>1</v>
      </c>
      <c r="G240" s="7">
        <v>2</v>
      </c>
      <c r="H240" s="9" t="b">
        <v>0</v>
      </c>
      <c r="I240" s="9">
        <v>2</v>
      </c>
      <c r="J240" s="38" t="str">
        <f>CHOOSE(Table1[[#This Row],[Weekday]]+1,"Sunday","Monday","Tuesday","Wednesday","Thursday","Friday","Saturday")</f>
        <v>Tuesday</v>
      </c>
      <c r="K240" s="9">
        <v>2</v>
      </c>
      <c r="L240" s="38" t="str">
        <f>IF(Table1[[#This Row],[Weather_code]]=1,"Clear",IF(Table1[[#This Row],[Weather_code]]=2,"Cloudy",IF(Table1[[#This Row],[Weather_code]]=3,"Light Rain",IF(Table1[[#This Row],[Weather_code]]=4,"Heavy Rain"))))</f>
        <v>Cloudy</v>
      </c>
      <c r="M240" s="10">
        <v>0.16</v>
      </c>
      <c r="N240" s="11" t="str">
        <f t="shared" si="10"/>
        <v>Winter</v>
      </c>
      <c r="O240" s="11" t="str">
        <f t="shared" si="11"/>
        <v>Weekday</v>
      </c>
      <c r="P240" s="11">
        <f>VLOOKUP(A240,[1]Sheet1!$A:$H,2, FALSE)</f>
        <v>0.1515</v>
      </c>
      <c r="Q240" s="40">
        <f>Table1[[#This Row],[A_Temperature]]*41</f>
        <v>6.2115</v>
      </c>
      <c r="R240" s="11">
        <f>VLOOKUP(A240,[1]Sheet1!$A:$G,3,FALSE)</f>
        <v>0.55000000000000004</v>
      </c>
      <c r="S240" s="11">
        <f>VLOOKUP(A240,[1]Sheet1!$A:$G,4,FALSE)</f>
        <v>0.19400000000000001</v>
      </c>
      <c r="T240" s="11">
        <f>VLOOKUP(A240,[1]Sheet1!$A:$G,5,FALSE)</f>
        <v>0</v>
      </c>
      <c r="U240" s="11">
        <f>VLOOKUP(A240,[1]Sheet1!$A:$G,6,FALSE)</f>
        <v>3</v>
      </c>
      <c r="V240" s="18">
        <f>VLOOKUP(A240,[1]Sheet1!$A:$G,7,FALSE)</f>
        <v>3</v>
      </c>
    </row>
    <row r="241" spans="1:22" s="13" customFormat="1" ht="30" customHeight="1">
      <c r="A241" s="17">
        <v>237</v>
      </c>
      <c r="B241" s="8">
        <v>40848</v>
      </c>
      <c r="C241" s="8" t="str">
        <f t="shared" si="12"/>
        <v>Tuesday</v>
      </c>
      <c r="D241" s="9">
        <v>1</v>
      </c>
      <c r="E241" s="9">
        <v>0</v>
      </c>
      <c r="F241" s="9">
        <v>1</v>
      </c>
      <c r="G241" s="7">
        <v>5</v>
      </c>
      <c r="H241" s="9" t="b">
        <v>0</v>
      </c>
      <c r="I241" s="9">
        <v>2</v>
      </c>
      <c r="J241" s="38" t="str">
        <f>CHOOSE(Table1[[#This Row],[Weekday]]+1,"Sunday","Monday","Tuesday","Wednesday","Thursday","Friday","Saturday")</f>
        <v>Tuesday</v>
      </c>
      <c r="K241" s="9">
        <v>2</v>
      </c>
      <c r="L241" s="38" t="str">
        <f>IF(Table1[[#This Row],[Weather_code]]=1,"Clear",IF(Table1[[#This Row],[Weather_code]]=2,"Cloudy",IF(Table1[[#This Row],[Weather_code]]=3,"Light Rain",IF(Table1[[#This Row],[Weather_code]]=4,"Heavy Rain"))))</f>
        <v>Cloudy</v>
      </c>
      <c r="M241" s="10">
        <v>0.16</v>
      </c>
      <c r="N241" s="11" t="str">
        <f t="shared" si="10"/>
        <v>Winter</v>
      </c>
      <c r="O241" s="11" t="str">
        <f t="shared" si="11"/>
        <v>Weekday</v>
      </c>
      <c r="P241" s="11">
        <f>VLOOKUP(A241,[1]Sheet1!$A:$H,2, FALSE)</f>
        <v>0.18179999999999999</v>
      </c>
      <c r="Q241" s="40">
        <f>Table1[[#This Row],[A_Temperature]]*41</f>
        <v>7.4537999999999993</v>
      </c>
      <c r="R241" s="11">
        <f>VLOOKUP(A241,[1]Sheet1!$A:$G,3,FALSE)</f>
        <v>0.55000000000000004</v>
      </c>
      <c r="S241" s="11">
        <f>VLOOKUP(A241,[1]Sheet1!$A:$G,4,FALSE)</f>
        <v>0.1343</v>
      </c>
      <c r="T241" s="11">
        <f>VLOOKUP(A241,[1]Sheet1!$A:$G,5,FALSE)</f>
        <v>0</v>
      </c>
      <c r="U241" s="11">
        <f>VLOOKUP(A241,[1]Sheet1!$A:$G,6,FALSE)</f>
        <v>6</v>
      </c>
      <c r="V241" s="18">
        <f>VLOOKUP(A241,[1]Sheet1!$A:$G,7,FALSE)</f>
        <v>6</v>
      </c>
    </row>
    <row r="242" spans="1:22" s="13" customFormat="1" ht="30" customHeight="1">
      <c r="A242" s="17">
        <v>238</v>
      </c>
      <c r="B242" s="8">
        <v>40848</v>
      </c>
      <c r="C242" s="8" t="str">
        <f t="shared" si="12"/>
        <v>Tuesday</v>
      </c>
      <c r="D242" s="9">
        <v>1</v>
      </c>
      <c r="E242" s="9">
        <v>0</v>
      </c>
      <c r="F242" s="9">
        <v>1</v>
      </c>
      <c r="G242" s="7">
        <v>6</v>
      </c>
      <c r="H242" s="9" t="b">
        <v>0</v>
      </c>
      <c r="I242" s="9">
        <v>2</v>
      </c>
      <c r="J242" s="38" t="str">
        <f>CHOOSE(Table1[[#This Row],[Weekday]]+1,"Sunday","Monday","Tuesday","Wednesday","Thursday","Friday","Saturday")</f>
        <v>Tuesday</v>
      </c>
      <c r="K242" s="9">
        <v>2</v>
      </c>
      <c r="L242" s="38" t="str">
        <f>IF(Table1[[#This Row],[Weather_code]]=1,"Clear",IF(Table1[[#This Row],[Weather_code]]=2,"Cloudy",IF(Table1[[#This Row],[Weather_code]]=3,"Light Rain",IF(Table1[[#This Row],[Weather_code]]=4,"Heavy Rain"))))</f>
        <v>Cloudy</v>
      </c>
      <c r="M242" s="10">
        <v>0.16</v>
      </c>
      <c r="N242" s="11" t="str">
        <f t="shared" si="10"/>
        <v>Winter</v>
      </c>
      <c r="O242" s="11" t="str">
        <f t="shared" si="11"/>
        <v>Weekday</v>
      </c>
      <c r="P242" s="11">
        <f>VLOOKUP(A242,[1]Sheet1!$A:$H,2, FALSE)</f>
        <v>0.18179999999999999</v>
      </c>
      <c r="Q242" s="40">
        <f>Table1[[#This Row],[A_Temperature]]*41</f>
        <v>7.4537999999999993</v>
      </c>
      <c r="R242" s="11">
        <f>VLOOKUP(A242,[1]Sheet1!$A:$G,3,FALSE)</f>
        <v>0.55000000000000004</v>
      </c>
      <c r="S242" s="11">
        <f>VLOOKUP(A242,[1]Sheet1!$A:$G,4,FALSE)</f>
        <v>0.1343</v>
      </c>
      <c r="T242" s="11">
        <f>VLOOKUP(A242,[1]Sheet1!$A:$G,5,FALSE)</f>
        <v>0</v>
      </c>
      <c r="U242" s="11">
        <f>VLOOKUP(A242,[1]Sheet1!$A:$G,6,FALSE)</f>
        <v>27</v>
      </c>
      <c r="V242" s="18">
        <f>VLOOKUP(A242,[1]Sheet1!$A:$G,7,FALSE)</f>
        <v>27</v>
      </c>
    </row>
    <row r="243" spans="1:22" s="13" customFormat="1" ht="30" customHeight="1">
      <c r="A243" s="17">
        <v>239</v>
      </c>
      <c r="B243" s="8">
        <v>40848</v>
      </c>
      <c r="C243" s="8" t="str">
        <f t="shared" si="12"/>
        <v>Tuesday</v>
      </c>
      <c r="D243" s="9">
        <v>1</v>
      </c>
      <c r="E243" s="9">
        <v>0</v>
      </c>
      <c r="F243" s="9">
        <v>1</v>
      </c>
      <c r="G243" s="7">
        <v>7</v>
      </c>
      <c r="H243" s="9" t="b">
        <v>0</v>
      </c>
      <c r="I243" s="9">
        <v>2</v>
      </c>
      <c r="J243" s="38" t="str">
        <f>CHOOSE(Table1[[#This Row],[Weekday]]+1,"Sunday","Monday","Tuesday","Wednesday","Thursday","Friday","Saturday")</f>
        <v>Tuesday</v>
      </c>
      <c r="K243" s="9">
        <v>2</v>
      </c>
      <c r="L243" s="38" t="str">
        <f>IF(Table1[[#This Row],[Weather_code]]=1,"Clear",IF(Table1[[#This Row],[Weather_code]]=2,"Cloudy",IF(Table1[[#This Row],[Weather_code]]=3,"Light Rain",IF(Table1[[#This Row],[Weather_code]]=4,"Heavy Rain"))))</f>
        <v>Cloudy</v>
      </c>
      <c r="M243" s="10">
        <v>0.16</v>
      </c>
      <c r="N243" s="11" t="str">
        <f t="shared" si="10"/>
        <v>Winter</v>
      </c>
      <c r="O243" s="11" t="str">
        <f t="shared" si="11"/>
        <v>Weekday</v>
      </c>
      <c r="P243" s="11">
        <f>VLOOKUP(A243,[1]Sheet1!$A:$H,2, FALSE)</f>
        <v>0.2273</v>
      </c>
      <c r="Q243" s="40">
        <f>Table1[[#This Row],[A_Temperature]]*41</f>
        <v>9.3193000000000001</v>
      </c>
      <c r="R243" s="11">
        <f>VLOOKUP(A243,[1]Sheet1!$A:$G,3,FALSE)</f>
        <v>0.55000000000000004</v>
      </c>
      <c r="S243" s="11">
        <f>VLOOKUP(A243,[1]Sheet1!$A:$G,4,FALSE)</f>
        <v>0</v>
      </c>
      <c r="T243" s="11">
        <f>VLOOKUP(A243,[1]Sheet1!$A:$G,5,FALSE)</f>
        <v>2</v>
      </c>
      <c r="U243" s="11">
        <f>VLOOKUP(A243,[1]Sheet1!$A:$G,6,FALSE)</f>
        <v>97</v>
      </c>
      <c r="V243" s="18">
        <f>VLOOKUP(A243,[1]Sheet1!$A:$G,7,FALSE)</f>
        <v>99</v>
      </c>
    </row>
    <row r="244" spans="1:22" s="13" customFormat="1" ht="30" customHeight="1">
      <c r="A244" s="17">
        <v>240</v>
      </c>
      <c r="B244" s="8">
        <v>40848</v>
      </c>
      <c r="C244" s="8" t="str">
        <f t="shared" si="12"/>
        <v>Tuesday</v>
      </c>
      <c r="D244" s="9">
        <v>1</v>
      </c>
      <c r="E244" s="9">
        <v>0</v>
      </c>
      <c r="F244" s="9">
        <v>1</v>
      </c>
      <c r="G244" s="7">
        <v>8</v>
      </c>
      <c r="H244" s="9" t="b">
        <v>0</v>
      </c>
      <c r="I244" s="9">
        <v>2</v>
      </c>
      <c r="J244" s="38" t="str">
        <f>CHOOSE(Table1[[#This Row],[Weekday]]+1,"Sunday","Monday","Tuesday","Wednesday","Thursday","Friday","Saturday")</f>
        <v>Tuesday</v>
      </c>
      <c r="K244" s="9">
        <v>2</v>
      </c>
      <c r="L244" s="38" t="str">
        <f>IF(Table1[[#This Row],[Weather_code]]=1,"Clear",IF(Table1[[#This Row],[Weather_code]]=2,"Cloudy",IF(Table1[[#This Row],[Weather_code]]=3,"Light Rain",IF(Table1[[#This Row],[Weather_code]]=4,"Heavy Rain"))))</f>
        <v>Cloudy</v>
      </c>
      <c r="M244" s="10">
        <v>0.18</v>
      </c>
      <c r="N244" s="11" t="str">
        <f t="shared" si="10"/>
        <v>Winter</v>
      </c>
      <c r="O244" s="11" t="str">
        <f t="shared" si="11"/>
        <v>Weekday</v>
      </c>
      <c r="P244" s="11">
        <f>VLOOKUP(A244,[1]Sheet1!$A:$H,2, FALSE)</f>
        <v>0.21210000000000001</v>
      </c>
      <c r="Q244" s="40">
        <f>Table1[[#This Row],[A_Temperature]]*41</f>
        <v>8.6961000000000013</v>
      </c>
      <c r="R244" s="11">
        <f>VLOOKUP(A244,[1]Sheet1!$A:$G,3,FALSE)</f>
        <v>0.51</v>
      </c>
      <c r="S244" s="11">
        <f>VLOOKUP(A244,[1]Sheet1!$A:$G,4,FALSE)</f>
        <v>8.9599999999999999E-2</v>
      </c>
      <c r="T244" s="11">
        <f>VLOOKUP(A244,[1]Sheet1!$A:$G,5,FALSE)</f>
        <v>3</v>
      </c>
      <c r="U244" s="11">
        <f>VLOOKUP(A244,[1]Sheet1!$A:$G,6,FALSE)</f>
        <v>214</v>
      </c>
      <c r="V244" s="18">
        <f>VLOOKUP(A244,[1]Sheet1!$A:$G,7,FALSE)</f>
        <v>217</v>
      </c>
    </row>
    <row r="245" spans="1:22" s="13" customFormat="1" ht="30" customHeight="1">
      <c r="A245" s="17">
        <v>241</v>
      </c>
      <c r="B245" s="8">
        <v>40848</v>
      </c>
      <c r="C245" s="8" t="str">
        <f t="shared" si="12"/>
        <v>Tuesday</v>
      </c>
      <c r="D245" s="9">
        <v>1</v>
      </c>
      <c r="E245" s="9">
        <v>0</v>
      </c>
      <c r="F245" s="9">
        <v>1</v>
      </c>
      <c r="G245" s="7">
        <v>9</v>
      </c>
      <c r="H245" s="9" t="b">
        <v>0</v>
      </c>
      <c r="I245" s="9">
        <v>2</v>
      </c>
      <c r="J245" s="38" t="str">
        <f>CHOOSE(Table1[[#This Row],[Weekday]]+1,"Sunday","Monday","Tuesday","Wednesday","Thursday","Friday","Saturday")</f>
        <v>Tuesday</v>
      </c>
      <c r="K245" s="9">
        <v>2</v>
      </c>
      <c r="L245" s="38" t="str">
        <f>IF(Table1[[#This Row],[Weather_code]]=1,"Clear",IF(Table1[[#This Row],[Weather_code]]=2,"Cloudy",IF(Table1[[#This Row],[Weather_code]]=3,"Light Rain",IF(Table1[[#This Row],[Weather_code]]=4,"Heavy Rain"))))</f>
        <v>Cloudy</v>
      </c>
      <c r="M245" s="10">
        <v>0.18</v>
      </c>
      <c r="N245" s="11" t="str">
        <f t="shared" si="10"/>
        <v>Winter</v>
      </c>
      <c r="O245" s="11" t="str">
        <f t="shared" si="11"/>
        <v>Weekday</v>
      </c>
      <c r="P245" s="11">
        <f>VLOOKUP(A245,[1]Sheet1!$A:$H,2, FALSE)</f>
        <v>0.19700000000000001</v>
      </c>
      <c r="Q245" s="40">
        <f>Table1[[#This Row],[A_Temperature]]*41</f>
        <v>8.077</v>
      </c>
      <c r="R245" s="11">
        <f>VLOOKUP(A245,[1]Sheet1!$A:$G,3,FALSE)</f>
        <v>0.51</v>
      </c>
      <c r="S245" s="11">
        <f>VLOOKUP(A245,[1]Sheet1!$A:$G,4,FALSE)</f>
        <v>0.16420000000000001</v>
      </c>
      <c r="T245" s="11">
        <f>VLOOKUP(A245,[1]Sheet1!$A:$G,5,FALSE)</f>
        <v>3</v>
      </c>
      <c r="U245" s="11">
        <f>VLOOKUP(A245,[1]Sheet1!$A:$G,6,FALSE)</f>
        <v>127</v>
      </c>
      <c r="V245" s="18">
        <f>VLOOKUP(A245,[1]Sheet1!$A:$G,7,FALSE)</f>
        <v>130</v>
      </c>
    </row>
    <row r="246" spans="1:22" s="13" customFormat="1" ht="30" customHeight="1">
      <c r="A246" s="17">
        <v>242</v>
      </c>
      <c r="B246" s="8">
        <v>40848</v>
      </c>
      <c r="C246" s="8" t="str">
        <f t="shared" si="12"/>
        <v>Tuesday</v>
      </c>
      <c r="D246" s="9">
        <v>1</v>
      </c>
      <c r="E246" s="9">
        <v>0</v>
      </c>
      <c r="F246" s="9">
        <v>1</v>
      </c>
      <c r="G246" s="7">
        <v>10</v>
      </c>
      <c r="H246" s="9" t="b">
        <v>0</v>
      </c>
      <c r="I246" s="9">
        <v>2</v>
      </c>
      <c r="J246" s="38" t="str">
        <f>CHOOSE(Table1[[#This Row],[Weekday]]+1,"Sunday","Monday","Tuesday","Wednesday","Thursday","Friday","Saturday")</f>
        <v>Tuesday</v>
      </c>
      <c r="K246" s="9">
        <v>2</v>
      </c>
      <c r="L246" s="38" t="str">
        <f>IF(Table1[[#This Row],[Weather_code]]=1,"Clear",IF(Table1[[#This Row],[Weather_code]]=2,"Cloudy",IF(Table1[[#This Row],[Weather_code]]=3,"Light Rain",IF(Table1[[#This Row],[Weather_code]]=4,"Heavy Rain"))))</f>
        <v>Cloudy</v>
      </c>
      <c r="M246" s="10">
        <v>0.2</v>
      </c>
      <c r="N246" s="11" t="str">
        <f t="shared" si="10"/>
        <v>Winter</v>
      </c>
      <c r="O246" s="11" t="str">
        <f t="shared" si="11"/>
        <v>Weekday</v>
      </c>
      <c r="P246" s="11">
        <f>VLOOKUP(A246,[1]Sheet1!$A:$H,2, FALSE)</f>
        <v>0.21210000000000001</v>
      </c>
      <c r="Q246" s="40">
        <f>Table1[[#This Row],[A_Temperature]]*41</f>
        <v>8.6961000000000013</v>
      </c>
      <c r="R246" s="11">
        <f>VLOOKUP(A246,[1]Sheet1!$A:$G,3,FALSE)</f>
        <v>0.51</v>
      </c>
      <c r="S246" s="11">
        <f>VLOOKUP(A246,[1]Sheet1!$A:$G,4,FALSE)</f>
        <v>0.16420000000000001</v>
      </c>
      <c r="T246" s="11">
        <f>VLOOKUP(A246,[1]Sheet1!$A:$G,5,FALSE)</f>
        <v>3</v>
      </c>
      <c r="U246" s="11">
        <f>VLOOKUP(A246,[1]Sheet1!$A:$G,6,FALSE)</f>
        <v>51</v>
      </c>
      <c r="V246" s="18">
        <f>VLOOKUP(A246,[1]Sheet1!$A:$G,7,FALSE)</f>
        <v>54</v>
      </c>
    </row>
    <row r="247" spans="1:22" s="13" customFormat="1" ht="30" customHeight="1">
      <c r="A247" s="17">
        <v>243</v>
      </c>
      <c r="B247" s="8">
        <v>40848</v>
      </c>
      <c r="C247" s="8" t="str">
        <f t="shared" si="12"/>
        <v>Tuesday</v>
      </c>
      <c r="D247" s="9">
        <v>1</v>
      </c>
      <c r="E247" s="9">
        <v>0</v>
      </c>
      <c r="F247" s="9">
        <v>1</v>
      </c>
      <c r="G247" s="7">
        <v>11</v>
      </c>
      <c r="H247" s="9" t="b">
        <v>0</v>
      </c>
      <c r="I247" s="9">
        <v>2</v>
      </c>
      <c r="J247" s="38" t="str">
        <f>CHOOSE(Table1[[#This Row],[Weekday]]+1,"Sunday","Monday","Tuesday","Wednesday","Thursday","Friday","Saturday")</f>
        <v>Tuesday</v>
      </c>
      <c r="K247" s="9">
        <v>2</v>
      </c>
      <c r="L247" s="38" t="str">
        <f>IF(Table1[[#This Row],[Weather_code]]=1,"Clear",IF(Table1[[#This Row],[Weather_code]]=2,"Cloudy",IF(Table1[[#This Row],[Weather_code]]=3,"Light Rain",IF(Table1[[#This Row],[Weather_code]]=4,"Heavy Rain"))))</f>
        <v>Cloudy</v>
      </c>
      <c r="M247" s="10">
        <v>0.2</v>
      </c>
      <c r="N247" s="11" t="str">
        <f t="shared" si="10"/>
        <v>Winter</v>
      </c>
      <c r="O247" s="11" t="str">
        <f t="shared" si="11"/>
        <v>Weekday</v>
      </c>
      <c r="P247" s="11">
        <f>VLOOKUP(A247,[1]Sheet1!$A:$H,2, FALSE)</f>
        <v>0.21210000000000001</v>
      </c>
      <c r="Q247" s="40">
        <f>Table1[[#This Row],[A_Temperature]]*41</f>
        <v>8.6961000000000013</v>
      </c>
      <c r="R247" s="11">
        <f>VLOOKUP(A247,[1]Sheet1!$A:$G,3,FALSE)</f>
        <v>0.47</v>
      </c>
      <c r="S247" s="11">
        <f>VLOOKUP(A247,[1]Sheet1!$A:$G,4,FALSE)</f>
        <v>0.1343</v>
      </c>
      <c r="T247" s="11">
        <f>VLOOKUP(A247,[1]Sheet1!$A:$G,5,FALSE)</f>
        <v>4</v>
      </c>
      <c r="U247" s="11">
        <f>VLOOKUP(A247,[1]Sheet1!$A:$G,6,FALSE)</f>
        <v>31</v>
      </c>
      <c r="V247" s="18">
        <f>VLOOKUP(A247,[1]Sheet1!$A:$G,7,FALSE)</f>
        <v>35</v>
      </c>
    </row>
    <row r="248" spans="1:22" s="13" customFormat="1" ht="30" customHeight="1">
      <c r="A248" s="17">
        <v>244</v>
      </c>
      <c r="B248" s="8">
        <v>40848</v>
      </c>
      <c r="C248" s="8" t="str">
        <f t="shared" si="12"/>
        <v>Tuesday</v>
      </c>
      <c r="D248" s="9">
        <v>1</v>
      </c>
      <c r="E248" s="9">
        <v>0</v>
      </c>
      <c r="F248" s="9">
        <v>1</v>
      </c>
      <c r="G248" s="7">
        <v>12</v>
      </c>
      <c r="H248" s="9" t="b">
        <v>0</v>
      </c>
      <c r="I248" s="9">
        <v>2</v>
      </c>
      <c r="J248" s="38" t="str">
        <f>CHOOSE(Table1[[#This Row],[Weekday]]+1,"Sunday","Monday","Tuesday","Wednesday","Thursday","Friday","Saturday")</f>
        <v>Tuesday</v>
      </c>
      <c r="K248" s="9">
        <v>2</v>
      </c>
      <c r="L248" s="38" t="str">
        <f>IF(Table1[[#This Row],[Weather_code]]=1,"Clear",IF(Table1[[#This Row],[Weather_code]]=2,"Cloudy",IF(Table1[[#This Row],[Weather_code]]=3,"Light Rain",IF(Table1[[#This Row],[Weather_code]]=4,"Heavy Rain"))))</f>
        <v>Cloudy</v>
      </c>
      <c r="M248" s="10">
        <v>0.2</v>
      </c>
      <c r="N248" s="11" t="str">
        <f t="shared" si="10"/>
        <v>Winter</v>
      </c>
      <c r="O248" s="11" t="str">
        <f t="shared" si="11"/>
        <v>Weekday</v>
      </c>
      <c r="P248" s="11">
        <f>VLOOKUP(A248,[1]Sheet1!$A:$H,2, FALSE)</f>
        <v>0.2273</v>
      </c>
      <c r="Q248" s="40">
        <f>Table1[[#This Row],[A_Temperature]]*41</f>
        <v>9.3193000000000001</v>
      </c>
      <c r="R248" s="11">
        <f>VLOOKUP(A248,[1]Sheet1!$A:$G,3,FALSE)</f>
        <v>0.51</v>
      </c>
      <c r="S248" s="11">
        <f>VLOOKUP(A248,[1]Sheet1!$A:$G,4,FALSE)</f>
        <v>0.1045</v>
      </c>
      <c r="T248" s="11">
        <f>VLOOKUP(A248,[1]Sheet1!$A:$G,5,FALSE)</f>
        <v>2</v>
      </c>
      <c r="U248" s="11">
        <f>VLOOKUP(A248,[1]Sheet1!$A:$G,6,FALSE)</f>
        <v>55</v>
      </c>
      <c r="V248" s="18">
        <f>VLOOKUP(A248,[1]Sheet1!$A:$G,7,FALSE)</f>
        <v>57</v>
      </c>
    </row>
    <row r="249" spans="1:22" s="13" customFormat="1" ht="30" customHeight="1">
      <c r="A249" s="17">
        <v>245</v>
      </c>
      <c r="B249" s="8">
        <v>40848</v>
      </c>
      <c r="C249" s="8" t="str">
        <f t="shared" si="12"/>
        <v>Tuesday</v>
      </c>
      <c r="D249" s="9">
        <v>1</v>
      </c>
      <c r="E249" s="9">
        <v>0</v>
      </c>
      <c r="F249" s="9">
        <v>1</v>
      </c>
      <c r="G249" s="7">
        <v>13</v>
      </c>
      <c r="H249" s="9" t="b">
        <v>0</v>
      </c>
      <c r="I249" s="9">
        <v>2</v>
      </c>
      <c r="J249" s="38" t="str">
        <f>CHOOSE(Table1[[#This Row],[Weekday]]+1,"Sunday","Monday","Tuesday","Wednesday","Thursday","Friday","Saturday")</f>
        <v>Tuesday</v>
      </c>
      <c r="K249" s="9">
        <v>2</v>
      </c>
      <c r="L249" s="38" t="str">
        <f>IF(Table1[[#This Row],[Weather_code]]=1,"Clear",IF(Table1[[#This Row],[Weather_code]]=2,"Cloudy",IF(Table1[[#This Row],[Weather_code]]=3,"Light Rain",IF(Table1[[#This Row],[Weather_code]]=4,"Heavy Rain"))))</f>
        <v>Cloudy</v>
      </c>
      <c r="M249" s="10">
        <v>0.2</v>
      </c>
      <c r="N249" s="11" t="str">
        <f t="shared" si="10"/>
        <v>Winter</v>
      </c>
      <c r="O249" s="11" t="str">
        <f t="shared" si="11"/>
        <v>Weekday</v>
      </c>
      <c r="P249" s="11">
        <f>VLOOKUP(A249,[1]Sheet1!$A:$H,2, FALSE)</f>
        <v>0.2273</v>
      </c>
      <c r="Q249" s="40">
        <f>Table1[[#This Row],[A_Temperature]]*41</f>
        <v>9.3193000000000001</v>
      </c>
      <c r="R249" s="11">
        <f>VLOOKUP(A249,[1]Sheet1!$A:$G,3,FALSE)</f>
        <v>0.59</v>
      </c>
      <c r="S249" s="11">
        <f>VLOOKUP(A249,[1]Sheet1!$A:$G,4,FALSE)</f>
        <v>8.9599999999999999E-2</v>
      </c>
      <c r="T249" s="11">
        <f>VLOOKUP(A249,[1]Sheet1!$A:$G,5,FALSE)</f>
        <v>6</v>
      </c>
      <c r="U249" s="11">
        <f>VLOOKUP(A249,[1]Sheet1!$A:$G,6,FALSE)</f>
        <v>46</v>
      </c>
      <c r="V249" s="18">
        <f>VLOOKUP(A249,[1]Sheet1!$A:$G,7,FALSE)</f>
        <v>52</v>
      </c>
    </row>
    <row r="250" spans="1:22" s="13" customFormat="1" ht="30" customHeight="1">
      <c r="A250" s="17">
        <v>246</v>
      </c>
      <c r="B250" s="8">
        <v>40848</v>
      </c>
      <c r="C250" s="8" t="str">
        <f t="shared" si="12"/>
        <v>Tuesday</v>
      </c>
      <c r="D250" s="9">
        <v>1</v>
      </c>
      <c r="E250" s="9">
        <v>0</v>
      </c>
      <c r="F250" s="9">
        <v>1</v>
      </c>
      <c r="G250" s="7">
        <v>14</v>
      </c>
      <c r="H250" s="9" t="b">
        <v>0</v>
      </c>
      <c r="I250" s="9">
        <v>2</v>
      </c>
      <c r="J250" s="38" t="str">
        <f>CHOOSE(Table1[[#This Row],[Weekday]]+1,"Sunday","Monday","Tuesday","Wednesday","Thursday","Friday","Saturday")</f>
        <v>Tuesday</v>
      </c>
      <c r="K250" s="9">
        <v>2</v>
      </c>
      <c r="L250" s="38" t="str">
        <f>IF(Table1[[#This Row],[Weather_code]]=1,"Clear",IF(Table1[[#This Row],[Weather_code]]=2,"Cloudy",IF(Table1[[#This Row],[Weather_code]]=3,"Light Rain",IF(Table1[[#This Row],[Weather_code]]=4,"Heavy Rain"))))</f>
        <v>Cloudy</v>
      </c>
      <c r="M250" s="10">
        <v>0.2</v>
      </c>
      <c r="N250" s="11" t="str">
        <f t="shared" si="10"/>
        <v>Winter</v>
      </c>
      <c r="O250" s="11" t="str">
        <f t="shared" si="11"/>
        <v>Weekday</v>
      </c>
      <c r="P250" s="11">
        <f>VLOOKUP(A250,[1]Sheet1!$A:$H,2, FALSE)</f>
        <v>0.2273</v>
      </c>
      <c r="Q250" s="40">
        <f>Table1[[#This Row],[A_Temperature]]*41</f>
        <v>9.3193000000000001</v>
      </c>
      <c r="R250" s="11">
        <f>VLOOKUP(A250,[1]Sheet1!$A:$G,3,FALSE)</f>
        <v>0.59</v>
      </c>
      <c r="S250" s="11">
        <f>VLOOKUP(A250,[1]Sheet1!$A:$G,4,FALSE)</f>
        <v>8.9599999999999999E-2</v>
      </c>
      <c r="T250" s="11">
        <f>VLOOKUP(A250,[1]Sheet1!$A:$G,5,FALSE)</f>
        <v>3</v>
      </c>
      <c r="U250" s="11">
        <f>VLOOKUP(A250,[1]Sheet1!$A:$G,6,FALSE)</f>
        <v>60</v>
      </c>
      <c r="V250" s="18">
        <f>VLOOKUP(A250,[1]Sheet1!$A:$G,7,FALSE)</f>
        <v>63</v>
      </c>
    </row>
    <row r="251" spans="1:22" s="13" customFormat="1" ht="30" customHeight="1">
      <c r="A251" s="17">
        <v>247</v>
      </c>
      <c r="B251" s="8">
        <v>40848</v>
      </c>
      <c r="C251" s="8" t="str">
        <f t="shared" si="12"/>
        <v>Tuesday</v>
      </c>
      <c r="D251" s="9">
        <v>1</v>
      </c>
      <c r="E251" s="9">
        <v>0</v>
      </c>
      <c r="F251" s="9">
        <v>1</v>
      </c>
      <c r="G251" s="7">
        <v>15</v>
      </c>
      <c r="H251" s="9" t="b">
        <v>0</v>
      </c>
      <c r="I251" s="9">
        <v>2</v>
      </c>
      <c r="J251" s="38" t="str">
        <f>CHOOSE(Table1[[#This Row],[Weekday]]+1,"Sunday","Monday","Tuesday","Wednesday","Thursday","Friday","Saturday")</f>
        <v>Tuesday</v>
      </c>
      <c r="K251" s="9">
        <v>2</v>
      </c>
      <c r="L251" s="38" t="str">
        <f>IF(Table1[[#This Row],[Weather_code]]=1,"Clear",IF(Table1[[#This Row],[Weather_code]]=2,"Cloudy",IF(Table1[[#This Row],[Weather_code]]=3,"Light Rain",IF(Table1[[#This Row],[Weather_code]]=4,"Heavy Rain"))))</f>
        <v>Cloudy</v>
      </c>
      <c r="M251" s="10">
        <v>0.16</v>
      </c>
      <c r="N251" s="11" t="str">
        <f t="shared" si="10"/>
        <v>Winter</v>
      </c>
      <c r="O251" s="11" t="str">
        <f t="shared" si="11"/>
        <v>Weekday</v>
      </c>
      <c r="P251" s="11">
        <f>VLOOKUP(A251,[1]Sheet1!$A:$H,2, FALSE)</f>
        <v>0.19700000000000001</v>
      </c>
      <c r="Q251" s="40">
        <f>Table1[[#This Row],[A_Temperature]]*41</f>
        <v>8.077</v>
      </c>
      <c r="R251" s="11">
        <f>VLOOKUP(A251,[1]Sheet1!$A:$G,3,FALSE)</f>
        <v>0.8</v>
      </c>
      <c r="S251" s="11">
        <f>VLOOKUP(A251,[1]Sheet1!$A:$G,4,FALSE)</f>
        <v>8.9599999999999999E-2</v>
      </c>
      <c r="T251" s="11">
        <f>VLOOKUP(A251,[1]Sheet1!$A:$G,5,FALSE)</f>
        <v>2</v>
      </c>
      <c r="U251" s="11">
        <f>VLOOKUP(A251,[1]Sheet1!$A:$G,6,FALSE)</f>
        <v>45</v>
      </c>
      <c r="V251" s="18">
        <f>VLOOKUP(A251,[1]Sheet1!$A:$G,7,FALSE)</f>
        <v>47</v>
      </c>
    </row>
    <row r="252" spans="1:22" s="13" customFormat="1" ht="30" customHeight="1">
      <c r="A252" s="17">
        <v>248</v>
      </c>
      <c r="B252" s="8">
        <v>40848</v>
      </c>
      <c r="C252" s="8" t="str">
        <f t="shared" si="12"/>
        <v>Tuesday</v>
      </c>
      <c r="D252" s="9">
        <v>1</v>
      </c>
      <c r="E252" s="9">
        <v>0</v>
      </c>
      <c r="F252" s="9">
        <v>1</v>
      </c>
      <c r="G252" s="7">
        <v>16</v>
      </c>
      <c r="H252" s="9" t="b">
        <v>0</v>
      </c>
      <c r="I252" s="9">
        <v>2</v>
      </c>
      <c r="J252" s="38" t="str">
        <f>CHOOSE(Table1[[#This Row],[Weekday]]+1,"Sunday","Monday","Tuesday","Wednesday","Thursday","Friday","Saturday")</f>
        <v>Tuesday</v>
      </c>
      <c r="K252" s="9">
        <v>2</v>
      </c>
      <c r="L252" s="38" t="str">
        <f>IF(Table1[[#This Row],[Weather_code]]=1,"Clear",IF(Table1[[#This Row],[Weather_code]]=2,"Cloudy",IF(Table1[[#This Row],[Weather_code]]=3,"Light Rain",IF(Table1[[#This Row],[Weather_code]]=4,"Heavy Rain"))))</f>
        <v>Cloudy</v>
      </c>
      <c r="M252" s="10">
        <v>0.16</v>
      </c>
      <c r="N252" s="11" t="str">
        <f t="shared" si="10"/>
        <v>Winter</v>
      </c>
      <c r="O252" s="11" t="str">
        <f t="shared" si="11"/>
        <v>Weekday</v>
      </c>
      <c r="P252" s="11">
        <f>VLOOKUP(A252,[1]Sheet1!$A:$H,2, FALSE)</f>
        <v>0.1515</v>
      </c>
      <c r="Q252" s="40">
        <f>Table1[[#This Row],[A_Temperature]]*41</f>
        <v>6.2115</v>
      </c>
      <c r="R252" s="11">
        <f>VLOOKUP(A252,[1]Sheet1!$A:$G,3,FALSE)</f>
        <v>0.86</v>
      </c>
      <c r="S252" s="11">
        <f>VLOOKUP(A252,[1]Sheet1!$A:$G,4,FALSE)</f>
        <v>0.22389999999999999</v>
      </c>
      <c r="T252" s="11">
        <f>VLOOKUP(A252,[1]Sheet1!$A:$G,5,FALSE)</f>
        <v>4</v>
      </c>
      <c r="U252" s="11">
        <f>VLOOKUP(A252,[1]Sheet1!$A:$G,6,FALSE)</f>
        <v>72</v>
      </c>
      <c r="V252" s="18">
        <f>VLOOKUP(A252,[1]Sheet1!$A:$G,7,FALSE)</f>
        <v>76</v>
      </c>
    </row>
    <row r="253" spans="1:22" s="13" customFormat="1" ht="30" customHeight="1">
      <c r="A253" s="17">
        <v>249</v>
      </c>
      <c r="B253" s="8">
        <v>40848</v>
      </c>
      <c r="C253" s="8" t="str">
        <f t="shared" si="12"/>
        <v>Tuesday</v>
      </c>
      <c r="D253" s="9">
        <v>1</v>
      </c>
      <c r="E253" s="9">
        <v>0</v>
      </c>
      <c r="F253" s="9">
        <v>1</v>
      </c>
      <c r="G253" s="7">
        <v>17</v>
      </c>
      <c r="H253" s="9" t="b">
        <v>0</v>
      </c>
      <c r="I253" s="9">
        <v>2</v>
      </c>
      <c r="J253" s="38" t="str">
        <f>CHOOSE(Table1[[#This Row],[Weekday]]+1,"Sunday","Monday","Tuesday","Wednesday","Thursday","Friday","Saturday")</f>
        <v>Tuesday</v>
      </c>
      <c r="K253" s="9">
        <v>2</v>
      </c>
      <c r="L253" s="38" t="str">
        <f>IF(Table1[[#This Row],[Weather_code]]=1,"Clear",IF(Table1[[#This Row],[Weather_code]]=2,"Cloudy",IF(Table1[[#This Row],[Weather_code]]=3,"Light Rain",IF(Table1[[#This Row],[Weather_code]]=4,"Heavy Rain"))))</f>
        <v>Cloudy</v>
      </c>
      <c r="M253" s="10">
        <v>0.16</v>
      </c>
      <c r="N253" s="11" t="str">
        <f t="shared" si="10"/>
        <v>Winter</v>
      </c>
      <c r="O253" s="11" t="str">
        <f t="shared" si="11"/>
        <v>Weekday</v>
      </c>
      <c r="P253" s="11">
        <f>VLOOKUP(A253,[1]Sheet1!$A:$H,2, FALSE)</f>
        <v>0.1515</v>
      </c>
      <c r="Q253" s="40">
        <f>Table1[[#This Row],[A_Temperature]]*41</f>
        <v>6.2115</v>
      </c>
      <c r="R253" s="11">
        <f>VLOOKUP(A253,[1]Sheet1!$A:$G,3,FALSE)</f>
        <v>0.86</v>
      </c>
      <c r="S253" s="11">
        <f>VLOOKUP(A253,[1]Sheet1!$A:$G,4,FALSE)</f>
        <v>0.22389999999999999</v>
      </c>
      <c r="T253" s="11">
        <f>VLOOKUP(A253,[1]Sheet1!$A:$G,5,FALSE)</f>
        <v>6</v>
      </c>
      <c r="U253" s="11">
        <f>VLOOKUP(A253,[1]Sheet1!$A:$G,6,FALSE)</f>
        <v>130</v>
      </c>
      <c r="V253" s="18">
        <f>VLOOKUP(A253,[1]Sheet1!$A:$G,7,FALSE)</f>
        <v>136</v>
      </c>
    </row>
    <row r="254" spans="1:22" s="13" customFormat="1" ht="30" customHeight="1">
      <c r="A254" s="17">
        <v>250</v>
      </c>
      <c r="B254" s="8">
        <v>40848</v>
      </c>
      <c r="C254" s="8" t="str">
        <f t="shared" si="12"/>
        <v>Tuesday</v>
      </c>
      <c r="D254" s="9">
        <v>1</v>
      </c>
      <c r="E254" s="9">
        <v>0</v>
      </c>
      <c r="F254" s="9">
        <v>1</v>
      </c>
      <c r="G254" s="7">
        <v>18</v>
      </c>
      <c r="H254" s="9" t="b">
        <v>0</v>
      </c>
      <c r="I254" s="9">
        <v>2</v>
      </c>
      <c r="J254" s="38" t="str">
        <f>CHOOSE(Table1[[#This Row],[Weekday]]+1,"Sunday","Monday","Tuesday","Wednesday","Thursday","Friday","Saturday")</f>
        <v>Tuesday</v>
      </c>
      <c r="K254" s="9">
        <v>3</v>
      </c>
      <c r="L254" s="38" t="str">
        <f>IF(Table1[[#This Row],[Weather_code]]=1,"Clear",IF(Table1[[#This Row],[Weather_code]]=2,"Cloudy",IF(Table1[[#This Row],[Weather_code]]=3,"Light Rain",IF(Table1[[#This Row],[Weather_code]]=4,"Heavy Rain"))))</f>
        <v>Light Rain</v>
      </c>
      <c r="M254" s="10">
        <v>0.16</v>
      </c>
      <c r="N254" s="11" t="str">
        <f t="shared" si="10"/>
        <v>Winter</v>
      </c>
      <c r="O254" s="11" t="str">
        <f t="shared" si="11"/>
        <v>Weekday</v>
      </c>
      <c r="P254" s="11">
        <f>VLOOKUP(A254,[1]Sheet1!$A:$H,2, FALSE)</f>
        <v>0.18179999999999999</v>
      </c>
      <c r="Q254" s="40">
        <f>Table1[[#This Row],[A_Temperature]]*41</f>
        <v>7.4537999999999993</v>
      </c>
      <c r="R254" s="11">
        <f>VLOOKUP(A254,[1]Sheet1!$A:$G,3,FALSE)</f>
        <v>0.93</v>
      </c>
      <c r="S254" s="11">
        <f>VLOOKUP(A254,[1]Sheet1!$A:$G,4,FALSE)</f>
        <v>0.1045</v>
      </c>
      <c r="T254" s="11">
        <f>VLOOKUP(A254,[1]Sheet1!$A:$G,5,FALSE)</f>
        <v>1</v>
      </c>
      <c r="U254" s="11">
        <f>VLOOKUP(A254,[1]Sheet1!$A:$G,6,FALSE)</f>
        <v>94</v>
      </c>
      <c r="V254" s="18">
        <f>VLOOKUP(A254,[1]Sheet1!$A:$G,7,FALSE)</f>
        <v>95</v>
      </c>
    </row>
    <row r="255" spans="1:22" s="13" customFormat="1" ht="30" customHeight="1">
      <c r="A255" s="17">
        <v>251</v>
      </c>
      <c r="B255" s="8">
        <v>40848</v>
      </c>
      <c r="C255" s="8" t="str">
        <f t="shared" si="12"/>
        <v>Tuesday</v>
      </c>
      <c r="D255" s="9">
        <v>1</v>
      </c>
      <c r="E255" s="9">
        <v>0</v>
      </c>
      <c r="F255" s="9">
        <v>1</v>
      </c>
      <c r="G255" s="7">
        <v>19</v>
      </c>
      <c r="H255" s="9" t="b">
        <v>0</v>
      </c>
      <c r="I255" s="9">
        <v>2</v>
      </c>
      <c r="J255" s="38" t="str">
        <f>CHOOSE(Table1[[#This Row],[Weekday]]+1,"Sunday","Monday","Tuesday","Wednesday","Thursday","Friday","Saturday")</f>
        <v>Tuesday</v>
      </c>
      <c r="K255" s="9">
        <v>3</v>
      </c>
      <c r="L255" s="38" t="str">
        <f>IF(Table1[[#This Row],[Weather_code]]=1,"Clear",IF(Table1[[#This Row],[Weather_code]]=2,"Cloudy",IF(Table1[[#This Row],[Weather_code]]=3,"Light Rain",IF(Table1[[#This Row],[Weather_code]]=4,"Heavy Rain"))))</f>
        <v>Light Rain</v>
      </c>
      <c r="M255" s="10">
        <v>0.16</v>
      </c>
      <c r="N255" s="11" t="str">
        <f t="shared" si="10"/>
        <v>Winter</v>
      </c>
      <c r="O255" s="11" t="str">
        <f t="shared" si="11"/>
        <v>Weekday</v>
      </c>
      <c r="P255" s="11">
        <f>VLOOKUP(A255,[1]Sheet1!$A:$H,2, FALSE)</f>
        <v>0.2273</v>
      </c>
      <c r="Q255" s="40">
        <f>Table1[[#This Row],[A_Temperature]]*41</f>
        <v>9.3193000000000001</v>
      </c>
      <c r="R255" s="11">
        <f>VLOOKUP(A255,[1]Sheet1!$A:$G,3,FALSE)</f>
        <v>0.93</v>
      </c>
      <c r="S255" s="11">
        <f>VLOOKUP(A255,[1]Sheet1!$A:$G,4,FALSE)</f>
        <v>0</v>
      </c>
      <c r="T255" s="11">
        <f>VLOOKUP(A255,[1]Sheet1!$A:$G,5,FALSE)</f>
        <v>0</v>
      </c>
      <c r="U255" s="11">
        <f>VLOOKUP(A255,[1]Sheet1!$A:$G,6,FALSE)</f>
        <v>51</v>
      </c>
      <c r="V255" s="18">
        <f>VLOOKUP(A255,[1]Sheet1!$A:$G,7,FALSE)</f>
        <v>51</v>
      </c>
    </row>
    <row r="256" spans="1:22" s="13" customFormat="1" ht="30" customHeight="1">
      <c r="A256" s="17">
        <v>252</v>
      </c>
      <c r="B256" s="8">
        <v>40848</v>
      </c>
      <c r="C256" s="8" t="str">
        <f t="shared" si="12"/>
        <v>Tuesday</v>
      </c>
      <c r="D256" s="9">
        <v>1</v>
      </c>
      <c r="E256" s="9">
        <v>0</v>
      </c>
      <c r="F256" s="9">
        <v>1</v>
      </c>
      <c r="G256" s="7">
        <v>20</v>
      </c>
      <c r="H256" s="9" t="b">
        <v>0</v>
      </c>
      <c r="I256" s="9">
        <v>2</v>
      </c>
      <c r="J256" s="38" t="str">
        <f>CHOOSE(Table1[[#This Row],[Weekday]]+1,"Sunday","Monday","Tuesday","Wednesday","Thursday","Friday","Saturday")</f>
        <v>Tuesday</v>
      </c>
      <c r="K256" s="9">
        <v>3</v>
      </c>
      <c r="L256" s="38" t="str">
        <f>IF(Table1[[#This Row],[Weather_code]]=1,"Clear",IF(Table1[[#This Row],[Weather_code]]=2,"Cloudy",IF(Table1[[#This Row],[Weather_code]]=3,"Light Rain",IF(Table1[[#This Row],[Weather_code]]=4,"Heavy Rain"))))</f>
        <v>Light Rain</v>
      </c>
      <c r="M256" s="10">
        <v>0.16</v>
      </c>
      <c r="N256" s="11" t="str">
        <f t="shared" si="10"/>
        <v>Winter</v>
      </c>
      <c r="O256" s="11" t="str">
        <f t="shared" si="11"/>
        <v>Weekday</v>
      </c>
      <c r="P256" s="11">
        <f>VLOOKUP(A256,[1]Sheet1!$A:$H,2, FALSE)</f>
        <v>0.1515</v>
      </c>
      <c r="Q256" s="40">
        <f>Table1[[#This Row],[A_Temperature]]*41</f>
        <v>6.2115</v>
      </c>
      <c r="R256" s="11">
        <f>VLOOKUP(A256,[1]Sheet1!$A:$G,3,FALSE)</f>
        <v>0.93</v>
      </c>
      <c r="S256" s="11">
        <f>VLOOKUP(A256,[1]Sheet1!$A:$G,4,FALSE)</f>
        <v>0.19400000000000001</v>
      </c>
      <c r="T256" s="11">
        <f>VLOOKUP(A256,[1]Sheet1!$A:$G,5,FALSE)</f>
        <v>0</v>
      </c>
      <c r="U256" s="11">
        <f>VLOOKUP(A256,[1]Sheet1!$A:$G,6,FALSE)</f>
        <v>32</v>
      </c>
      <c r="V256" s="18">
        <f>VLOOKUP(A256,[1]Sheet1!$A:$G,7,FALSE)</f>
        <v>32</v>
      </c>
    </row>
    <row r="257" spans="1:22" s="13" customFormat="1" ht="30" customHeight="1">
      <c r="A257" s="17">
        <v>253</v>
      </c>
      <c r="B257" s="8">
        <v>40848</v>
      </c>
      <c r="C257" s="8" t="str">
        <f t="shared" si="12"/>
        <v>Tuesday</v>
      </c>
      <c r="D257" s="9">
        <v>1</v>
      </c>
      <c r="E257" s="9">
        <v>0</v>
      </c>
      <c r="F257" s="9">
        <v>1</v>
      </c>
      <c r="G257" s="7">
        <v>21</v>
      </c>
      <c r="H257" s="9" t="b">
        <v>0</v>
      </c>
      <c r="I257" s="9">
        <v>2</v>
      </c>
      <c r="J257" s="38" t="str">
        <f>CHOOSE(Table1[[#This Row],[Weekday]]+1,"Sunday","Monday","Tuesday","Wednesday","Thursday","Friday","Saturday")</f>
        <v>Tuesday</v>
      </c>
      <c r="K257" s="9">
        <v>3</v>
      </c>
      <c r="L257" s="38" t="str">
        <f>IF(Table1[[#This Row],[Weather_code]]=1,"Clear",IF(Table1[[#This Row],[Weather_code]]=2,"Cloudy",IF(Table1[[#This Row],[Weather_code]]=3,"Light Rain",IF(Table1[[#This Row],[Weather_code]]=4,"Heavy Rain"))))</f>
        <v>Light Rain</v>
      </c>
      <c r="M257" s="10">
        <v>0.16</v>
      </c>
      <c r="N257" s="11" t="str">
        <f t="shared" si="10"/>
        <v>Winter</v>
      </c>
      <c r="O257" s="11" t="str">
        <f t="shared" si="11"/>
        <v>Weekday</v>
      </c>
      <c r="P257" s="11">
        <f>VLOOKUP(A257,[1]Sheet1!$A:$H,2, FALSE)</f>
        <v>0.19700000000000001</v>
      </c>
      <c r="Q257" s="40">
        <f>Table1[[#This Row],[A_Temperature]]*41</f>
        <v>8.077</v>
      </c>
      <c r="R257" s="11">
        <f>VLOOKUP(A257,[1]Sheet1!$A:$G,3,FALSE)</f>
        <v>0.86</v>
      </c>
      <c r="S257" s="11">
        <f>VLOOKUP(A257,[1]Sheet1!$A:$G,4,FALSE)</f>
        <v>8.9599999999999999E-2</v>
      </c>
      <c r="T257" s="11">
        <f>VLOOKUP(A257,[1]Sheet1!$A:$G,5,FALSE)</f>
        <v>0</v>
      </c>
      <c r="U257" s="11">
        <f>VLOOKUP(A257,[1]Sheet1!$A:$G,6,FALSE)</f>
        <v>20</v>
      </c>
      <c r="V257" s="18">
        <f>VLOOKUP(A257,[1]Sheet1!$A:$G,7,FALSE)</f>
        <v>20</v>
      </c>
    </row>
    <row r="258" spans="1:22" s="13" customFormat="1" ht="30" customHeight="1">
      <c r="A258" s="17">
        <v>254</v>
      </c>
      <c r="B258" s="8">
        <v>40848</v>
      </c>
      <c r="C258" s="8" t="str">
        <f t="shared" si="12"/>
        <v>Tuesday</v>
      </c>
      <c r="D258" s="9">
        <v>1</v>
      </c>
      <c r="E258" s="9">
        <v>0</v>
      </c>
      <c r="F258" s="9">
        <v>1</v>
      </c>
      <c r="G258" s="7">
        <v>22</v>
      </c>
      <c r="H258" s="9" t="b">
        <v>0</v>
      </c>
      <c r="I258" s="9">
        <v>2</v>
      </c>
      <c r="J258" s="38" t="str">
        <f>CHOOSE(Table1[[#This Row],[Weekday]]+1,"Sunday","Monday","Tuesday","Wednesday","Thursday","Friday","Saturday")</f>
        <v>Tuesday</v>
      </c>
      <c r="K258" s="9">
        <v>3</v>
      </c>
      <c r="L258" s="38" t="str">
        <f>IF(Table1[[#This Row],[Weather_code]]=1,"Clear",IF(Table1[[#This Row],[Weather_code]]=2,"Cloudy",IF(Table1[[#This Row],[Weather_code]]=3,"Light Rain",IF(Table1[[#This Row],[Weather_code]]=4,"Heavy Rain"))))</f>
        <v>Light Rain</v>
      </c>
      <c r="M258" s="10">
        <v>0.16</v>
      </c>
      <c r="N258" s="11" t="str">
        <f t="shared" si="10"/>
        <v>Winter</v>
      </c>
      <c r="O258" s="11" t="str">
        <f t="shared" si="11"/>
        <v>Weekday</v>
      </c>
      <c r="P258" s="11">
        <f>VLOOKUP(A258,[1]Sheet1!$A:$H,2, FALSE)</f>
        <v>0.18179999999999999</v>
      </c>
      <c r="Q258" s="40">
        <f>Table1[[#This Row],[A_Temperature]]*41</f>
        <v>7.4537999999999993</v>
      </c>
      <c r="R258" s="11">
        <f>VLOOKUP(A258,[1]Sheet1!$A:$G,3,FALSE)</f>
        <v>0.93</v>
      </c>
      <c r="S258" s="11">
        <f>VLOOKUP(A258,[1]Sheet1!$A:$G,4,FALSE)</f>
        <v>0.1045</v>
      </c>
      <c r="T258" s="11">
        <f>VLOOKUP(A258,[1]Sheet1!$A:$G,5,FALSE)</f>
        <v>1</v>
      </c>
      <c r="U258" s="11">
        <f>VLOOKUP(A258,[1]Sheet1!$A:$G,6,FALSE)</f>
        <v>28</v>
      </c>
      <c r="V258" s="18">
        <f>VLOOKUP(A258,[1]Sheet1!$A:$G,7,FALSE)</f>
        <v>29</v>
      </c>
    </row>
    <row r="259" spans="1:22" s="13" customFormat="1" ht="30" customHeight="1">
      <c r="A259" s="17">
        <v>255</v>
      </c>
      <c r="B259" s="8">
        <v>40848</v>
      </c>
      <c r="C259" s="8" t="str">
        <f t="shared" si="12"/>
        <v>Tuesday</v>
      </c>
      <c r="D259" s="9">
        <v>1</v>
      </c>
      <c r="E259" s="9">
        <v>0</v>
      </c>
      <c r="F259" s="9">
        <v>1</v>
      </c>
      <c r="G259" s="7">
        <v>23</v>
      </c>
      <c r="H259" s="9" t="b">
        <v>0</v>
      </c>
      <c r="I259" s="9">
        <v>2</v>
      </c>
      <c r="J259" s="38" t="str">
        <f>CHOOSE(Table1[[#This Row],[Weekday]]+1,"Sunday","Monday","Tuesday","Wednesday","Thursday","Friday","Saturday")</f>
        <v>Tuesday</v>
      </c>
      <c r="K259" s="9">
        <v>3</v>
      </c>
      <c r="L259" s="38" t="str">
        <f>IF(Table1[[#This Row],[Weather_code]]=1,"Clear",IF(Table1[[#This Row],[Weather_code]]=2,"Cloudy",IF(Table1[[#This Row],[Weather_code]]=3,"Light Rain",IF(Table1[[#This Row],[Weather_code]]=4,"Heavy Rain"))))</f>
        <v>Light Rain</v>
      </c>
      <c r="M259" s="10">
        <v>0.16</v>
      </c>
      <c r="N259" s="11" t="str">
        <f t="shared" si="10"/>
        <v>Winter</v>
      </c>
      <c r="O259" s="11" t="str">
        <f t="shared" si="11"/>
        <v>Weekday</v>
      </c>
      <c r="P259" s="11">
        <f>VLOOKUP(A259,[1]Sheet1!$A:$H,2, FALSE)</f>
        <v>0.19700000000000001</v>
      </c>
      <c r="Q259" s="40">
        <f>Table1[[#This Row],[A_Temperature]]*41</f>
        <v>8.077</v>
      </c>
      <c r="R259" s="11">
        <f>VLOOKUP(A259,[1]Sheet1!$A:$G,3,FALSE)</f>
        <v>0.93</v>
      </c>
      <c r="S259" s="11">
        <f>VLOOKUP(A259,[1]Sheet1!$A:$G,4,FALSE)</f>
        <v>8.9599999999999999E-2</v>
      </c>
      <c r="T259" s="11">
        <f>VLOOKUP(A259,[1]Sheet1!$A:$G,5,FALSE)</f>
        <v>1</v>
      </c>
      <c r="U259" s="11">
        <f>VLOOKUP(A259,[1]Sheet1!$A:$G,6,FALSE)</f>
        <v>18</v>
      </c>
      <c r="V259" s="18">
        <f>VLOOKUP(A259,[1]Sheet1!$A:$G,7,FALSE)</f>
        <v>19</v>
      </c>
    </row>
    <row r="260" spans="1:22" s="13" customFormat="1" ht="30" customHeight="1">
      <c r="A260" s="17">
        <v>256</v>
      </c>
      <c r="B260" s="8">
        <v>40878</v>
      </c>
      <c r="C260" s="8" t="str">
        <f t="shared" si="12"/>
        <v>Thursday</v>
      </c>
      <c r="D260" s="9">
        <v>1</v>
      </c>
      <c r="E260" s="9">
        <v>0</v>
      </c>
      <c r="F260" s="9">
        <v>1</v>
      </c>
      <c r="G260" s="7">
        <v>0</v>
      </c>
      <c r="H260" s="9" t="b">
        <v>0</v>
      </c>
      <c r="I260" s="9">
        <v>3</v>
      </c>
      <c r="J260" s="38" t="str">
        <f>CHOOSE(Table1[[#This Row],[Weekday]]+1,"Sunday","Monday","Tuesday","Wednesday","Thursday","Friday","Saturday")</f>
        <v>Wednesday</v>
      </c>
      <c r="K260" s="9">
        <v>2</v>
      </c>
      <c r="L260" s="38" t="str">
        <f>IF(Table1[[#This Row],[Weather_code]]=1,"Clear",IF(Table1[[#This Row],[Weather_code]]=2,"Cloudy",IF(Table1[[#This Row],[Weather_code]]=3,"Light Rain",IF(Table1[[#This Row],[Weather_code]]=4,"Heavy Rain"))))</f>
        <v>Cloudy</v>
      </c>
      <c r="M260" s="10">
        <v>0.16</v>
      </c>
      <c r="N260" s="11" t="str">
        <f t="shared" si="10"/>
        <v>Winter</v>
      </c>
      <c r="O260" s="11" t="str">
        <f t="shared" si="11"/>
        <v>Weekday</v>
      </c>
      <c r="P260" s="11">
        <f>VLOOKUP(A260,[1]Sheet1!$A:$H,2, FALSE)</f>
        <v>0.19700000000000001</v>
      </c>
      <c r="Q260" s="40">
        <f>Table1[[#This Row],[A_Temperature]]*41</f>
        <v>8.077</v>
      </c>
      <c r="R260" s="11">
        <f>VLOOKUP(A260,[1]Sheet1!$A:$G,3,FALSE)</f>
        <v>0.86</v>
      </c>
      <c r="S260" s="11">
        <f>VLOOKUP(A260,[1]Sheet1!$A:$G,4,FALSE)</f>
        <v>8.9599999999999999E-2</v>
      </c>
      <c r="T260" s="11">
        <f>VLOOKUP(A260,[1]Sheet1!$A:$G,5,FALSE)</f>
        <v>0</v>
      </c>
      <c r="U260" s="11">
        <f>VLOOKUP(A260,[1]Sheet1!$A:$G,6,FALSE)</f>
        <v>7</v>
      </c>
      <c r="V260" s="18">
        <f>VLOOKUP(A260,[1]Sheet1!$A:$G,7,FALSE)</f>
        <v>7</v>
      </c>
    </row>
    <row r="261" spans="1:22" s="13" customFormat="1" ht="30" customHeight="1">
      <c r="A261" s="17">
        <v>257</v>
      </c>
      <c r="B261" s="8">
        <v>40878</v>
      </c>
      <c r="C261" s="8" t="str">
        <f t="shared" si="12"/>
        <v>Thursday</v>
      </c>
      <c r="D261" s="9">
        <v>1</v>
      </c>
      <c r="E261" s="9">
        <v>0</v>
      </c>
      <c r="F261" s="9">
        <v>1</v>
      </c>
      <c r="G261" s="7">
        <v>1</v>
      </c>
      <c r="H261" s="9" t="b">
        <v>0</v>
      </c>
      <c r="I261" s="9">
        <v>3</v>
      </c>
      <c r="J261" s="38" t="str">
        <f>CHOOSE(Table1[[#This Row],[Weekday]]+1,"Sunday","Monday","Tuesday","Wednesday","Thursday","Friday","Saturday")</f>
        <v>Wednesday</v>
      </c>
      <c r="K261" s="9">
        <v>2</v>
      </c>
      <c r="L261" s="38" t="str">
        <f>IF(Table1[[#This Row],[Weather_code]]=1,"Clear",IF(Table1[[#This Row],[Weather_code]]=2,"Cloudy",IF(Table1[[#This Row],[Weather_code]]=3,"Light Rain",IF(Table1[[#This Row],[Weather_code]]=4,"Heavy Rain"))))</f>
        <v>Cloudy</v>
      </c>
      <c r="M261" s="10">
        <v>0.16</v>
      </c>
      <c r="N261" s="11" t="str">
        <f t="shared" si="10"/>
        <v>Winter</v>
      </c>
      <c r="O261" s="11" t="str">
        <f t="shared" si="11"/>
        <v>Weekday</v>
      </c>
      <c r="P261" s="11">
        <f>VLOOKUP(A261,[1]Sheet1!$A:$H,2, FALSE)</f>
        <v>0.18179999999999999</v>
      </c>
      <c r="Q261" s="40">
        <f>Table1[[#This Row],[A_Temperature]]*41</f>
        <v>7.4537999999999993</v>
      </c>
      <c r="R261" s="11">
        <f>VLOOKUP(A261,[1]Sheet1!$A:$G,3,FALSE)</f>
        <v>0.86</v>
      </c>
      <c r="S261" s="11">
        <f>VLOOKUP(A261,[1]Sheet1!$A:$G,4,FALSE)</f>
        <v>0.1045</v>
      </c>
      <c r="T261" s="11">
        <f>VLOOKUP(A261,[1]Sheet1!$A:$G,5,FALSE)</f>
        <v>0</v>
      </c>
      <c r="U261" s="11">
        <f>VLOOKUP(A261,[1]Sheet1!$A:$G,6,FALSE)</f>
        <v>6</v>
      </c>
      <c r="V261" s="18">
        <f>VLOOKUP(A261,[1]Sheet1!$A:$G,7,FALSE)</f>
        <v>6</v>
      </c>
    </row>
    <row r="262" spans="1:22" s="13" customFormat="1" ht="30" customHeight="1">
      <c r="A262" s="17">
        <v>258</v>
      </c>
      <c r="B262" s="8">
        <v>40878</v>
      </c>
      <c r="C262" s="8" t="str">
        <f t="shared" si="12"/>
        <v>Thursday</v>
      </c>
      <c r="D262" s="9">
        <v>1</v>
      </c>
      <c r="E262" s="9">
        <v>0</v>
      </c>
      <c r="F262" s="9">
        <v>1</v>
      </c>
      <c r="G262" s="7">
        <v>2</v>
      </c>
      <c r="H262" s="9" t="b">
        <v>0</v>
      </c>
      <c r="I262" s="9">
        <v>3</v>
      </c>
      <c r="J262" s="38" t="str">
        <f>CHOOSE(Table1[[#This Row],[Weekday]]+1,"Sunday","Monday","Tuesday","Wednesday","Thursday","Friday","Saturday")</f>
        <v>Wednesday</v>
      </c>
      <c r="K262" s="9">
        <v>1</v>
      </c>
      <c r="L262" s="38" t="str">
        <f>IF(Table1[[#This Row],[Weather_code]]=1,"Clear",IF(Table1[[#This Row],[Weather_code]]=2,"Cloudy",IF(Table1[[#This Row],[Weather_code]]=3,"Light Rain",IF(Table1[[#This Row],[Weather_code]]=4,"Heavy Rain"))))</f>
        <v>Clear</v>
      </c>
      <c r="M262" s="10">
        <v>0.14000000000000001</v>
      </c>
      <c r="N262" s="11" t="str">
        <f t="shared" ref="N262:N325" si="13">CHOOSE(D262,"Winter","Spring","Summer","Fall")</f>
        <v>Winter</v>
      </c>
      <c r="O262" s="11" t="str">
        <f t="shared" ref="O262:O325" si="14">IF(OR(WEEKDAY(B262,2)=6,WEEKDAY(B262,2)=7),"Weekend","Weekday")</f>
        <v>Weekday</v>
      </c>
      <c r="P262" s="11">
        <f>VLOOKUP(A262,[1]Sheet1!$A:$H,2, FALSE)</f>
        <v>0.1515</v>
      </c>
      <c r="Q262" s="40">
        <f>Table1[[#This Row],[A_Temperature]]*41</f>
        <v>6.2115</v>
      </c>
      <c r="R262" s="11">
        <f>VLOOKUP(A262,[1]Sheet1!$A:$G,3,FALSE)</f>
        <v>0.86</v>
      </c>
      <c r="S262" s="11">
        <f>VLOOKUP(A262,[1]Sheet1!$A:$G,4,FALSE)</f>
        <v>0.1343</v>
      </c>
      <c r="T262" s="11">
        <f>VLOOKUP(A262,[1]Sheet1!$A:$G,5,FALSE)</f>
        <v>0</v>
      </c>
      <c r="U262" s="11">
        <f>VLOOKUP(A262,[1]Sheet1!$A:$G,6,FALSE)</f>
        <v>1</v>
      </c>
      <c r="V262" s="18">
        <f>VLOOKUP(A262,[1]Sheet1!$A:$G,7,FALSE)</f>
        <v>1</v>
      </c>
    </row>
    <row r="263" spans="1:22" s="13" customFormat="1" ht="30" customHeight="1">
      <c r="A263" s="17">
        <v>259</v>
      </c>
      <c r="B263" s="8">
        <v>40878</v>
      </c>
      <c r="C263" s="8" t="str">
        <f t="shared" si="12"/>
        <v>Thursday</v>
      </c>
      <c r="D263" s="9">
        <v>1</v>
      </c>
      <c r="E263" s="9">
        <v>0</v>
      </c>
      <c r="F263" s="9">
        <v>1</v>
      </c>
      <c r="G263" s="7">
        <v>5</v>
      </c>
      <c r="H263" s="9" t="b">
        <v>0</v>
      </c>
      <c r="I263" s="9">
        <v>3</v>
      </c>
      <c r="J263" s="38" t="str">
        <f>CHOOSE(Table1[[#This Row],[Weekday]]+1,"Sunday","Monday","Tuesday","Wednesday","Thursday","Friday","Saturday")</f>
        <v>Wednesday</v>
      </c>
      <c r="K263" s="9">
        <v>1</v>
      </c>
      <c r="L263" s="38" t="str">
        <f>IF(Table1[[#This Row],[Weather_code]]=1,"Clear",IF(Table1[[#This Row],[Weather_code]]=2,"Cloudy",IF(Table1[[#This Row],[Weather_code]]=3,"Light Rain",IF(Table1[[#This Row],[Weather_code]]=4,"Heavy Rain"))))</f>
        <v>Clear</v>
      </c>
      <c r="M263" s="10">
        <v>0.14000000000000001</v>
      </c>
      <c r="N263" s="11" t="str">
        <f t="shared" si="13"/>
        <v>Winter</v>
      </c>
      <c r="O263" s="11" t="str">
        <f t="shared" si="14"/>
        <v>Weekday</v>
      </c>
      <c r="P263" s="11">
        <f>VLOOKUP(A263,[1]Sheet1!$A:$H,2, FALSE)</f>
        <v>0.1515</v>
      </c>
      <c r="Q263" s="40">
        <f>Table1[[#This Row],[A_Temperature]]*41</f>
        <v>6.2115</v>
      </c>
      <c r="R263" s="11">
        <f>VLOOKUP(A263,[1]Sheet1!$A:$G,3,FALSE)</f>
        <v>0.86</v>
      </c>
      <c r="S263" s="11">
        <f>VLOOKUP(A263,[1]Sheet1!$A:$G,4,FALSE)</f>
        <v>0.16420000000000001</v>
      </c>
      <c r="T263" s="11">
        <f>VLOOKUP(A263,[1]Sheet1!$A:$G,5,FALSE)</f>
        <v>0</v>
      </c>
      <c r="U263" s="11">
        <f>VLOOKUP(A263,[1]Sheet1!$A:$G,6,FALSE)</f>
        <v>5</v>
      </c>
      <c r="V263" s="18">
        <f>VLOOKUP(A263,[1]Sheet1!$A:$G,7,FALSE)</f>
        <v>5</v>
      </c>
    </row>
    <row r="264" spans="1:22" s="13" customFormat="1" ht="30" customHeight="1">
      <c r="A264" s="17">
        <v>260</v>
      </c>
      <c r="B264" s="8">
        <v>40878</v>
      </c>
      <c r="C264" s="8" t="str">
        <f t="shared" si="12"/>
        <v>Thursday</v>
      </c>
      <c r="D264" s="9">
        <v>1</v>
      </c>
      <c r="E264" s="9">
        <v>0</v>
      </c>
      <c r="F264" s="9">
        <v>1</v>
      </c>
      <c r="G264" s="7">
        <v>6</v>
      </c>
      <c r="H264" s="9" t="b">
        <v>0</v>
      </c>
      <c r="I264" s="9">
        <v>3</v>
      </c>
      <c r="J264" s="38" t="str">
        <f>CHOOSE(Table1[[#This Row],[Weekday]]+1,"Sunday","Monday","Tuesday","Wednesday","Thursday","Friday","Saturday")</f>
        <v>Wednesday</v>
      </c>
      <c r="K264" s="9">
        <v>1</v>
      </c>
      <c r="L264" s="38" t="str">
        <f>IF(Table1[[#This Row],[Weather_code]]=1,"Clear",IF(Table1[[#This Row],[Weather_code]]=2,"Cloudy",IF(Table1[[#This Row],[Weather_code]]=3,"Light Rain",IF(Table1[[#This Row],[Weather_code]]=4,"Heavy Rain"))))</f>
        <v>Clear</v>
      </c>
      <c r="M264" s="10">
        <v>0.12</v>
      </c>
      <c r="N264" s="11" t="str">
        <f t="shared" si="13"/>
        <v>Winter</v>
      </c>
      <c r="O264" s="11" t="str">
        <f t="shared" si="14"/>
        <v>Weekday</v>
      </c>
      <c r="P264" s="11">
        <f>VLOOKUP(A264,[1]Sheet1!$A:$H,2, FALSE)</f>
        <v>0.1515</v>
      </c>
      <c r="Q264" s="40">
        <f>Table1[[#This Row],[A_Temperature]]*41</f>
        <v>6.2115</v>
      </c>
      <c r="R264" s="11">
        <f>VLOOKUP(A264,[1]Sheet1!$A:$G,3,FALSE)</f>
        <v>0.93</v>
      </c>
      <c r="S264" s="11">
        <f>VLOOKUP(A264,[1]Sheet1!$A:$G,4,FALSE)</f>
        <v>0.1343</v>
      </c>
      <c r="T264" s="11">
        <f>VLOOKUP(A264,[1]Sheet1!$A:$G,5,FALSE)</f>
        <v>0</v>
      </c>
      <c r="U264" s="11">
        <f>VLOOKUP(A264,[1]Sheet1!$A:$G,6,FALSE)</f>
        <v>16</v>
      </c>
      <c r="V264" s="18">
        <f>VLOOKUP(A264,[1]Sheet1!$A:$G,7,FALSE)</f>
        <v>16</v>
      </c>
    </row>
    <row r="265" spans="1:22" s="13" customFormat="1" ht="30" customHeight="1">
      <c r="A265" s="17">
        <v>261</v>
      </c>
      <c r="B265" s="8">
        <v>40878</v>
      </c>
      <c r="C265" s="8" t="str">
        <f t="shared" si="12"/>
        <v>Thursday</v>
      </c>
      <c r="D265" s="9">
        <v>1</v>
      </c>
      <c r="E265" s="9">
        <v>0</v>
      </c>
      <c r="F265" s="9">
        <v>1</v>
      </c>
      <c r="G265" s="7">
        <v>7</v>
      </c>
      <c r="H265" s="9" t="b">
        <v>0</v>
      </c>
      <c r="I265" s="9">
        <v>3</v>
      </c>
      <c r="J265" s="38" t="str">
        <f>CHOOSE(Table1[[#This Row],[Weekday]]+1,"Sunday","Monday","Tuesday","Wednesday","Thursday","Friday","Saturday")</f>
        <v>Wednesday</v>
      </c>
      <c r="K265" s="9">
        <v>1</v>
      </c>
      <c r="L265" s="38" t="str">
        <f>IF(Table1[[#This Row],[Weather_code]]=1,"Clear",IF(Table1[[#This Row],[Weather_code]]=2,"Cloudy",IF(Table1[[#This Row],[Weather_code]]=3,"Light Rain",IF(Table1[[#This Row],[Weather_code]]=4,"Heavy Rain"))))</f>
        <v>Clear</v>
      </c>
      <c r="M265" s="10">
        <v>0.14000000000000001</v>
      </c>
      <c r="N265" s="11" t="str">
        <f t="shared" si="13"/>
        <v>Winter</v>
      </c>
      <c r="O265" s="11" t="str">
        <f t="shared" si="14"/>
        <v>Weekday</v>
      </c>
      <c r="P265" s="11">
        <f>VLOOKUP(A265,[1]Sheet1!$A:$H,2, FALSE)</f>
        <v>0.1515</v>
      </c>
      <c r="Q265" s="40">
        <f>Table1[[#This Row],[A_Temperature]]*41</f>
        <v>6.2115</v>
      </c>
      <c r="R265" s="11">
        <f>VLOOKUP(A265,[1]Sheet1!$A:$G,3,FALSE)</f>
        <v>0.69</v>
      </c>
      <c r="S265" s="11">
        <f>VLOOKUP(A265,[1]Sheet1!$A:$G,4,FALSE)</f>
        <v>0.1343</v>
      </c>
      <c r="T265" s="11">
        <f>VLOOKUP(A265,[1]Sheet1!$A:$G,5,FALSE)</f>
        <v>0</v>
      </c>
      <c r="U265" s="11">
        <f>VLOOKUP(A265,[1]Sheet1!$A:$G,6,FALSE)</f>
        <v>54</v>
      </c>
      <c r="V265" s="18">
        <f>VLOOKUP(A265,[1]Sheet1!$A:$G,7,FALSE)</f>
        <v>54</v>
      </c>
    </row>
    <row r="266" spans="1:22" s="13" customFormat="1" ht="30" customHeight="1">
      <c r="A266" s="17">
        <v>262</v>
      </c>
      <c r="B266" s="8">
        <v>40878</v>
      </c>
      <c r="C266" s="8" t="str">
        <f t="shared" si="12"/>
        <v>Thursday</v>
      </c>
      <c r="D266" s="9">
        <v>1</v>
      </c>
      <c r="E266" s="9">
        <v>0</v>
      </c>
      <c r="F266" s="9">
        <v>1</v>
      </c>
      <c r="G266" s="7">
        <v>8</v>
      </c>
      <c r="H266" s="9" t="b">
        <v>0</v>
      </c>
      <c r="I266" s="9">
        <v>3</v>
      </c>
      <c r="J266" s="38" t="str">
        <f>CHOOSE(Table1[[#This Row],[Weekday]]+1,"Sunday","Monday","Tuesday","Wednesday","Thursday","Friday","Saturday")</f>
        <v>Wednesday</v>
      </c>
      <c r="K266" s="9">
        <v>1</v>
      </c>
      <c r="L266" s="38" t="str">
        <f>IF(Table1[[#This Row],[Weather_code]]=1,"Clear",IF(Table1[[#This Row],[Weather_code]]=2,"Cloudy",IF(Table1[[#This Row],[Weather_code]]=3,"Light Rain",IF(Table1[[#This Row],[Weather_code]]=4,"Heavy Rain"))))</f>
        <v>Clear</v>
      </c>
      <c r="M266" s="10">
        <v>0.16</v>
      </c>
      <c r="N266" s="11" t="str">
        <f t="shared" si="13"/>
        <v>Winter</v>
      </c>
      <c r="O266" s="11" t="str">
        <f t="shared" si="14"/>
        <v>Weekday</v>
      </c>
      <c r="P266" s="11">
        <f>VLOOKUP(A266,[1]Sheet1!$A:$H,2, FALSE)</f>
        <v>0.16669999999999999</v>
      </c>
      <c r="Q266" s="40">
        <f>Table1[[#This Row],[A_Temperature]]*41</f>
        <v>6.8346999999999998</v>
      </c>
      <c r="R266" s="11">
        <f>VLOOKUP(A266,[1]Sheet1!$A:$G,3,FALSE)</f>
        <v>0.59</v>
      </c>
      <c r="S266" s="11">
        <f>VLOOKUP(A266,[1]Sheet1!$A:$G,4,FALSE)</f>
        <v>0.16420000000000001</v>
      </c>
      <c r="T266" s="11">
        <f>VLOOKUP(A266,[1]Sheet1!$A:$G,5,FALSE)</f>
        <v>3</v>
      </c>
      <c r="U266" s="11">
        <f>VLOOKUP(A266,[1]Sheet1!$A:$G,6,FALSE)</f>
        <v>125</v>
      </c>
      <c r="V266" s="18">
        <f>VLOOKUP(A266,[1]Sheet1!$A:$G,7,FALSE)</f>
        <v>128</v>
      </c>
    </row>
    <row r="267" spans="1:22" s="13" customFormat="1" ht="30" customHeight="1">
      <c r="A267" s="17">
        <v>263</v>
      </c>
      <c r="B267" s="8">
        <v>40878</v>
      </c>
      <c r="C267" s="8" t="str">
        <f t="shared" si="12"/>
        <v>Thursday</v>
      </c>
      <c r="D267" s="9">
        <v>1</v>
      </c>
      <c r="E267" s="9">
        <v>0</v>
      </c>
      <c r="F267" s="9">
        <v>1</v>
      </c>
      <c r="G267" s="7">
        <v>9</v>
      </c>
      <c r="H267" s="9" t="b">
        <v>0</v>
      </c>
      <c r="I267" s="9">
        <v>3</v>
      </c>
      <c r="J267" s="38" t="str">
        <f>CHOOSE(Table1[[#This Row],[Weekday]]+1,"Sunday","Monday","Tuesday","Wednesday","Thursday","Friday","Saturday")</f>
        <v>Wednesday</v>
      </c>
      <c r="K267" s="9">
        <v>1</v>
      </c>
      <c r="L267" s="38" t="str">
        <f>IF(Table1[[#This Row],[Weather_code]]=1,"Clear",IF(Table1[[#This Row],[Weather_code]]=2,"Cloudy",IF(Table1[[#This Row],[Weather_code]]=3,"Light Rain",IF(Table1[[#This Row],[Weather_code]]=4,"Heavy Rain"))))</f>
        <v>Clear</v>
      </c>
      <c r="M267" s="10">
        <v>0.16</v>
      </c>
      <c r="N267" s="11" t="str">
        <f t="shared" si="13"/>
        <v>Winter</v>
      </c>
      <c r="O267" s="11" t="str">
        <f t="shared" si="14"/>
        <v>Weekday</v>
      </c>
      <c r="P267" s="11">
        <f>VLOOKUP(A267,[1]Sheet1!$A:$H,2, FALSE)</f>
        <v>0.13639999999999999</v>
      </c>
      <c r="Q267" s="40">
        <f>Table1[[#This Row],[A_Temperature]]*41</f>
        <v>5.5923999999999996</v>
      </c>
      <c r="R267" s="11">
        <f>VLOOKUP(A267,[1]Sheet1!$A:$G,3,FALSE)</f>
        <v>0.59</v>
      </c>
      <c r="S267" s="11">
        <f>VLOOKUP(A267,[1]Sheet1!$A:$G,4,FALSE)</f>
        <v>0.32840000000000003</v>
      </c>
      <c r="T267" s="11">
        <f>VLOOKUP(A267,[1]Sheet1!$A:$G,5,FALSE)</f>
        <v>3</v>
      </c>
      <c r="U267" s="11">
        <f>VLOOKUP(A267,[1]Sheet1!$A:$G,6,FALSE)</f>
        <v>78</v>
      </c>
      <c r="V267" s="18">
        <f>VLOOKUP(A267,[1]Sheet1!$A:$G,7,FALSE)</f>
        <v>81</v>
      </c>
    </row>
    <row r="268" spans="1:22" s="13" customFormat="1" ht="30" customHeight="1">
      <c r="A268" s="17">
        <v>264</v>
      </c>
      <c r="B268" s="8">
        <v>40878</v>
      </c>
      <c r="C268" s="8" t="str">
        <f t="shared" si="12"/>
        <v>Thursday</v>
      </c>
      <c r="D268" s="9">
        <v>1</v>
      </c>
      <c r="E268" s="9">
        <v>0</v>
      </c>
      <c r="F268" s="9">
        <v>1</v>
      </c>
      <c r="G268" s="7">
        <v>10</v>
      </c>
      <c r="H268" s="9" t="b">
        <v>0</v>
      </c>
      <c r="I268" s="9">
        <v>3</v>
      </c>
      <c r="J268" s="38" t="str">
        <f>CHOOSE(Table1[[#This Row],[Weekday]]+1,"Sunday","Monday","Tuesday","Wednesday","Thursday","Friday","Saturday")</f>
        <v>Wednesday</v>
      </c>
      <c r="K268" s="9">
        <v>1</v>
      </c>
      <c r="L268" s="38" t="str">
        <f>IF(Table1[[#This Row],[Weather_code]]=1,"Clear",IF(Table1[[#This Row],[Weather_code]]=2,"Cloudy",IF(Table1[[#This Row],[Weather_code]]=3,"Light Rain",IF(Table1[[#This Row],[Weather_code]]=4,"Heavy Rain"))))</f>
        <v>Clear</v>
      </c>
      <c r="M268" s="10">
        <v>0.18</v>
      </c>
      <c r="N268" s="11" t="str">
        <f t="shared" si="13"/>
        <v>Winter</v>
      </c>
      <c r="O268" s="11" t="str">
        <f t="shared" si="14"/>
        <v>Weekday</v>
      </c>
      <c r="P268" s="11">
        <f>VLOOKUP(A268,[1]Sheet1!$A:$H,2, FALSE)</f>
        <v>0.18179999999999999</v>
      </c>
      <c r="Q268" s="40">
        <f>Table1[[#This Row],[A_Temperature]]*41</f>
        <v>7.4537999999999993</v>
      </c>
      <c r="R268" s="11">
        <f>VLOOKUP(A268,[1]Sheet1!$A:$G,3,FALSE)</f>
        <v>0.55000000000000004</v>
      </c>
      <c r="S268" s="11">
        <f>VLOOKUP(A268,[1]Sheet1!$A:$G,4,FALSE)</f>
        <v>0.22389999999999999</v>
      </c>
      <c r="T268" s="11">
        <f>VLOOKUP(A268,[1]Sheet1!$A:$G,5,FALSE)</f>
        <v>0</v>
      </c>
      <c r="U268" s="11">
        <f>VLOOKUP(A268,[1]Sheet1!$A:$G,6,FALSE)</f>
        <v>39</v>
      </c>
      <c r="V268" s="18">
        <f>VLOOKUP(A268,[1]Sheet1!$A:$G,7,FALSE)</f>
        <v>39</v>
      </c>
    </row>
    <row r="269" spans="1:22" s="13" customFormat="1" ht="30" customHeight="1">
      <c r="A269" s="17">
        <v>265</v>
      </c>
      <c r="B269" s="8">
        <v>40878</v>
      </c>
      <c r="C269" s="8" t="str">
        <f t="shared" si="12"/>
        <v>Thursday</v>
      </c>
      <c r="D269" s="9">
        <v>1</v>
      </c>
      <c r="E269" s="9">
        <v>0</v>
      </c>
      <c r="F269" s="9">
        <v>1</v>
      </c>
      <c r="G269" s="7">
        <v>11</v>
      </c>
      <c r="H269" s="9" t="b">
        <v>0</v>
      </c>
      <c r="I269" s="9">
        <v>3</v>
      </c>
      <c r="J269" s="38" t="str">
        <f>CHOOSE(Table1[[#This Row],[Weekday]]+1,"Sunday","Monday","Tuesday","Wednesday","Thursday","Friday","Saturday")</f>
        <v>Wednesday</v>
      </c>
      <c r="K269" s="9">
        <v>1</v>
      </c>
      <c r="L269" s="38" t="str">
        <f>IF(Table1[[#This Row],[Weather_code]]=1,"Clear",IF(Table1[[#This Row],[Weather_code]]=2,"Cloudy",IF(Table1[[#This Row],[Weather_code]]=3,"Light Rain",IF(Table1[[#This Row],[Weather_code]]=4,"Heavy Rain"))))</f>
        <v>Clear</v>
      </c>
      <c r="M269" s="10">
        <v>0.2</v>
      </c>
      <c r="N269" s="11" t="str">
        <f t="shared" si="13"/>
        <v>Winter</v>
      </c>
      <c r="O269" s="11" t="str">
        <f t="shared" si="14"/>
        <v>Weekday</v>
      </c>
      <c r="P269" s="11">
        <f>VLOOKUP(A269,[1]Sheet1!$A:$H,2, FALSE)</f>
        <v>0.18179999999999999</v>
      </c>
      <c r="Q269" s="40">
        <f>Table1[[#This Row],[A_Temperature]]*41</f>
        <v>7.4537999999999993</v>
      </c>
      <c r="R269" s="11">
        <f>VLOOKUP(A269,[1]Sheet1!$A:$G,3,FALSE)</f>
        <v>0.51</v>
      </c>
      <c r="S269" s="11">
        <f>VLOOKUP(A269,[1]Sheet1!$A:$G,4,FALSE)</f>
        <v>0.3881</v>
      </c>
      <c r="T269" s="11">
        <f>VLOOKUP(A269,[1]Sheet1!$A:$G,5,FALSE)</f>
        <v>3</v>
      </c>
      <c r="U269" s="11">
        <f>VLOOKUP(A269,[1]Sheet1!$A:$G,6,FALSE)</f>
        <v>32</v>
      </c>
      <c r="V269" s="18">
        <f>VLOOKUP(A269,[1]Sheet1!$A:$G,7,FALSE)</f>
        <v>35</v>
      </c>
    </row>
    <row r="270" spans="1:22" s="13" customFormat="1" ht="30" customHeight="1">
      <c r="A270" s="17">
        <v>266</v>
      </c>
      <c r="B270" s="8">
        <v>40878</v>
      </c>
      <c r="C270" s="8" t="str">
        <f t="shared" si="12"/>
        <v>Thursday</v>
      </c>
      <c r="D270" s="9">
        <v>1</v>
      </c>
      <c r="E270" s="9">
        <v>0</v>
      </c>
      <c r="F270" s="9">
        <v>1</v>
      </c>
      <c r="G270" s="7">
        <v>12</v>
      </c>
      <c r="H270" s="9" t="b">
        <v>0</v>
      </c>
      <c r="I270" s="9">
        <v>3</v>
      </c>
      <c r="J270" s="38" t="str">
        <f>CHOOSE(Table1[[#This Row],[Weekday]]+1,"Sunday","Monday","Tuesday","Wednesday","Thursday","Friday","Saturday")</f>
        <v>Wednesday</v>
      </c>
      <c r="K270" s="9">
        <v>1</v>
      </c>
      <c r="L270" s="38" t="str">
        <f>IF(Table1[[#This Row],[Weather_code]]=1,"Clear",IF(Table1[[#This Row],[Weather_code]]=2,"Cloudy",IF(Table1[[#This Row],[Weather_code]]=3,"Light Rain",IF(Table1[[#This Row],[Weather_code]]=4,"Heavy Rain"))))</f>
        <v>Clear</v>
      </c>
      <c r="M270" s="10">
        <v>0.2</v>
      </c>
      <c r="N270" s="11" t="str">
        <f t="shared" si="13"/>
        <v>Winter</v>
      </c>
      <c r="O270" s="11" t="str">
        <f t="shared" si="14"/>
        <v>Weekday</v>
      </c>
      <c r="P270" s="11">
        <f>VLOOKUP(A270,[1]Sheet1!$A:$H,2, FALSE)</f>
        <v>0.1515</v>
      </c>
      <c r="Q270" s="40">
        <f>Table1[[#This Row],[A_Temperature]]*41</f>
        <v>6.2115</v>
      </c>
      <c r="R270" s="11">
        <f>VLOOKUP(A270,[1]Sheet1!$A:$G,3,FALSE)</f>
        <v>0.47</v>
      </c>
      <c r="S270" s="11">
        <f>VLOOKUP(A270,[1]Sheet1!$A:$G,4,FALSE)</f>
        <v>0.58209999999999995</v>
      </c>
      <c r="T270" s="11">
        <f>VLOOKUP(A270,[1]Sheet1!$A:$G,5,FALSE)</f>
        <v>3</v>
      </c>
      <c r="U270" s="11">
        <f>VLOOKUP(A270,[1]Sheet1!$A:$G,6,FALSE)</f>
        <v>52</v>
      </c>
      <c r="V270" s="18">
        <f>VLOOKUP(A270,[1]Sheet1!$A:$G,7,FALSE)</f>
        <v>55</v>
      </c>
    </row>
    <row r="271" spans="1:22" s="13" customFormat="1" ht="30" customHeight="1">
      <c r="A271" s="17">
        <v>267</v>
      </c>
      <c r="B271" s="8">
        <v>40878</v>
      </c>
      <c r="C271" s="8" t="str">
        <f t="shared" si="12"/>
        <v>Thursday</v>
      </c>
      <c r="D271" s="9">
        <v>1</v>
      </c>
      <c r="E271" s="9">
        <v>0</v>
      </c>
      <c r="F271" s="9">
        <v>1</v>
      </c>
      <c r="G271" s="7">
        <v>13</v>
      </c>
      <c r="H271" s="9" t="b">
        <v>0</v>
      </c>
      <c r="I271" s="9">
        <v>3</v>
      </c>
      <c r="J271" s="38" t="str">
        <f>CHOOSE(Table1[[#This Row],[Weekday]]+1,"Sunday","Monday","Tuesday","Wednesday","Thursday","Friday","Saturday")</f>
        <v>Wednesday</v>
      </c>
      <c r="K271" s="9">
        <v>1</v>
      </c>
      <c r="L271" s="38" t="str">
        <f>IF(Table1[[#This Row],[Weather_code]]=1,"Clear",IF(Table1[[#This Row],[Weather_code]]=2,"Cloudy",IF(Table1[[#This Row],[Weather_code]]=3,"Light Rain",IF(Table1[[#This Row],[Weather_code]]=4,"Heavy Rain"))))</f>
        <v>Clear</v>
      </c>
      <c r="M271" s="10">
        <v>0.22</v>
      </c>
      <c r="N271" s="11" t="str">
        <f t="shared" si="13"/>
        <v>Winter</v>
      </c>
      <c r="O271" s="11" t="str">
        <f t="shared" si="14"/>
        <v>Weekday</v>
      </c>
      <c r="P271" s="11">
        <f>VLOOKUP(A271,[1]Sheet1!$A:$H,2, FALSE)</f>
        <v>0.19700000000000001</v>
      </c>
      <c r="Q271" s="40">
        <f>Table1[[#This Row],[A_Temperature]]*41</f>
        <v>8.077</v>
      </c>
      <c r="R271" s="11">
        <f>VLOOKUP(A271,[1]Sheet1!$A:$G,3,FALSE)</f>
        <v>0.44</v>
      </c>
      <c r="S271" s="11">
        <f>VLOOKUP(A271,[1]Sheet1!$A:$G,4,FALSE)</f>
        <v>0.35820000000000002</v>
      </c>
      <c r="T271" s="11">
        <f>VLOOKUP(A271,[1]Sheet1!$A:$G,5,FALSE)</f>
        <v>0</v>
      </c>
      <c r="U271" s="11">
        <f>VLOOKUP(A271,[1]Sheet1!$A:$G,6,FALSE)</f>
        <v>49</v>
      </c>
      <c r="V271" s="18">
        <f>VLOOKUP(A271,[1]Sheet1!$A:$G,7,FALSE)</f>
        <v>49</v>
      </c>
    </row>
    <row r="272" spans="1:22" s="13" customFormat="1" ht="30" customHeight="1">
      <c r="A272" s="17">
        <v>268</v>
      </c>
      <c r="B272" s="8">
        <v>40878</v>
      </c>
      <c r="C272" s="8" t="str">
        <f t="shared" si="12"/>
        <v>Thursday</v>
      </c>
      <c r="D272" s="9">
        <v>1</v>
      </c>
      <c r="E272" s="9">
        <v>0</v>
      </c>
      <c r="F272" s="9">
        <v>1</v>
      </c>
      <c r="G272" s="7">
        <v>14</v>
      </c>
      <c r="H272" s="9" t="b">
        <v>0</v>
      </c>
      <c r="I272" s="9">
        <v>3</v>
      </c>
      <c r="J272" s="38" t="str">
        <f>CHOOSE(Table1[[#This Row],[Weekday]]+1,"Sunday","Monday","Tuesday","Wednesday","Thursday","Friday","Saturday")</f>
        <v>Wednesday</v>
      </c>
      <c r="K272" s="9">
        <v>1</v>
      </c>
      <c r="L272" s="38" t="str">
        <f>IF(Table1[[#This Row],[Weather_code]]=1,"Clear",IF(Table1[[#This Row],[Weather_code]]=2,"Cloudy",IF(Table1[[#This Row],[Weather_code]]=3,"Light Rain",IF(Table1[[#This Row],[Weather_code]]=4,"Heavy Rain"))))</f>
        <v>Clear</v>
      </c>
      <c r="M272" s="10">
        <v>0.2</v>
      </c>
      <c r="N272" s="11" t="str">
        <f t="shared" si="13"/>
        <v>Winter</v>
      </c>
      <c r="O272" s="11" t="str">
        <f t="shared" si="14"/>
        <v>Weekday</v>
      </c>
      <c r="P272" s="11">
        <f>VLOOKUP(A272,[1]Sheet1!$A:$H,2, FALSE)</f>
        <v>0.18179999999999999</v>
      </c>
      <c r="Q272" s="40">
        <f>Table1[[#This Row],[A_Temperature]]*41</f>
        <v>7.4537999999999993</v>
      </c>
      <c r="R272" s="11">
        <f>VLOOKUP(A272,[1]Sheet1!$A:$G,3,FALSE)</f>
        <v>0.47</v>
      </c>
      <c r="S272" s="11">
        <f>VLOOKUP(A272,[1]Sheet1!$A:$G,4,FALSE)</f>
        <v>0.32840000000000003</v>
      </c>
      <c r="T272" s="11">
        <f>VLOOKUP(A272,[1]Sheet1!$A:$G,5,FALSE)</f>
        <v>0</v>
      </c>
      <c r="U272" s="11">
        <f>VLOOKUP(A272,[1]Sheet1!$A:$G,6,FALSE)</f>
        <v>44</v>
      </c>
      <c r="V272" s="18">
        <f>VLOOKUP(A272,[1]Sheet1!$A:$G,7,FALSE)</f>
        <v>44</v>
      </c>
    </row>
    <row r="273" spans="1:22" s="13" customFormat="1" ht="30" customHeight="1">
      <c r="A273" s="17">
        <v>269</v>
      </c>
      <c r="B273" s="8">
        <v>40878</v>
      </c>
      <c r="C273" s="8" t="str">
        <f t="shared" si="12"/>
        <v>Thursday</v>
      </c>
      <c r="D273" s="9">
        <v>1</v>
      </c>
      <c r="E273" s="9">
        <v>0</v>
      </c>
      <c r="F273" s="9">
        <v>1</v>
      </c>
      <c r="G273" s="7">
        <v>15</v>
      </c>
      <c r="H273" s="9" t="b">
        <v>0</v>
      </c>
      <c r="I273" s="9">
        <v>3</v>
      </c>
      <c r="J273" s="38" t="str">
        <f>CHOOSE(Table1[[#This Row],[Weekday]]+1,"Sunday","Monday","Tuesday","Wednesday","Thursday","Friday","Saturday")</f>
        <v>Wednesday</v>
      </c>
      <c r="K273" s="9">
        <v>1</v>
      </c>
      <c r="L273" s="38" t="str">
        <f>IF(Table1[[#This Row],[Weather_code]]=1,"Clear",IF(Table1[[#This Row],[Weather_code]]=2,"Cloudy",IF(Table1[[#This Row],[Weather_code]]=3,"Light Rain",IF(Table1[[#This Row],[Weather_code]]=4,"Heavy Rain"))))</f>
        <v>Clear</v>
      </c>
      <c r="M273" s="10">
        <v>0.2</v>
      </c>
      <c r="N273" s="11" t="str">
        <f t="shared" si="13"/>
        <v>Winter</v>
      </c>
      <c r="O273" s="11" t="str">
        <f t="shared" si="14"/>
        <v>Weekday</v>
      </c>
      <c r="P273" s="11">
        <f>VLOOKUP(A273,[1]Sheet1!$A:$H,2, FALSE)</f>
        <v>0.16669999999999999</v>
      </c>
      <c r="Q273" s="40">
        <f>Table1[[#This Row],[A_Temperature]]*41</f>
        <v>6.8346999999999998</v>
      </c>
      <c r="R273" s="11">
        <f>VLOOKUP(A273,[1]Sheet1!$A:$G,3,FALSE)</f>
        <v>0.47</v>
      </c>
      <c r="S273" s="11">
        <f>VLOOKUP(A273,[1]Sheet1!$A:$G,4,FALSE)</f>
        <v>0.41789999999999999</v>
      </c>
      <c r="T273" s="11">
        <f>VLOOKUP(A273,[1]Sheet1!$A:$G,5,FALSE)</f>
        <v>1</v>
      </c>
      <c r="U273" s="11">
        <f>VLOOKUP(A273,[1]Sheet1!$A:$G,6,FALSE)</f>
        <v>48</v>
      </c>
      <c r="V273" s="18">
        <f>VLOOKUP(A273,[1]Sheet1!$A:$G,7,FALSE)</f>
        <v>49</v>
      </c>
    </row>
    <row r="274" spans="1:22" s="13" customFormat="1" ht="30" customHeight="1">
      <c r="A274" s="17">
        <v>270</v>
      </c>
      <c r="B274" s="8">
        <v>40878</v>
      </c>
      <c r="C274" s="8" t="str">
        <f t="shared" si="12"/>
        <v>Thursday</v>
      </c>
      <c r="D274" s="9">
        <v>1</v>
      </c>
      <c r="E274" s="9">
        <v>0</v>
      </c>
      <c r="F274" s="9">
        <v>1</v>
      </c>
      <c r="G274" s="7">
        <v>16</v>
      </c>
      <c r="H274" s="9" t="b">
        <v>0</v>
      </c>
      <c r="I274" s="9">
        <v>3</v>
      </c>
      <c r="J274" s="38" t="str">
        <f>CHOOSE(Table1[[#This Row],[Weekday]]+1,"Sunday","Monday","Tuesday","Wednesday","Thursday","Friday","Saturday")</f>
        <v>Wednesday</v>
      </c>
      <c r="K274" s="9">
        <v>1</v>
      </c>
      <c r="L274" s="38" t="str">
        <f>IF(Table1[[#This Row],[Weather_code]]=1,"Clear",IF(Table1[[#This Row],[Weather_code]]=2,"Cloudy",IF(Table1[[#This Row],[Weather_code]]=3,"Light Rain",IF(Table1[[#This Row],[Weather_code]]=4,"Heavy Rain"))))</f>
        <v>Clear</v>
      </c>
      <c r="M274" s="10">
        <v>0.22</v>
      </c>
      <c r="N274" s="11" t="str">
        <f t="shared" si="13"/>
        <v>Winter</v>
      </c>
      <c r="O274" s="11" t="str">
        <f t="shared" si="14"/>
        <v>Weekday</v>
      </c>
      <c r="P274" s="11">
        <f>VLOOKUP(A274,[1]Sheet1!$A:$H,2, FALSE)</f>
        <v>0.19700000000000001</v>
      </c>
      <c r="Q274" s="40">
        <f>Table1[[#This Row],[A_Temperature]]*41</f>
        <v>8.077</v>
      </c>
      <c r="R274" s="11">
        <f>VLOOKUP(A274,[1]Sheet1!$A:$G,3,FALSE)</f>
        <v>0.44</v>
      </c>
      <c r="S274" s="11">
        <f>VLOOKUP(A274,[1]Sheet1!$A:$G,4,FALSE)</f>
        <v>0.32840000000000003</v>
      </c>
      <c r="T274" s="11">
        <f>VLOOKUP(A274,[1]Sheet1!$A:$G,5,FALSE)</f>
        <v>5</v>
      </c>
      <c r="U274" s="11">
        <f>VLOOKUP(A274,[1]Sheet1!$A:$G,6,FALSE)</f>
        <v>63</v>
      </c>
      <c r="V274" s="18">
        <f>VLOOKUP(A274,[1]Sheet1!$A:$G,7,FALSE)</f>
        <v>68</v>
      </c>
    </row>
    <row r="275" spans="1:22" s="13" customFormat="1" ht="30" customHeight="1">
      <c r="A275" s="17">
        <v>271</v>
      </c>
      <c r="B275" s="8">
        <v>40878</v>
      </c>
      <c r="C275" s="8" t="str">
        <f t="shared" si="12"/>
        <v>Thursday</v>
      </c>
      <c r="D275" s="9">
        <v>1</v>
      </c>
      <c r="E275" s="9">
        <v>0</v>
      </c>
      <c r="F275" s="9">
        <v>1</v>
      </c>
      <c r="G275" s="7">
        <v>17</v>
      </c>
      <c r="H275" s="9" t="b">
        <v>0</v>
      </c>
      <c r="I275" s="9">
        <v>3</v>
      </c>
      <c r="J275" s="38" t="str">
        <f>CHOOSE(Table1[[#This Row],[Weekday]]+1,"Sunday","Monday","Tuesday","Wednesday","Thursday","Friday","Saturday")</f>
        <v>Wednesday</v>
      </c>
      <c r="K275" s="9">
        <v>1</v>
      </c>
      <c r="L275" s="38" t="str">
        <f>IF(Table1[[#This Row],[Weather_code]]=1,"Clear",IF(Table1[[#This Row],[Weather_code]]=2,"Cloudy",IF(Table1[[#This Row],[Weather_code]]=3,"Light Rain",IF(Table1[[#This Row],[Weather_code]]=4,"Heavy Rain"))))</f>
        <v>Clear</v>
      </c>
      <c r="M275" s="10">
        <v>0.2</v>
      </c>
      <c r="N275" s="11" t="str">
        <f t="shared" si="13"/>
        <v>Winter</v>
      </c>
      <c r="O275" s="11" t="str">
        <f t="shared" si="14"/>
        <v>Weekday</v>
      </c>
      <c r="P275" s="11">
        <f>VLOOKUP(A275,[1]Sheet1!$A:$H,2, FALSE)</f>
        <v>0.18179999999999999</v>
      </c>
      <c r="Q275" s="40">
        <f>Table1[[#This Row],[A_Temperature]]*41</f>
        <v>7.4537999999999993</v>
      </c>
      <c r="R275" s="11">
        <f>VLOOKUP(A275,[1]Sheet1!$A:$G,3,FALSE)</f>
        <v>0.47</v>
      </c>
      <c r="S275" s="11">
        <f>VLOOKUP(A275,[1]Sheet1!$A:$G,4,FALSE)</f>
        <v>0.35820000000000002</v>
      </c>
      <c r="T275" s="11">
        <f>VLOOKUP(A275,[1]Sheet1!$A:$G,5,FALSE)</f>
        <v>0</v>
      </c>
      <c r="U275" s="11">
        <f>VLOOKUP(A275,[1]Sheet1!$A:$G,6,FALSE)</f>
        <v>139</v>
      </c>
      <c r="V275" s="18">
        <f>VLOOKUP(A275,[1]Sheet1!$A:$G,7,FALSE)</f>
        <v>139</v>
      </c>
    </row>
    <row r="276" spans="1:22" s="13" customFormat="1" ht="30" customHeight="1">
      <c r="A276" s="17">
        <v>272</v>
      </c>
      <c r="B276" s="8">
        <v>40878</v>
      </c>
      <c r="C276" s="8" t="str">
        <f t="shared" si="12"/>
        <v>Thursday</v>
      </c>
      <c r="D276" s="9">
        <v>1</v>
      </c>
      <c r="E276" s="9">
        <v>0</v>
      </c>
      <c r="F276" s="9">
        <v>1</v>
      </c>
      <c r="G276" s="7">
        <v>18</v>
      </c>
      <c r="H276" s="9" t="b">
        <v>0</v>
      </c>
      <c r="I276" s="9">
        <v>3</v>
      </c>
      <c r="J276" s="38" t="str">
        <f>CHOOSE(Table1[[#This Row],[Weekday]]+1,"Sunday","Monday","Tuesday","Wednesday","Thursday","Friday","Saturday")</f>
        <v>Wednesday</v>
      </c>
      <c r="K276" s="9">
        <v>1</v>
      </c>
      <c r="L276" s="38" t="str">
        <f>IF(Table1[[#This Row],[Weather_code]]=1,"Clear",IF(Table1[[#This Row],[Weather_code]]=2,"Cloudy",IF(Table1[[#This Row],[Weather_code]]=3,"Light Rain",IF(Table1[[#This Row],[Weather_code]]=4,"Heavy Rain"))))</f>
        <v>Clear</v>
      </c>
      <c r="M276" s="10">
        <v>0.2</v>
      </c>
      <c r="N276" s="11" t="str">
        <f t="shared" si="13"/>
        <v>Winter</v>
      </c>
      <c r="O276" s="11" t="str">
        <f t="shared" si="14"/>
        <v>Weekday</v>
      </c>
      <c r="P276" s="11">
        <f>VLOOKUP(A276,[1]Sheet1!$A:$H,2, FALSE)</f>
        <v>0.1515</v>
      </c>
      <c r="Q276" s="40">
        <f>Table1[[#This Row],[A_Temperature]]*41</f>
        <v>6.2115</v>
      </c>
      <c r="R276" s="11">
        <f>VLOOKUP(A276,[1]Sheet1!$A:$G,3,FALSE)</f>
        <v>0.47</v>
      </c>
      <c r="S276" s="11">
        <f>VLOOKUP(A276,[1]Sheet1!$A:$G,4,FALSE)</f>
        <v>0.52239999999999998</v>
      </c>
      <c r="T276" s="11">
        <f>VLOOKUP(A276,[1]Sheet1!$A:$G,5,FALSE)</f>
        <v>2</v>
      </c>
      <c r="U276" s="11">
        <f>VLOOKUP(A276,[1]Sheet1!$A:$G,6,FALSE)</f>
        <v>135</v>
      </c>
      <c r="V276" s="18">
        <f>VLOOKUP(A276,[1]Sheet1!$A:$G,7,FALSE)</f>
        <v>137</v>
      </c>
    </row>
    <row r="277" spans="1:22" s="13" customFormat="1" ht="30" customHeight="1">
      <c r="A277" s="17">
        <v>273</v>
      </c>
      <c r="B277" s="8">
        <v>40878</v>
      </c>
      <c r="C277" s="8" t="str">
        <f t="shared" si="12"/>
        <v>Thursday</v>
      </c>
      <c r="D277" s="9">
        <v>1</v>
      </c>
      <c r="E277" s="9">
        <v>0</v>
      </c>
      <c r="F277" s="9">
        <v>1</v>
      </c>
      <c r="G277" s="7">
        <v>19</v>
      </c>
      <c r="H277" s="9" t="b">
        <v>0</v>
      </c>
      <c r="I277" s="9">
        <v>3</v>
      </c>
      <c r="J277" s="38" t="str">
        <f>CHOOSE(Table1[[#This Row],[Weekday]]+1,"Sunday","Monday","Tuesday","Wednesday","Thursday","Friday","Saturday")</f>
        <v>Wednesday</v>
      </c>
      <c r="K277" s="9">
        <v>1</v>
      </c>
      <c r="L277" s="38" t="str">
        <f>IF(Table1[[#This Row],[Weather_code]]=1,"Clear",IF(Table1[[#This Row],[Weather_code]]=2,"Cloudy",IF(Table1[[#This Row],[Weather_code]]=3,"Light Rain",IF(Table1[[#This Row],[Weather_code]]=4,"Heavy Rain"))))</f>
        <v>Clear</v>
      </c>
      <c r="M277" s="10">
        <v>0.18</v>
      </c>
      <c r="N277" s="11" t="str">
        <f t="shared" si="13"/>
        <v>Winter</v>
      </c>
      <c r="O277" s="11" t="str">
        <f t="shared" si="14"/>
        <v>Weekday</v>
      </c>
      <c r="P277" s="11">
        <f>VLOOKUP(A277,[1]Sheet1!$A:$H,2, FALSE)</f>
        <v>0.1515</v>
      </c>
      <c r="Q277" s="40">
        <f>Table1[[#This Row],[A_Temperature]]*41</f>
        <v>6.2115</v>
      </c>
      <c r="R277" s="11">
        <f>VLOOKUP(A277,[1]Sheet1!$A:$G,3,FALSE)</f>
        <v>0.47</v>
      </c>
      <c r="S277" s="11">
        <f>VLOOKUP(A277,[1]Sheet1!$A:$G,4,FALSE)</f>
        <v>0.41789999999999999</v>
      </c>
      <c r="T277" s="11">
        <f>VLOOKUP(A277,[1]Sheet1!$A:$G,5,FALSE)</f>
        <v>1</v>
      </c>
      <c r="U277" s="11">
        <f>VLOOKUP(A277,[1]Sheet1!$A:$G,6,FALSE)</f>
        <v>82</v>
      </c>
      <c r="V277" s="18">
        <f>VLOOKUP(A277,[1]Sheet1!$A:$G,7,FALSE)</f>
        <v>83</v>
      </c>
    </row>
    <row r="278" spans="1:22" s="13" customFormat="1" ht="30" customHeight="1">
      <c r="A278" s="17">
        <v>274</v>
      </c>
      <c r="B278" s="8">
        <v>40878</v>
      </c>
      <c r="C278" s="8" t="str">
        <f t="shared" si="12"/>
        <v>Thursday</v>
      </c>
      <c r="D278" s="9">
        <v>1</v>
      </c>
      <c r="E278" s="9">
        <v>0</v>
      </c>
      <c r="F278" s="9">
        <v>1</v>
      </c>
      <c r="G278" s="7">
        <v>20</v>
      </c>
      <c r="H278" s="9" t="b">
        <v>0</v>
      </c>
      <c r="I278" s="9">
        <v>3</v>
      </c>
      <c r="J278" s="38" t="str">
        <f>CHOOSE(Table1[[#This Row],[Weekday]]+1,"Sunday","Monday","Tuesday","Wednesday","Thursday","Friday","Saturday")</f>
        <v>Wednesday</v>
      </c>
      <c r="K278" s="9">
        <v>1</v>
      </c>
      <c r="L278" s="38" t="str">
        <f>IF(Table1[[#This Row],[Weather_code]]=1,"Clear",IF(Table1[[#This Row],[Weather_code]]=2,"Cloudy",IF(Table1[[#This Row],[Weather_code]]=3,"Light Rain",IF(Table1[[#This Row],[Weather_code]]=4,"Heavy Rain"))))</f>
        <v>Clear</v>
      </c>
      <c r="M278" s="10">
        <v>0.16</v>
      </c>
      <c r="N278" s="11" t="str">
        <f t="shared" si="13"/>
        <v>Winter</v>
      </c>
      <c r="O278" s="11" t="str">
        <f t="shared" si="14"/>
        <v>Weekday</v>
      </c>
      <c r="P278" s="11">
        <f>VLOOKUP(A278,[1]Sheet1!$A:$H,2, FALSE)</f>
        <v>0.13639999999999999</v>
      </c>
      <c r="Q278" s="40">
        <f>Table1[[#This Row],[A_Temperature]]*41</f>
        <v>5.5923999999999996</v>
      </c>
      <c r="R278" s="11">
        <f>VLOOKUP(A278,[1]Sheet1!$A:$G,3,FALSE)</f>
        <v>0.5</v>
      </c>
      <c r="S278" s="11">
        <f>VLOOKUP(A278,[1]Sheet1!$A:$G,4,FALSE)</f>
        <v>0.32840000000000003</v>
      </c>
      <c r="T278" s="11">
        <f>VLOOKUP(A278,[1]Sheet1!$A:$G,5,FALSE)</f>
        <v>2</v>
      </c>
      <c r="U278" s="11">
        <f>VLOOKUP(A278,[1]Sheet1!$A:$G,6,FALSE)</f>
        <v>54</v>
      </c>
      <c r="V278" s="18">
        <f>VLOOKUP(A278,[1]Sheet1!$A:$G,7,FALSE)</f>
        <v>56</v>
      </c>
    </row>
    <row r="279" spans="1:22" s="13" customFormat="1" ht="30" customHeight="1">
      <c r="A279" s="17">
        <v>275</v>
      </c>
      <c r="B279" s="8">
        <v>40878</v>
      </c>
      <c r="C279" s="8" t="str">
        <f t="shared" si="12"/>
        <v>Thursday</v>
      </c>
      <c r="D279" s="9">
        <v>1</v>
      </c>
      <c r="E279" s="9">
        <v>0</v>
      </c>
      <c r="F279" s="9">
        <v>1</v>
      </c>
      <c r="G279" s="7">
        <v>21</v>
      </c>
      <c r="H279" s="9" t="b">
        <v>0</v>
      </c>
      <c r="I279" s="9">
        <v>3</v>
      </c>
      <c r="J279" s="38" t="str">
        <f>CHOOSE(Table1[[#This Row],[Weekday]]+1,"Sunday","Monday","Tuesday","Wednesday","Thursday","Friday","Saturday")</f>
        <v>Wednesday</v>
      </c>
      <c r="K279" s="9">
        <v>1</v>
      </c>
      <c r="L279" s="38" t="str">
        <f>IF(Table1[[#This Row],[Weather_code]]=1,"Clear",IF(Table1[[#This Row],[Weather_code]]=2,"Cloudy",IF(Table1[[#This Row],[Weather_code]]=3,"Light Rain",IF(Table1[[#This Row],[Weather_code]]=4,"Heavy Rain"))))</f>
        <v>Clear</v>
      </c>
      <c r="M279" s="10">
        <v>0.16</v>
      </c>
      <c r="N279" s="11" t="str">
        <f t="shared" si="13"/>
        <v>Winter</v>
      </c>
      <c r="O279" s="11" t="str">
        <f t="shared" si="14"/>
        <v>Weekday</v>
      </c>
      <c r="P279" s="11">
        <f>VLOOKUP(A279,[1]Sheet1!$A:$H,2, FALSE)</f>
        <v>0.13639999999999999</v>
      </c>
      <c r="Q279" s="40">
        <f>Table1[[#This Row],[A_Temperature]]*41</f>
        <v>5.5923999999999996</v>
      </c>
      <c r="R279" s="11">
        <f>VLOOKUP(A279,[1]Sheet1!$A:$G,3,FALSE)</f>
        <v>0.55000000000000004</v>
      </c>
      <c r="S279" s="11">
        <f>VLOOKUP(A279,[1]Sheet1!$A:$G,4,FALSE)</f>
        <v>0.32840000000000003</v>
      </c>
      <c r="T279" s="11">
        <f>VLOOKUP(A279,[1]Sheet1!$A:$G,5,FALSE)</f>
        <v>0</v>
      </c>
      <c r="U279" s="11">
        <f>VLOOKUP(A279,[1]Sheet1!$A:$G,6,FALSE)</f>
        <v>57</v>
      </c>
      <c r="V279" s="18">
        <f>VLOOKUP(A279,[1]Sheet1!$A:$G,7,FALSE)</f>
        <v>57</v>
      </c>
    </row>
    <row r="280" spans="1:22" s="13" customFormat="1" ht="30" customHeight="1">
      <c r="A280" s="17">
        <v>276</v>
      </c>
      <c r="B280" s="8">
        <v>40878</v>
      </c>
      <c r="C280" s="8" t="str">
        <f t="shared" si="12"/>
        <v>Thursday</v>
      </c>
      <c r="D280" s="9">
        <v>1</v>
      </c>
      <c r="E280" s="9">
        <v>0</v>
      </c>
      <c r="F280" s="9">
        <v>1</v>
      </c>
      <c r="G280" s="7">
        <v>22</v>
      </c>
      <c r="H280" s="9" t="b">
        <v>0</v>
      </c>
      <c r="I280" s="9">
        <v>3</v>
      </c>
      <c r="J280" s="38" t="str">
        <f>CHOOSE(Table1[[#This Row],[Weekday]]+1,"Sunday","Monday","Tuesday","Wednesday","Thursday","Friday","Saturday")</f>
        <v>Wednesday</v>
      </c>
      <c r="K280" s="9">
        <v>1</v>
      </c>
      <c r="L280" s="38" t="str">
        <f>IF(Table1[[#This Row],[Weather_code]]=1,"Clear",IF(Table1[[#This Row],[Weather_code]]=2,"Cloudy",IF(Table1[[#This Row],[Weather_code]]=3,"Light Rain",IF(Table1[[#This Row],[Weather_code]]=4,"Heavy Rain"))))</f>
        <v>Clear</v>
      </c>
      <c r="M280" s="10">
        <v>0.16</v>
      </c>
      <c r="N280" s="11" t="str">
        <f t="shared" si="13"/>
        <v>Winter</v>
      </c>
      <c r="O280" s="11" t="str">
        <f t="shared" si="14"/>
        <v>Weekday</v>
      </c>
      <c r="P280" s="11">
        <f>VLOOKUP(A280,[1]Sheet1!$A:$H,2, FALSE)</f>
        <v>0.1212</v>
      </c>
      <c r="Q280" s="40">
        <f>Table1[[#This Row],[A_Temperature]]*41</f>
        <v>4.9691999999999998</v>
      </c>
      <c r="R280" s="11">
        <f>VLOOKUP(A280,[1]Sheet1!$A:$G,3,FALSE)</f>
        <v>0.55000000000000004</v>
      </c>
      <c r="S280" s="11">
        <f>VLOOKUP(A280,[1]Sheet1!$A:$G,4,FALSE)</f>
        <v>0.44779999999999998</v>
      </c>
      <c r="T280" s="11">
        <f>VLOOKUP(A280,[1]Sheet1!$A:$G,5,FALSE)</f>
        <v>1</v>
      </c>
      <c r="U280" s="11">
        <f>VLOOKUP(A280,[1]Sheet1!$A:$G,6,FALSE)</f>
        <v>32</v>
      </c>
      <c r="V280" s="18">
        <f>VLOOKUP(A280,[1]Sheet1!$A:$G,7,FALSE)</f>
        <v>33</v>
      </c>
    </row>
    <row r="281" spans="1:22" s="13" customFormat="1" ht="30" customHeight="1">
      <c r="A281" s="17">
        <v>277</v>
      </c>
      <c r="B281" s="8">
        <v>40878</v>
      </c>
      <c r="C281" s="8" t="str">
        <f t="shared" si="12"/>
        <v>Thursday</v>
      </c>
      <c r="D281" s="9">
        <v>1</v>
      </c>
      <c r="E281" s="9">
        <v>0</v>
      </c>
      <c r="F281" s="9">
        <v>1</v>
      </c>
      <c r="G281" s="7">
        <v>23</v>
      </c>
      <c r="H281" s="9" t="b">
        <v>0</v>
      </c>
      <c r="I281" s="9">
        <v>3</v>
      </c>
      <c r="J281" s="38" t="str">
        <f>CHOOSE(Table1[[#This Row],[Weekday]]+1,"Sunday","Monday","Tuesday","Wednesday","Thursday","Friday","Saturday")</f>
        <v>Wednesday</v>
      </c>
      <c r="K281" s="9">
        <v>1</v>
      </c>
      <c r="L281" s="38" t="str">
        <f>IF(Table1[[#This Row],[Weather_code]]=1,"Clear",IF(Table1[[#This Row],[Weather_code]]=2,"Cloudy",IF(Table1[[#This Row],[Weather_code]]=3,"Light Rain",IF(Table1[[#This Row],[Weather_code]]=4,"Heavy Rain"))))</f>
        <v>Clear</v>
      </c>
      <c r="M281" s="10">
        <v>0.14000000000000001</v>
      </c>
      <c r="N281" s="11" t="str">
        <f t="shared" si="13"/>
        <v>Winter</v>
      </c>
      <c r="O281" s="11" t="str">
        <f t="shared" si="14"/>
        <v>Weekday</v>
      </c>
      <c r="P281" s="11">
        <f>VLOOKUP(A281,[1]Sheet1!$A:$H,2, FALSE)</f>
        <v>0.1061</v>
      </c>
      <c r="Q281" s="40">
        <f>Table1[[#This Row],[A_Temperature]]*41</f>
        <v>4.3501000000000003</v>
      </c>
      <c r="R281" s="11">
        <f>VLOOKUP(A281,[1]Sheet1!$A:$G,3,FALSE)</f>
        <v>0.59</v>
      </c>
      <c r="S281" s="11">
        <f>VLOOKUP(A281,[1]Sheet1!$A:$G,4,FALSE)</f>
        <v>0.41789999999999999</v>
      </c>
      <c r="T281" s="11">
        <f>VLOOKUP(A281,[1]Sheet1!$A:$G,5,FALSE)</f>
        <v>1</v>
      </c>
      <c r="U281" s="11">
        <f>VLOOKUP(A281,[1]Sheet1!$A:$G,6,FALSE)</f>
        <v>19</v>
      </c>
      <c r="V281" s="18">
        <f>VLOOKUP(A281,[1]Sheet1!$A:$G,7,FALSE)</f>
        <v>20</v>
      </c>
    </row>
    <row r="282" spans="1:22" s="13" customFormat="1" ht="30" customHeight="1">
      <c r="A282" s="17">
        <v>278</v>
      </c>
      <c r="B282" s="14">
        <v>40556</v>
      </c>
      <c r="C282" s="8" t="str">
        <f t="shared" si="12"/>
        <v>Thursday</v>
      </c>
      <c r="D282" s="9">
        <v>1</v>
      </c>
      <c r="E282" s="9">
        <v>0</v>
      </c>
      <c r="F282" s="9">
        <v>1</v>
      </c>
      <c r="G282" s="7">
        <v>0</v>
      </c>
      <c r="H282" s="9" t="b">
        <v>0</v>
      </c>
      <c r="I282" s="9">
        <v>4</v>
      </c>
      <c r="J282" s="38" t="str">
        <f>CHOOSE(Table1[[#This Row],[Weekday]]+1,"Sunday","Monday","Tuesday","Wednesday","Thursday","Friday","Saturday")</f>
        <v>Thursday</v>
      </c>
      <c r="K282" s="9">
        <v>1</v>
      </c>
      <c r="L282" s="38" t="str">
        <f>IF(Table1[[#This Row],[Weather_code]]=1,"Clear",IF(Table1[[#This Row],[Weather_code]]=2,"Cloudy",IF(Table1[[#This Row],[Weather_code]]=3,"Light Rain",IF(Table1[[#This Row],[Weather_code]]=4,"Heavy Rain"))))</f>
        <v>Clear</v>
      </c>
      <c r="M282" s="10">
        <v>0.14000000000000001</v>
      </c>
      <c r="N282" s="11" t="str">
        <f t="shared" si="13"/>
        <v>Winter</v>
      </c>
      <c r="O282" s="11" t="str">
        <f t="shared" si="14"/>
        <v>Weekday</v>
      </c>
      <c r="P282" s="11">
        <f>VLOOKUP(A282,[1]Sheet1!$A:$H,2, FALSE)</f>
        <v>0.1212</v>
      </c>
      <c r="Q282" s="40">
        <f>Table1[[#This Row],[A_Temperature]]*41</f>
        <v>4.9691999999999998</v>
      </c>
      <c r="R282" s="11">
        <f>VLOOKUP(A282,[1]Sheet1!$A:$G,3,FALSE)</f>
        <v>0.59</v>
      </c>
      <c r="S282" s="11">
        <f>VLOOKUP(A282,[1]Sheet1!$A:$G,4,FALSE)</f>
        <v>0.28360000000000002</v>
      </c>
      <c r="T282" s="11">
        <f>VLOOKUP(A282,[1]Sheet1!$A:$G,5,FALSE)</f>
        <v>1</v>
      </c>
      <c r="U282" s="11">
        <f>VLOOKUP(A282,[1]Sheet1!$A:$G,6,FALSE)</f>
        <v>6</v>
      </c>
      <c r="V282" s="18">
        <f>VLOOKUP(A282,[1]Sheet1!$A:$G,7,FALSE)</f>
        <v>7</v>
      </c>
    </row>
    <row r="283" spans="1:22" s="13" customFormat="1" ht="30" customHeight="1">
      <c r="A283" s="17">
        <v>279</v>
      </c>
      <c r="B283" s="14">
        <v>40556</v>
      </c>
      <c r="C283" s="8" t="str">
        <f t="shared" si="12"/>
        <v>Thursday</v>
      </c>
      <c r="D283" s="9">
        <v>1</v>
      </c>
      <c r="E283" s="9">
        <v>0</v>
      </c>
      <c r="F283" s="9">
        <v>1</v>
      </c>
      <c r="G283" s="7">
        <v>1</v>
      </c>
      <c r="H283" s="9" t="b">
        <v>0</v>
      </c>
      <c r="I283" s="9">
        <v>4</v>
      </c>
      <c r="J283" s="38" t="str">
        <f>CHOOSE(Table1[[#This Row],[Weekday]]+1,"Sunday","Monday","Tuesday","Wednesday","Thursday","Friday","Saturday")</f>
        <v>Thursday</v>
      </c>
      <c r="K283" s="9">
        <v>1</v>
      </c>
      <c r="L283" s="38" t="str">
        <f>IF(Table1[[#This Row],[Weather_code]]=1,"Clear",IF(Table1[[#This Row],[Weather_code]]=2,"Cloudy",IF(Table1[[#This Row],[Weather_code]]=3,"Light Rain",IF(Table1[[#This Row],[Weather_code]]=4,"Heavy Rain"))))</f>
        <v>Clear</v>
      </c>
      <c r="M283" s="10">
        <v>0.14000000000000001</v>
      </c>
      <c r="N283" s="11" t="str">
        <f t="shared" si="13"/>
        <v>Winter</v>
      </c>
      <c r="O283" s="11" t="str">
        <f t="shared" si="14"/>
        <v>Weekday</v>
      </c>
      <c r="P283" s="11">
        <f>VLOOKUP(A283,[1]Sheet1!$A:$H,2, FALSE)</f>
        <v>0.1212</v>
      </c>
      <c r="Q283" s="40">
        <f>Table1[[#This Row],[A_Temperature]]*41</f>
        <v>4.9691999999999998</v>
      </c>
      <c r="R283" s="11">
        <f>VLOOKUP(A283,[1]Sheet1!$A:$G,3,FALSE)</f>
        <v>0.5</v>
      </c>
      <c r="S283" s="11">
        <f>VLOOKUP(A283,[1]Sheet1!$A:$G,4,FALSE)</f>
        <v>0.28360000000000002</v>
      </c>
      <c r="T283" s="11">
        <f>VLOOKUP(A283,[1]Sheet1!$A:$G,5,FALSE)</f>
        <v>0</v>
      </c>
      <c r="U283" s="11">
        <f>VLOOKUP(A283,[1]Sheet1!$A:$G,6,FALSE)</f>
        <v>2</v>
      </c>
      <c r="V283" s="18">
        <f>VLOOKUP(A283,[1]Sheet1!$A:$G,7,FALSE)</f>
        <v>2</v>
      </c>
    </row>
    <row r="284" spans="1:22" s="13" customFormat="1" ht="30" customHeight="1">
      <c r="A284" s="17">
        <v>280</v>
      </c>
      <c r="B284" s="14">
        <v>40556</v>
      </c>
      <c r="C284" s="8" t="str">
        <f t="shared" si="12"/>
        <v>Thursday</v>
      </c>
      <c r="D284" s="9">
        <v>1</v>
      </c>
      <c r="E284" s="9">
        <v>0</v>
      </c>
      <c r="F284" s="9">
        <v>1</v>
      </c>
      <c r="G284" s="7">
        <v>2</v>
      </c>
      <c r="H284" s="9" t="b">
        <v>0</v>
      </c>
      <c r="I284" s="9">
        <v>4</v>
      </c>
      <c r="J284" s="38" t="str">
        <f>CHOOSE(Table1[[#This Row],[Weekday]]+1,"Sunday","Monday","Tuesday","Wednesday","Thursday","Friday","Saturday")</f>
        <v>Thursday</v>
      </c>
      <c r="K284" s="9">
        <v>1</v>
      </c>
      <c r="L284" s="38" t="str">
        <f>IF(Table1[[#This Row],[Weather_code]]=1,"Clear",IF(Table1[[#This Row],[Weather_code]]=2,"Cloudy",IF(Table1[[#This Row],[Weather_code]]=3,"Light Rain",IF(Table1[[#This Row],[Weather_code]]=4,"Heavy Rain"))))</f>
        <v>Clear</v>
      </c>
      <c r="M284" s="10">
        <v>0.14000000000000001</v>
      </c>
      <c r="N284" s="11" t="str">
        <f t="shared" si="13"/>
        <v>Winter</v>
      </c>
      <c r="O284" s="11" t="str">
        <f t="shared" si="14"/>
        <v>Weekday</v>
      </c>
      <c r="P284" s="11">
        <f>VLOOKUP(A284,[1]Sheet1!$A:$H,2, FALSE)</f>
        <v>0.1212</v>
      </c>
      <c r="Q284" s="40">
        <f>Table1[[#This Row],[A_Temperature]]*41</f>
        <v>4.9691999999999998</v>
      </c>
      <c r="R284" s="11">
        <f>VLOOKUP(A284,[1]Sheet1!$A:$G,3,FALSE)</f>
        <v>0.5</v>
      </c>
      <c r="S284" s="11">
        <f>VLOOKUP(A284,[1]Sheet1!$A:$G,4,FALSE)</f>
        <v>0.35820000000000002</v>
      </c>
      <c r="T284" s="11">
        <f>VLOOKUP(A284,[1]Sheet1!$A:$G,5,FALSE)</f>
        <v>0</v>
      </c>
      <c r="U284" s="11">
        <f>VLOOKUP(A284,[1]Sheet1!$A:$G,6,FALSE)</f>
        <v>2</v>
      </c>
      <c r="V284" s="18">
        <f>VLOOKUP(A284,[1]Sheet1!$A:$G,7,FALSE)</f>
        <v>2</v>
      </c>
    </row>
    <row r="285" spans="1:22" s="13" customFormat="1" ht="30" customHeight="1">
      <c r="A285" s="17">
        <v>281</v>
      </c>
      <c r="B285" s="14">
        <v>40556</v>
      </c>
      <c r="C285" s="8" t="str">
        <f t="shared" ref="C285:C348" si="15">TEXT(B285,"DDDD")</f>
        <v>Thursday</v>
      </c>
      <c r="D285" s="9">
        <v>1</v>
      </c>
      <c r="E285" s="9">
        <v>0</v>
      </c>
      <c r="F285" s="9">
        <v>1</v>
      </c>
      <c r="G285" s="7">
        <v>3</v>
      </c>
      <c r="H285" s="9" t="b">
        <v>0</v>
      </c>
      <c r="I285" s="9">
        <v>4</v>
      </c>
      <c r="J285" s="38" t="str">
        <f>CHOOSE(Table1[[#This Row],[Weekday]]+1,"Sunday","Monday","Tuesday","Wednesday","Thursday","Friday","Saturday")</f>
        <v>Thursday</v>
      </c>
      <c r="K285" s="9">
        <v>1</v>
      </c>
      <c r="L285" s="38" t="str">
        <f>IF(Table1[[#This Row],[Weather_code]]=1,"Clear",IF(Table1[[#This Row],[Weather_code]]=2,"Cloudy",IF(Table1[[#This Row],[Weather_code]]=3,"Light Rain",IF(Table1[[#This Row],[Weather_code]]=4,"Heavy Rain"))))</f>
        <v>Clear</v>
      </c>
      <c r="M285" s="10">
        <v>0.14000000000000001</v>
      </c>
      <c r="N285" s="11" t="str">
        <f t="shared" si="13"/>
        <v>Winter</v>
      </c>
      <c r="O285" s="11" t="str">
        <f t="shared" si="14"/>
        <v>Weekday</v>
      </c>
      <c r="P285" s="11">
        <f>VLOOKUP(A285,[1]Sheet1!$A:$H,2, FALSE)</f>
        <v>0.1212</v>
      </c>
      <c r="Q285" s="40">
        <f>Table1[[#This Row],[A_Temperature]]*41</f>
        <v>4.9691999999999998</v>
      </c>
      <c r="R285" s="11">
        <f>VLOOKUP(A285,[1]Sheet1!$A:$G,3,FALSE)</f>
        <v>0.5</v>
      </c>
      <c r="S285" s="11">
        <f>VLOOKUP(A285,[1]Sheet1!$A:$G,4,FALSE)</f>
        <v>0.32840000000000003</v>
      </c>
      <c r="T285" s="11">
        <f>VLOOKUP(A285,[1]Sheet1!$A:$G,5,FALSE)</f>
        <v>0</v>
      </c>
      <c r="U285" s="11">
        <f>VLOOKUP(A285,[1]Sheet1!$A:$G,6,FALSE)</f>
        <v>3</v>
      </c>
      <c r="V285" s="18">
        <f>VLOOKUP(A285,[1]Sheet1!$A:$G,7,FALSE)</f>
        <v>3</v>
      </c>
    </row>
    <row r="286" spans="1:22" s="13" customFormat="1" ht="30" customHeight="1">
      <c r="A286" s="17">
        <v>282</v>
      </c>
      <c r="B286" s="14">
        <v>40556</v>
      </c>
      <c r="C286" s="8" t="str">
        <f t="shared" si="15"/>
        <v>Thursday</v>
      </c>
      <c r="D286" s="9">
        <v>1</v>
      </c>
      <c r="E286" s="9">
        <v>0</v>
      </c>
      <c r="F286" s="9">
        <v>1</v>
      </c>
      <c r="G286" s="7">
        <v>4</v>
      </c>
      <c r="H286" s="9" t="b">
        <v>0</v>
      </c>
      <c r="I286" s="9">
        <v>4</v>
      </c>
      <c r="J286" s="38" t="str">
        <f>CHOOSE(Table1[[#This Row],[Weekday]]+1,"Sunday","Monday","Tuesday","Wednesday","Thursday","Friday","Saturday")</f>
        <v>Thursday</v>
      </c>
      <c r="K286" s="9">
        <v>1</v>
      </c>
      <c r="L286" s="38" t="str">
        <f>IF(Table1[[#This Row],[Weather_code]]=1,"Clear",IF(Table1[[#This Row],[Weather_code]]=2,"Cloudy",IF(Table1[[#This Row],[Weather_code]]=3,"Light Rain",IF(Table1[[#This Row],[Weather_code]]=4,"Heavy Rain"))))</f>
        <v>Clear</v>
      </c>
      <c r="M286" s="10">
        <v>0.14000000000000001</v>
      </c>
      <c r="N286" s="11" t="str">
        <f t="shared" si="13"/>
        <v>Winter</v>
      </c>
      <c r="O286" s="11" t="str">
        <f t="shared" si="14"/>
        <v>Weekday</v>
      </c>
      <c r="P286" s="11">
        <f>VLOOKUP(A286,[1]Sheet1!$A:$H,2, FALSE)</f>
        <v>0.1212</v>
      </c>
      <c r="Q286" s="40">
        <f>Table1[[#This Row],[A_Temperature]]*41</f>
        <v>4.9691999999999998</v>
      </c>
      <c r="R286" s="11">
        <f>VLOOKUP(A286,[1]Sheet1!$A:$G,3,FALSE)</f>
        <v>0.5</v>
      </c>
      <c r="S286" s="11">
        <f>VLOOKUP(A286,[1]Sheet1!$A:$G,4,FALSE)</f>
        <v>0.25369999999999998</v>
      </c>
      <c r="T286" s="11">
        <f>VLOOKUP(A286,[1]Sheet1!$A:$G,5,FALSE)</f>
        <v>0</v>
      </c>
      <c r="U286" s="11">
        <f>VLOOKUP(A286,[1]Sheet1!$A:$G,6,FALSE)</f>
        <v>4</v>
      </c>
      <c r="V286" s="18">
        <f>VLOOKUP(A286,[1]Sheet1!$A:$G,7,FALSE)</f>
        <v>4</v>
      </c>
    </row>
    <row r="287" spans="1:22" s="13" customFormat="1" ht="30" customHeight="1">
      <c r="A287" s="17">
        <v>283</v>
      </c>
      <c r="B287" s="14">
        <v>40556</v>
      </c>
      <c r="C287" s="8" t="str">
        <f t="shared" si="15"/>
        <v>Thursday</v>
      </c>
      <c r="D287" s="9">
        <v>1</v>
      </c>
      <c r="E287" s="9">
        <v>0</v>
      </c>
      <c r="F287" s="9">
        <v>1</v>
      </c>
      <c r="G287" s="7">
        <v>5</v>
      </c>
      <c r="H287" s="9" t="b">
        <v>0</v>
      </c>
      <c r="I287" s="9">
        <v>4</v>
      </c>
      <c r="J287" s="38" t="str">
        <f>CHOOSE(Table1[[#This Row],[Weekday]]+1,"Sunday","Monday","Tuesday","Wednesday","Thursday","Friday","Saturday")</f>
        <v>Thursday</v>
      </c>
      <c r="K287" s="9">
        <v>1</v>
      </c>
      <c r="L287" s="38" t="str">
        <f>IF(Table1[[#This Row],[Weather_code]]=1,"Clear",IF(Table1[[#This Row],[Weather_code]]=2,"Cloudy",IF(Table1[[#This Row],[Weather_code]]=3,"Light Rain",IF(Table1[[#This Row],[Weather_code]]=4,"Heavy Rain"))))</f>
        <v>Clear</v>
      </c>
      <c r="M287" s="10">
        <v>0.14000000000000001</v>
      </c>
      <c r="N287" s="11" t="str">
        <f t="shared" si="13"/>
        <v>Winter</v>
      </c>
      <c r="O287" s="11" t="str">
        <f t="shared" si="14"/>
        <v>Weekday</v>
      </c>
      <c r="P287" s="11">
        <f>VLOOKUP(A287,[1]Sheet1!$A:$H,2, FALSE)</f>
        <v>0.1212</v>
      </c>
      <c r="Q287" s="40">
        <f>Table1[[#This Row],[A_Temperature]]*41</f>
        <v>4.9691999999999998</v>
      </c>
      <c r="R287" s="11">
        <f>VLOOKUP(A287,[1]Sheet1!$A:$G,3,FALSE)</f>
        <v>0.5</v>
      </c>
      <c r="S287" s="11">
        <f>VLOOKUP(A287,[1]Sheet1!$A:$G,4,FALSE)</f>
        <v>0.29849999999999999</v>
      </c>
      <c r="T287" s="11">
        <f>VLOOKUP(A287,[1]Sheet1!$A:$G,5,FALSE)</f>
        <v>0</v>
      </c>
      <c r="U287" s="11">
        <f>VLOOKUP(A287,[1]Sheet1!$A:$G,6,FALSE)</f>
        <v>3</v>
      </c>
      <c r="V287" s="18">
        <f>VLOOKUP(A287,[1]Sheet1!$A:$G,7,FALSE)</f>
        <v>3</v>
      </c>
    </row>
    <row r="288" spans="1:22" s="13" customFormat="1" ht="30" customHeight="1">
      <c r="A288" s="17">
        <v>284</v>
      </c>
      <c r="B288" s="14">
        <v>40556</v>
      </c>
      <c r="C288" s="8" t="str">
        <f t="shared" si="15"/>
        <v>Thursday</v>
      </c>
      <c r="D288" s="9">
        <v>1</v>
      </c>
      <c r="E288" s="9">
        <v>0</v>
      </c>
      <c r="F288" s="9">
        <v>1</v>
      </c>
      <c r="G288" s="7">
        <v>6</v>
      </c>
      <c r="H288" s="9" t="b">
        <v>0</v>
      </c>
      <c r="I288" s="9">
        <v>4</v>
      </c>
      <c r="J288" s="38" t="str">
        <f>CHOOSE(Table1[[#This Row],[Weekday]]+1,"Sunday","Monday","Tuesday","Wednesday","Thursday","Friday","Saturday")</f>
        <v>Thursday</v>
      </c>
      <c r="K288" s="9">
        <v>1</v>
      </c>
      <c r="L288" s="38" t="str">
        <f>IF(Table1[[#This Row],[Weather_code]]=1,"Clear",IF(Table1[[#This Row],[Weather_code]]=2,"Cloudy",IF(Table1[[#This Row],[Weather_code]]=3,"Light Rain",IF(Table1[[#This Row],[Weather_code]]=4,"Heavy Rain"))))</f>
        <v>Clear</v>
      </c>
      <c r="M288" s="10">
        <v>0.12</v>
      </c>
      <c r="N288" s="11" t="str">
        <f t="shared" si="13"/>
        <v>Winter</v>
      </c>
      <c r="O288" s="11" t="str">
        <f t="shared" si="14"/>
        <v>Weekday</v>
      </c>
      <c r="P288" s="11">
        <f>VLOOKUP(A288,[1]Sheet1!$A:$H,2, FALSE)</f>
        <v>0.1515</v>
      </c>
      <c r="Q288" s="40">
        <f>Table1[[#This Row],[A_Temperature]]*41</f>
        <v>6.2115</v>
      </c>
      <c r="R288" s="11">
        <f>VLOOKUP(A288,[1]Sheet1!$A:$G,3,FALSE)</f>
        <v>0.54</v>
      </c>
      <c r="S288" s="11">
        <f>VLOOKUP(A288,[1]Sheet1!$A:$G,4,FALSE)</f>
        <v>0.1343</v>
      </c>
      <c r="T288" s="11">
        <f>VLOOKUP(A288,[1]Sheet1!$A:$G,5,FALSE)</f>
        <v>0</v>
      </c>
      <c r="U288" s="11">
        <f>VLOOKUP(A288,[1]Sheet1!$A:$G,6,FALSE)</f>
        <v>28</v>
      </c>
      <c r="V288" s="18">
        <f>VLOOKUP(A288,[1]Sheet1!$A:$G,7,FALSE)</f>
        <v>28</v>
      </c>
    </row>
    <row r="289" spans="1:22" s="13" customFormat="1" ht="30" customHeight="1">
      <c r="A289" s="17">
        <v>285</v>
      </c>
      <c r="B289" s="14">
        <v>40556</v>
      </c>
      <c r="C289" s="8" t="str">
        <f t="shared" si="15"/>
        <v>Thursday</v>
      </c>
      <c r="D289" s="9">
        <v>1</v>
      </c>
      <c r="E289" s="9">
        <v>0</v>
      </c>
      <c r="F289" s="9">
        <v>1</v>
      </c>
      <c r="G289" s="7">
        <v>7</v>
      </c>
      <c r="H289" s="9" t="b">
        <v>0</v>
      </c>
      <c r="I289" s="9">
        <v>4</v>
      </c>
      <c r="J289" s="38" t="str">
        <f>CHOOSE(Table1[[#This Row],[Weekday]]+1,"Sunday","Monday","Tuesday","Wednesday","Thursday","Friday","Saturday")</f>
        <v>Thursday</v>
      </c>
      <c r="K289" s="9">
        <v>1</v>
      </c>
      <c r="L289" s="38" t="str">
        <f>IF(Table1[[#This Row],[Weather_code]]=1,"Clear",IF(Table1[[#This Row],[Weather_code]]=2,"Cloudy",IF(Table1[[#This Row],[Weather_code]]=3,"Light Rain",IF(Table1[[#This Row],[Weather_code]]=4,"Heavy Rain"))))</f>
        <v>Clear</v>
      </c>
      <c r="M289" s="10">
        <v>0.12</v>
      </c>
      <c r="N289" s="11" t="str">
        <f t="shared" si="13"/>
        <v>Winter</v>
      </c>
      <c r="O289" s="11" t="str">
        <f t="shared" si="14"/>
        <v>Weekday</v>
      </c>
      <c r="P289" s="11">
        <f>VLOOKUP(A289,[1]Sheet1!$A:$H,2, FALSE)</f>
        <v>0.1515</v>
      </c>
      <c r="Q289" s="40">
        <f>Table1[[#This Row],[A_Temperature]]*41</f>
        <v>6.2115</v>
      </c>
      <c r="R289" s="11">
        <f>VLOOKUP(A289,[1]Sheet1!$A:$G,3,FALSE)</f>
        <v>0.54</v>
      </c>
      <c r="S289" s="11">
        <f>VLOOKUP(A289,[1]Sheet1!$A:$G,4,FALSE)</f>
        <v>0.1343</v>
      </c>
      <c r="T289" s="11">
        <f>VLOOKUP(A289,[1]Sheet1!$A:$G,5,FALSE)</f>
        <v>0</v>
      </c>
      <c r="U289" s="11">
        <f>VLOOKUP(A289,[1]Sheet1!$A:$G,6,FALSE)</f>
        <v>72</v>
      </c>
      <c r="V289" s="18">
        <f>VLOOKUP(A289,[1]Sheet1!$A:$G,7,FALSE)</f>
        <v>72</v>
      </c>
    </row>
    <row r="290" spans="1:22" s="13" customFormat="1" ht="30" customHeight="1">
      <c r="A290" s="17">
        <v>286</v>
      </c>
      <c r="B290" s="14">
        <v>40556</v>
      </c>
      <c r="C290" s="8" t="str">
        <f t="shared" si="15"/>
        <v>Thursday</v>
      </c>
      <c r="D290" s="9">
        <v>1</v>
      </c>
      <c r="E290" s="9">
        <v>0</v>
      </c>
      <c r="F290" s="9">
        <v>1</v>
      </c>
      <c r="G290" s="7">
        <v>8</v>
      </c>
      <c r="H290" s="9" t="b">
        <v>0</v>
      </c>
      <c r="I290" s="9">
        <v>4</v>
      </c>
      <c r="J290" s="38" t="str">
        <f>CHOOSE(Table1[[#This Row],[Weekday]]+1,"Sunday","Monday","Tuesday","Wednesday","Thursday","Friday","Saturday")</f>
        <v>Thursday</v>
      </c>
      <c r="K290" s="9">
        <v>1</v>
      </c>
      <c r="L290" s="38" t="str">
        <f>IF(Table1[[#This Row],[Weather_code]]=1,"Clear",IF(Table1[[#This Row],[Weather_code]]=2,"Cloudy",IF(Table1[[#This Row],[Weather_code]]=3,"Light Rain",IF(Table1[[#This Row],[Weather_code]]=4,"Heavy Rain"))))</f>
        <v>Clear</v>
      </c>
      <c r="M290" s="10">
        <v>0.14000000000000001</v>
      </c>
      <c r="N290" s="11" t="str">
        <f t="shared" si="13"/>
        <v>Winter</v>
      </c>
      <c r="O290" s="11" t="str">
        <f t="shared" si="14"/>
        <v>Weekday</v>
      </c>
      <c r="P290" s="11">
        <f>VLOOKUP(A290,[1]Sheet1!$A:$H,2, FALSE)</f>
        <v>0.13639999999999999</v>
      </c>
      <c r="Q290" s="40">
        <f>Table1[[#This Row],[A_Temperature]]*41</f>
        <v>5.5923999999999996</v>
      </c>
      <c r="R290" s="11">
        <f>VLOOKUP(A290,[1]Sheet1!$A:$G,3,FALSE)</f>
        <v>0.5</v>
      </c>
      <c r="S290" s="11">
        <f>VLOOKUP(A290,[1]Sheet1!$A:$G,4,FALSE)</f>
        <v>0.19400000000000001</v>
      </c>
      <c r="T290" s="11">
        <f>VLOOKUP(A290,[1]Sheet1!$A:$G,5,FALSE)</f>
        <v>5</v>
      </c>
      <c r="U290" s="11">
        <f>VLOOKUP(A290,[1]Sheet1!$A:$G,6,FALSE)</f>
        <v>197</v>
      </c>
      <c r="V290" s="18">
        <f>VLOOKUP(A290,[1]Sheet1!$A:$G,7,FALSE)</f>
        <v>202</v>
      </c>
    </row>
    <row r="291" spans="1:22" s="13" customFormat="1" ht="30" customHeight="1">
      <c r="A291" s="17">
        <v>287</v>
      </c>
      <c r="B291" s="14">
        <v>40556</v>
      </c>
      <c r="C291" s="8" t="str">
        <f t="shared" si="15"/>
        <v>Thursday</v>
      </c>
      <c r="D291" s="9">
        <v>1</v>
      </c>
      <c r="E291" s="9">
        <v>0</v>
      </c>
      <c r="F291" s="9">
        <v>1</v>
      </c>
      <c r="G291" s="7">
        <v>9</v>
      </c>
      <c r="H291" s="9" t="b">
        <v>0</v>
      </c>
      <c r="I291" s="9">
        <v>4</v>
      </c>
      <c r="J291" s="38" t="str">
        <f>CHOOSE(Table1[[#This Row],[Weekday]]+1,"Sunday","Monday","Tuesday","Wednesday","Thursday","Friday","Saturday")</f>
        <v>Thursday</v>
      </c>
      <c r="K291" s="9">
        <v>1</v>
      </c>
      <c r="L291" s="38" t="str">
        <f>IF(Table1[[#This Row],[Weather_code]]=1,"Clear",IF(Table1[[#This Row],[Weather_code]]=2,"Cloudy",IF(Table1[[#This Row],[Weather_code]]=3,"Light Rain",IF(Table1[[#This Row],[Weather_code]]=4,"Heavy Rain"))))</f>
        <v>Clear</v>
      </c>
      <c r="M291" s="10">
        <v>0.14000000000000001</v>
      </c>
      <c r="N291" s="11" t="str">
        <f t="shared" si="13"/>
        <v>Winter</v>
      </c>
      <c r="O291" s="11" t="str">
        <f t="shared" si="14"/>
        <v>Weekday</v>
      </c>
      <c r="P291" s="11">
        <f>VLOOKUP(A291,[1]Sheet1!$A:$H,2, FALSE)</f>
        <v>0.1212</v>
      </c>
      <c r="Q291" s="40">
        <f>Table1[[#This Row],[A_Temperature]]*41</f>
        <v>4.9691999999999998</v>
      </c>
      <c r="R291" s="11">
        <f>VLOOKUP(A291,[1]Sheet1!$A:$G,3,FALSE)</f>
        <v>0.5</v>
      </c>
      <c r="S291" s="11">
        <f>VLOOKUP(A291,[1]Sheet1!$A:$G,4,FALSE)</f>
        <v>0.32840000000000003</v>
      </c>
      <c r="T291" s="11">
        <f>VLOOKUP(A291,[1]Sheet1!$A:$G,5,FALSE)</f>
        <v>2</v>
      </c>
      <c r="U291" s="11">
        <f>VLOOKUP(A291,[1]Sheet1!$A:$G,6,FALSE)</f>
        <v>137</v>
      </c>
      <c r="V291" s="18">
        <f>VLOOKUP(A291,[1]Sheet1!$A:$G,7,FALSE)</f>
        <v>139</v>
      </c>
    </row>
    <row r="292" spans="1:22" s="13" customFormat="1" ht="30" customHeight="1">
      <c r="A292" s="17">
        <v>288</v>
      </c>
      <c r="B292" s="14">
        <v>40556</v>
      </c>
      <c r="C292" s="8" t="str">
        <f t="shared" si="15"/>
        <v>Thursday</v>
      </c>
      <c r="D292" s="9">
        <v>1</v>
      </c>
      <c r="E292" s="9">
        <v>0</v>
      </c>
      <c r="F292" s="9">
        <v>1</v>
      </c>
      <c r="G292" s="7">
        <v>10</v>
      </c>
      <c r="H292" s="9" t="b">
        <v>0</v>
      </c>
      <c r="I292" s="9">
        <v>4</v>
      </c>
      <c r="J292" s="38" t="str">
        <f>CHOOSE(Table1[[#This Row],[Weekday]]+1,"Sunday","Monday","Tuesday","Wednesday","Thursday","Friday","Saturday")</f>
        <v>Thursday</v>
      </c>
      <c r="K292" s="9">
        <v>2</v>
      </c>
      <c r="L292" s="38" t="str">
        <f>IF(Table1[[#This Row],[Weather_code]]=1,"Clear",IF(Table1[[#This Row],[Weather_code]]=2,"Cloudy",IF(Table1[[#This Row],[Weather_code]]=3,"Light Rain",IF(Table1[[#This Row],[Weather_code]]=4,"Heavy Rain"))))</f>
        <v>Cloudy</v>
      </c>
      <c r="M292" s="10">
        <v>0.16</v>
      </c>
      <c r="N292" s="11" t="str">
        <f t="shared" si="13"/>
        <v>Winter</v>
      </c>
      <c r="O292" s="11" t="str">
        <f t="shared" si="14"/>
        <v>Weekday</v>
      </c>
      <c r="P292" s="11">
        <f>VLOOKUP(A292,[1]Sheet1!$A:$H,2, FALSE)</f>
        <v>0.13639999999999999</v>
      </c>
      <c r="Q292" s="40">
        <f>Table1[[#This Row],[A_Temperature]]*41</f>
        <v>5.5923999999999996</v>
      </c>
      <c r="R292" s="11">
        <f>VLOOKUP(A292,[1]Sheet1!$A:$G,3,FALSE)</f>
        <v>0.5</v>
      </c>
      <c r="S292" s="11">
        <f>VLOOKUP(A292,[1]Sheet1!$A:$G,4,FALSE)</f>
        <v>0.35820000000000002</v>
      </c>
      <c r="T292" s="11">
        <f>VLOOKUP(A292,[1]Sheet1!$A:$G,5,FALSE)</f>
        <v>2</v>
      </c>
      <c r="U292" s="11">
        <f>VLOOKUP(A292,[1]Sheet1!$A:$G,6,FALSE)</f>
        <v>36</v>
      </c>
      <c r="V292" s="18">
        <f>VLOOKUP(A292,[1]Sheet1!$A:$G,7,FALSE)</f>
        <v>38</v>
      </c>
    </row>
    <row r="293" spans="1:22" s="13" customFormat="1" ht="30" customHeight="1">
      <c r="A293" s="17">
        <v>289</v>
      </c>
      <c r="B293" s="14">
        <v>40556</v>
      </c>
      <c r="C293" s="8" t="str">
        <f t="shared" si="15"/>
        <v>Thursday</v>
      </c>
      <c r="D293" s="9">
        <v>1</v>
      </c>
      <c r="E293" s="9">
        <v>0</v>
      </c>
      <c r="F293" s="9">
        <v>1</v>
      </c>
      <c r="G293" s="7">
        <v>11</v>
      </c>
      <c r="H293" s="9" t="b">
        <v>0</v>
      </c>
      <c r="I293" s="9">
        <v>4</v>
      </c>
      <c r="J293" s="38" t="str">
        <f>CHOOSE(Table1[[#This Row],[Weekday]]+1,"Sunday","Monday","Tuesday","Wednesday","Thursday","Friday","Saturday")</f>
        <v>Thursday</v>
      </c>
      <c r="K293" s="9">
        <v>2</v>
      </c>
      <c r="L293" s="38" t="str">
        <f>IF(Table1[[#This Row],[Weather_code]]=1,"Clear",IF(Table1[[#This Row],[Weather_code]]=2,"Cloudy",IF(Table1[[#This Row],[Weather_code]]=3,"Light Rain",IF(Table1[[#This Row],[Weather_code]]=4,"Heavy Rain"))))</f>
        <v>Cloudy</v>
      </c>
      <c r="M293" s="10">
        <v>0.2</v>
      </c>
      <c r="N293" s="11" t="str">
        <f t="shared" si="13"/>
        <v>Winter</v>
      </c>
      <c r="O293" s="11" t="str">
        <f t="shared" si="14"/>
        <v>Weekday</v>
      </c>
      <c r="P293" s="11">
        <f>VLOOKUP(A293,[1]Sheet1!$A:$H,2, FALSE)</f>
        <v>0.16669999999999999</v>
      </c>
      <c r="Q293" s="40">
        <f>Table1[[#This Row],[A_Temperature]]*41</f>
        <v>6.8346999999999998</v>
      </c>
      <c r="R293" s="11">
        <f>VLOOKUP(A293,[1]Sheet1!$A:$G,3,FALSE)</f>
        <v>0.44</v>
      </c>
      <c r="S293" s="11">
        <f>VLOOKUP(A293,[1]Sheet1!$A:$G,4,FALSE)</f>
        <v>0.44779999999999998</v>
      </c>
      <c r="T293" s="11">
        <f>VLOOKUP(A293,[1]Sheet1!$A:$G,5,FALSE)</f>
        <v>4</v>
      </c>
      <c r="U293" s="11">
        <f>VLOOKUP(A293,[1]Sheet1!$A:$G,6,FALSE)</f>
        <v>33</v>
      </c>
      <c r="V293" s="18">
        <f>VLOOKUP(A293,[1]Sheet1!$A:$G,7,FALSE)</f>
        <v>37</v>
      </c>
    </row>
    <row r="294" spans="1:22" s="13" customFormat="1" ht="30" customHeight="1">
      <c r="A294" s="17">
        <v>290</v>
      </c>
      <c r="B294" s="14">
        <v>40556</v>
      </c>
      <c r="C294" s="8" t="str">
        <f t="shared" si="15"/>
        <v>Thursday</v>
      </c>
      <c r="D294" s="9">
        <v>1</v>
      </c>
      <c r="E294" s="9">
        <v>0</v>
      </c>
      <c r="F294" s="9">
        <v>1</v>
      </c>
      <c r="G294" s="7">
        <v>12</v>
      </c>
      <c r="H294" s="9" t="b">
        <v>0</v>
      </c>
      <c r="I294" s="9">
        <v>4</v>
      </c>
      <c r="J294" s="38" t="str">
        <f>CHOOSE(Table1[[#This Row],[Weekday]]+1,"Sunday","Monday","Tuesday","Wednesday","Thursday","Friday","Saturday")</f>
        <v>Thursday</v>
      </c>
      <c r="K294" s="9">
        <v>1</v>
      </c>
      <c r="L294" s="38" t="str">
        <f>IF(Table1[[#This Row],[Weather_code]]=1,"Clear",IF(Table1[[#This Row],[Weather_code]]=2,"Cloudy",IF(Table1[[#This Row],[Weather_code]]=3,"Light Rain",IF(Table1[[#This Row],[Weather_code]]=4,"Heavy Rain"))))</f>
        <v>Clear</v>
      </c>
      <c r="M294" s="10">
        <v>0.2</v>
      </c>
      <c r="N294" s="11" t="str">
        <f t="shared" si="13"/>
        <v>Winter</v>
      </c>
      <c r="O294" s="11" t="str">
        <f t="shared" si="14"/>
        <v>Weekday</v>
      </c>
      <c r="P294" s="11">
        <f>VLOOKUP(A294,[1]Sheet1!$A:$H,2, FALSE)</f>
        <v>0.16669999999999999</v>
      </c>
      <c r="Q294" s="40">
        <f>Table1[[#This Row],[A_Temperature]]*41</f>
        <v>6.8346999999999998</v>
      </c>
      <c r="R294" s="11">
        <f>VLOOKUP(A294,[1]Sheet1!$A:$G,3,FALSE)</f>
        <v>0.44</v>
      </c>
      <c r="S294" s="11">
        <f>VLOOKUP(A294,[1]Sheet1!$A:$G,4,FALSE)</f>
        <v>0.41789999999999999</v>
      </c>
      <c r="T294" s="11">
        <f>VLOOKUP(A294,[1]Sheet1!$A:$G,5,FALSE)</f>
        <v>3</v>
      </c>
      <c r="U294" s="11">
        <f>VLOOKUP(A294,[1]Sheet1!$A:$G,6,FALSE)</f>
        <v>49</v>
      </c>
      <c r="V294" s="18">
        <f>VLOOKUP(A294,[1]Sheet1!$A:$G,7,FALSE)</f>
        <v>52</v>
      </c>
    </row>
    <row r="295" spans="1:22" s="13" customFormat="1" ht="30" customHeight="1">
      <c r="A295" s="17">
        <v>291</v>
      </c>
      <c r="B295" s="14">
        <v>40556</v>
      </c>
      <c r="C295" s="8" t="str">
        <f t="shared" si="15"/>
        <v>Thursday</v>
      </c>
      <c r="D295" s="9">
        <v>1</v>
      </c>
      <c r="E295" s="9">
        <v>0</v>
      </c>
      <c r="F295" s="9">
        <v>1</v>
      </c>
      <c r="G295" s="7">
        <v>13</v>
      </c>
      <c r="H295" s="9" t="b">
        <v>0</v>
      </c>
      <c r="I295" s="9">
        <v>4</v>
      </c>
      <c r="J295" s="38" t="str">
        <f>CHOOSE(Table1[[#This Row],[Weekday]]+1,"Sunday","Monday","Tuesday","Wednesday","Thursday","Friday","Saturday")</f>
        <v>Thursday</v>
      </c>
      <c r="K295" s="9">
        <v>1</v>
      </c>
      <c r="L295" s="38" t="str">
        <f>IF(Table1[[#This Row],[Weather_code]]=1,"Clear",IF(Table1[[#This Row],[Weather_code]]=2,"Cloudy",IF(Table1[[#This Row],[Weather_code]]=3,"Light Rain",IF(Table1[[#This Row],[Weather_code]]=4,"Heavy Rain"))))</f>
        <v>Clear</v>
      </c>
      <c r="M295" s="10">
        <v>0.22</v>
      </c>
      <c r="N295" s="11" t="str">
        <f t="shared" si="13"/>
        <v>Winter</v>
      </c>
      <c r="O295" s="11" t="str">
        <f t="shared" si="14"/>
        <v>Weekday</v>
      </c>
      <c r="P295" s="11">
        <f>VLOOKUP(A295,[1]Sheet1!$A:$H,2, FALSE)</f>
        <v>0.19700000000000001</v>
      </c>
      <c r="Q295" s="40">
        <f>Table1[[#This Row],[A_Temperature]]*41</f>
        <v>8.077</v>
      </c>
      <c r="R295" s="11">
        <f>VLOOKUP(A295,[1]Sheet1!$A:$G,3,FALSE)</f>
        <v>0.41</v>
      </c>
      <c r="S295" s="11">
        <f>VLOOKUP(A295,[1]Sheet1!$A:$G,4,FALSE)</f>
        <v>0.44779999999999998</v>
      </c>
      <c r="T295" s="11">
        <f>VLOOKUP(A295,[1]Sheet1!$A:$G,5,FALSE)</f>
        <v>2</v>
      </c>
      <c r="U295" s="11">
        <f>VLOOKUP(A295,[1]Sheet1!$A:$G,6,FALSE)</f>
        <v>81</v>
      </c>
      <c r="V295" s="18">
        <f>VLOOKUP(A295,[1]Sheet1!$A:$G,7,FALSE)</f>
        <v>83</v>
      </c>
    </row>
    <row r="296" spans="1:22" s="13" customFormat="1" ht="30" customHeight="1">
      <c r="A296" s="17">
        <v>292</v>
      </c>
      <c r="B296" s="14">
        <v>40556</v>
      </c>
      <c r="C296" s="8" t="str">
        <f t="shared" si="15"/>
        <v>Thursday</v>
      </c>
      <c r="D296" s="9">
        <v>1</v>
      </c>
      <c r="E296" s="9">
        <v>0</v>
      </c>
      <c r="F296" s="9">
        <v>1</v>
      </c>
      <c r="G296" s="7">
        <v>14</v>
      </c>
      <c r="H296" s="9" t="b">
        <v>0</v>
      </c>
      <c r="I296" s="9">
        <v>4</v>
      </c>
      <c r="J296" s="38" t="str">
        <f>CHOOSE(Table1[[#This Row],[Weekday]]+1,"Sunday","Monday","Tuesday","Wednesday","Thursday","Friday","Saturday")</f>
        <v>Thursday</v>
      </c>
      <c r="K296" s="9">
        <v>1</v>
      </c>
      <c r="L296" s="38" t="str">
        <f>IF(Table1[[#This Row],[Weather_code]]=1,"Clear",IF(Table1[[#This Row],[Weather_code]]=2,"Cloudy",IF(Table1[[#This Row],[Weather_code]]=3,"Light Rain",IF(Table1[[#This Row],[Weather_code]]=4,"Heavy Rain"))))</f>
        <v>Clear</v>
      </c>
      <c r="M296" s="10">
        <v>0.22</v>
      </c>
      <c r="N296" s="11" t="str">
        <f t="shared" si="13"/>
        <v>Winter</v>
      </c>
      <c r="O296" s="11" t="str">
        <f t="shared" si="14"/>
        <v>Weekday</v>
      </c>
      <c r="P296" s="11">
        <f>VLOOKUP(A296,[1]Sheet1!$A:$H,2, FALSE)</f>
        <v>0.19700000000000001</v>
      </c>
      <c r="Q296" s="40">
        <f>Table1[[#This Row],[A_Temperature]]*41</f>
        <v>8.077</v>
      </c>
      <c r="R296" s="11">
        <f>VLOOKUP(A296,[1]Sheet1!$A:$G,3,FALSE)</f>
        <v>0.41</v>
      </c>
      <c r="S296" s="11">
        <f>VLOOKUP(A296,[1]Sheet1!$A:$G,4,FALSE)</f>
        <v>0.3881</v>
      </c>
      <c r="T296" s="11">
        <f>VLOOKUP(A296,[1]Sheet1!$A:$G,5,FALSE)</f>
        <v>3</v>
      </c>
      <c r="U296" s="11">
        <f>VLOOKUP(A296,[1]Sheet1!$A:$G,6,FALSE)</f>
        <v>39</v>
      </c>
      <c r="V296" s="18">
        <f>VLOOKUP(A296,[1]Sheet1!$A:$G,7,FALSE)</f>
        <v>42</v>
      </c>
    </row>
    <row r="297" spans="1:22" s="13" customFormat="1" ht="30" customHeight="1">
      <c r="A297" s="17">
        <v>293</v>
      </c>
      <c r="B297" s="14">
        <v>40556</v>
      </c>
      <c r="C297" s="8" t="str">
        <f t="shared" si="15"/>
        <v>Thursday</v>
      </c>
      <c r="D297" s="9">
        <v>1</v>
      </c>
      <c r="E297" s="9">
        <v>0</v>
      </c>
      <c r="F297" s="9">
        <v>1</v>
      </c>
      <c r="G297" s="7">
        <v>15</v>
      </c>
      <c r="H297" s="9" t="b">
        <v>0</v>
      </c>
      <c r="I297" s="9">
        <v>4</v>
      </c>
      <c r="J297" s="38" t="str">
        <f>CHOOSE(Table1[[#This Row],[Weekday]]+1,"Sunday","Monday","Tuesday","Wednesday","Thursday","Friday","Saturday")</f>
        <v>Thursday</v>
      </c>
      <c r="K297" s="9">
        <v>1</v>
      </c>
      <c r="L297" s="38" t="str">
        <f>IF(Table1[[#This Row],[Weather_code]]=1,"Clear",IF(Table1[[#This Row],[Weather_code]]=2,"Cloudy",IF(Table1[[#This Row],[Weather_code]]=3,"Light Rain",IF(Table1[[#This Row],[Weather_code]]=4,"Heavy Rain"))))</f>
        <v>Clear</v>
      </c>
      <c r="M297" s="10">
        <v>0.24</v>
      </c>
      <c r="N297" s="11" t="str">
        <f t="shared" si="13"/>
        <v>Winter</v>
      </c>
      <c r="O297" s="11" t="str">
        <f t="shared" si="14"/>
        <v>Weekday</v>
      </c>
      <c r="P297" s="11">
        <f>VLOOKUP(A297,[1]Sheet1!$A:$H,2, FALSE)</f>
        <v>0.21210000000000001</v>
      </c>
      <c r="Q297" s="40">
        <f>Table1[[#This Row],[A_Temperature]]*41</f>
        <v>8.6961000000000013</v>
      </c>
      <c r="R297" s="11">
        <f>VLOOKUP(A297,[1]Sheet1!$A:$G,3,FALSE)</f>
        <v>0.38</v>
      </c>
      <c r="S297" s="11">
        <f>VLOOKUP(A297,[1]Sheet1!$A:$G,4,FALSE)</f>
        <v>0.29849999999999999</v>
      </c>
      <c r="T297" s="11">
        <f>VLOOKUP(A297,[1]Sheet1!$A:$G,5,FALSE)</f>
        <v>5</v>
      </c>
      <c r="U297" s="11">
        <f>VLOOKUP(A297,[1]Sheet1!$A:$G,6,FALSE)</f>
        <v>55</v>
      </c>
      <c r="V297" s="18">
        <f>VLOOKUP(A297,[1]Sheet1!$A:$G,7,FALSE)</f>
        <v>60</v>
      </c>
    </row>
    <row r="298" spans="1:22" s="13" customFormat="1" ht="30" customHeight="1">
      <c r="A298" s="17">
        <v>294</v>
      </c>
      <c r="B298" s="14">
        <v>40556</v>
      </c>
      <c r="C298" s="8" t="str">
        <f t="shared" si="15"/>
        <v>Thursday</v>
      </c>
      <c r="D298" s="9">
        <v>1</v>
      </c>
      <c r="E298" s="9">
        <v>0</v>
      </c>
      <c r="F298" s="9">
        <v>1</v>
      </c>
      <c r="G298" s="7">
        <v>16</v>
      </c>
      <c r="H298" s="9" t="b">
        <v>0</v>
      </c>
      <c r="I298" s="9">
        <v>4</v>
      </c>
      <c r="J298" s="38" t="str">
        <f>CHOOSE(Table1[[#This Row],[Weekday]]+1,"Sunday","Monday","Tuesday","Wednesday","Thursday","Friday","Saturday")</f>
        <v>Thursday</v>
      </c>
      <c r="K298" s="9">
        <v>1</v>
      </c>
      <c r="L298" s="38" t="str">
        <f>IF(Table1[[#This Row],[Weather_code]]=1,"Clear",IF(Table1[[#This Row],[Weather_code]]=2,"Cloudy",IF(Table1[[#This Row],[Weather_code]]=3,"Light Rain",IF(Table1[[#This Row],[Weather_code]]=4,"Heavy Rain"))))</f>
        <v>Clear</v>
      </c>
      <c r="M298" s="10">
        <v>0.24</v>
      </c>
      <c r="N298" s="11" t="str">
        <f t="shared" si="13"/>
        <v>Winter</v>
      </c>
      <c r="O298" s="11" t="str">
        <f t="shared" si="14"/>
        <v>Weekday</v>
      </c>
      <c r="P298" s="11">
        <f>VLOOKUP(A298,[1]Sheet1!$A:$H,2, FALSE)</f>
        <v>0.21210000000000001</v>
      </c>
      <c r="Q298" s="40">
        <f>Table1[[#This Row],[A_Temperature]]*41</f>
        <v>8.6961000000000013</v>
      </c>
      <c r="R298" s="11">
        <f>VLOOKUP(A298,[1]Sheet1!$A:$G,3,FALSE)</f>
        <v>0.38</v>
      </c>
      <c r="S298" s="11">
        <f>VLOOKUP(A298,[1]Sheet1!$A:$G,4,FALSE)</f>
        <v>0.35820000000000002</v>
      </c>
      <c r="T298" s="11">
        <f>VLOOKUP(A298,[1]Sheet1!$A:$G,5,FALSE)</f>
        <v>2</v>
      </c>
      <c r="U298" s="11">
        <f>VLOOKUP(A298,[1]Sheet1!$A:$G,6,FALSE)</f>
        <v>76</v>
      </c>
      <c r="V298" s="18">
        <f>VLOOKUP(A298,[1]Sheet1!$A:$G,7,FALSE)</f>
        <v>78</v>
      </c>
    </row>
    <row r="299" spans="1:22" s="13" customFormat="1" ht="30" customHeight="1">
      <c r="A299" s="17">
        <v>295</v>
      </c>
      <c r="B299" s="14">
        <v>40556</v>
      </c>
      <c r="C299" s="8" t="str">
        <f t="shared" si="15"/>
        <v>Thursday</v>
      </c>
      <c r="D299" s="9">
        <v>1</v>
      </c>
      <c r="E299" s="9">
        <v>0</v>
      </c>
      <c r="F299" s="9">
        <v>1</v>
      </c>
      <c r="G299" s="7">
        <v>17</v>
      </c>
      <c r="H299" s="9" t="b">
        <v>0</v>
      </c>
      <c r="I299" s="9">
        <v>4</v>
      </c>
      <c r="J299" s="38" t="str">
        <f>CHOOSE(Table1[[#This Row],[Weekday]]+1,"Sunday","Monday","Tuesday","Wednesday","Thursday","Friday","Saturday")</f>
        <v>Thursday</v>
      </c>
      <c r="K299" s="9">
        <v>1</v>
      </c>
      <c r="L299" s="38" t="str">
        <f>IF(Table1[[#This Row],[Weather_code]]=1,"Clear",IF(Table1[[#This Row],[Weather_code]]=2,"Cloudy",IF(Table1[[#This Row],[Weather_code]]=3,"Light Rain",IF(Table1[[#This Row],[Weather_code]]=4,"Heavy Rain"))))</f>
        <v>Clear</v>
      </c>
      <c r="M299" s="10">
        <v>0.2</v>
      </c>
      <c r="N299" s="11" t="str">
        <f t="shared" si="13"/>
        <v>Winter</v>
      </c>
      <c r="O299" s="11" t="str">
        <f t="shared" si="14"/>
        <v>Weekday</v>
      </c>
      <c r="P299" s="11">
        <f>VLOOKUP(A299,[1]Sheet1!$A:$H,2, FALSE)</f>
        <v>0.18179999999999999</v>
      </c>
      <c r="Q299" s="40">
        <f>Table1[[#This Row],[A_Temperature]]*41</f>
        <v>7.4537999999999993</v>
      </c>
      <c r="R299" s="11">
        <f>VLOOKUP(A299,[1]Sheet1!$A:$G,3,FALSE)</f>
        <v>0.4</v>
      </c>
      <c r="S299" s="11">
        <f>VLOOKUP(A299,[1]Sheet1!$A:$G,4,FALSE)</f>
        <v>0.28360000000000002</v>
      </c>
      <c r="T299" s="11">
        <f>VLOOKUP(A299,[1]Sheet1!$A:$G,5,FALSE)</f>
        <v>4</v>
      </c>
      <c r="U299" s="11">
        <f>VLOOKUP(A299,[1]Sheet1!$A:$G,6,FALSE)</f>
        <v>158</v>
      </c>
      <c r="V299" s="18">
        <f>VLOOKUP(A299,[1]Sheet1!$A:$G,7,FALSE)</f>
        <v>162</v>
      </c>
    </row>
    <row r="300" spans="1:22" s="13" customFormat="1" ht="30" customHeight="1">
      <c r="A300" s="17">
        <v>296</v>
      </c>
      <c r="B300" s="14">
        <v>40556</v>
      </c>
      <c r="C300" s="8" t="str">
        <f t="shared" si="15"/>
        <v>Thursday</v>
      </c>
      <c r="D300" s="9">
        <v>1</v>
      </c>
      <c r="E300" s="9">
        <v>0</v>
      </c>
      <c r="F300" s="9">
        <v>1</v>
      </c>
      <c r="G300" s="7">
        <v>18</v>
      </c>
      <c r="H300" s="9" t="b">
        <v>0</v>
      </c>
      <c r="I300" s="9">
        <v>4</v>
      </c>
      <c r="J300" s="38" t="str">
        <f>CHOOSE(Table1[[#This Row],[Weekday]]+1,"Sunday","Monday","Tuesday","Wednesday","Thursday","Friday","Saturday")</f>
        <v>Thursday</v>
      </c>
      <c r="K300" s="9">
        <v>1</v>
      </c>
      <c r="L300" s="38" t="str">
        <f>IF(Table1[[#This Row],[Weather_code]]=1,"Clear",IF(Table1[[#This Row],[Weather_code]]=2,"Cloudy",IF(Table1[[#This Row],[Weather_code]]=3,"Light Rain",IF(Table1[[#This Row],[Weather_code]]=4,"Heavy Rain"))))</f>
        <v>Clear</v>
      </c>
      <c r="M300" s="10">
        <v>0.2</v>
      </c>
      <c r="N300" s="11" t="str">
        <f t="shared" si="13"/>
        <v>Winter</v>
      </c>
      <c r="O300" s="11" t="str">
        <f t="shared" si="14"/>
        <v>Weekday</v>
      </c>
      <c r="P300" s="11">
        <f>VLOOKUP(A300,[1]Sheet1!$A:$H,2, FALSE)</f>
        <v>0.18179999999999999</v>
      </c>
      <c r="Q300" s="40">
        <f>Table1[[#This Row],[A_Temperature]]*41</f>
        <v>7.4537999999999993</v>
      </c>
      <c r="R300" s="11">
        <f>VLOOKUP(A300,[1]Sheet1!$A:$G,3,FALSE)</f>
        <v>0.4</v>
      </c>
      <c r="S300" s="11">
        <f>VLOOKUP(A300,[1]Sheet1!$A:$G,4,FALSE)</f>
        <v>0.32840000000000003</v>
      </c>
      <c r="T300" s="11">
        <f>VLOOKUP(A300,[1]Sheet1!$A:$G,5,FALSE)</f>
        <v>3</v>
      </c>
      <c r="U300" s="11">
        <f>VLOOKUP(A300,[1]Sheet1!$A:$G,6,FALSE)</f>
        <v>141</v>
      </c>
      <c r="V300" s="18">
        <f>VLOOKUP(A300,[1]Sheet1!$A:$G,7,FALSE)</f>
        <v>144</v>
      </c>
    </row>
    <row r="301" spans="1:22" s="13" customFormat="1" ht="30" customHeight="1">
      <c r="A301" s="17">
        <v>297</v>
      </c>
      <c r="B301" s="14">
        <v>40556</v>
      </c>
      <c r="C301" s="8" t="str">
        <f t="shared" si="15"/>
        <v>Thursday</v>
      </c>
      <c r="D301" s="9">
        <v>1</v>
      </c>
      <c r="E301" s="9">
        <v>0</v>
      </c>
      <c r="F301" s="9">
        <v>1</v>
      </c>
      <c r="G301" s="7">
        <v>19</v>
      </c>
      <c r="H301" s="9" t="b">
        <v>0</v>
      </c>
      <c r="I301" s="9">
        <v>4</v>
      </c>
      <c r="J301" s="38" t="str">
        <f>CHOOSE(Table1[[#This Row],[Weekday]]+1,"Sunday","Monday","Tuesday","Wednesday","Thursday","Friday","Saturday")</f>
        <v>Thursday</v>
      </c>
      <c r="K301" s="9">
        <v>1</v>
      </c>
      <c r="L301" s="38" t="str">
        <f>IF(Table1[[#This Row],[Weather_code]]=1,"Clear",IF(Table1[[#This Row],[Weather_code]]=2,"Cloudy",IF(Table1[[#This Row],[Weather_code]]=3,"Light Rain",IF(Table1[[#This Row],[Weather_code]]=4,"Heavy Rain"))))</f>
        <v>Clear</v>
      </c>
      <c r="M301" s="10">
        <v>0.16</v>
      </c>
      <c r="N301" s="11" t="str">
        <f t="shared" si="13"/>
        <v>Winter</v>
      </c>
      <c r="O301" s="11" t="str">
        <f t="shared" si="14"/>
        <v>Weekday</v>
      </c>
      <c r="P301" s="11">
        <f>VLOOKUP(A301,[1]Sheet1!$A:$H,2, FALSE)</f>
        <v>0.1515</v>
      </c>
      <c r="Q301" s="40">
        <f>Table1[[#This Row],[A_Temperature]]*41</f>
        <v>6.2115</v>
      </c>
      <c r="R301" s="11">
        <f>VLOOKUP(A301,[1]Sheet1!$A:$G,3,FALSE)</f>
        <v>0.47</v>
      </c>
      <c r="S301" s="11">
        <f>VLOOKUP(A301,[1]Sheet1!$A:$G,4,FALSE)</f>
        <v>0.25369999999999998</v>
      </c>
      <c r="T301" s="11">
        <f>VLOOKUP(A301,[1]Sheet1!$A:$G,5,FALSE)</f>
        <v>1</v>
      </c>
      <c r="U301" s="11">
        <f>VLOOKUP(A301,[1]Sheet1!$A:$G,6,FALSE)</f>
        <v>98</v>
      </c>
      <c r="V301" s="18">
        <f>VLOOKUP(A301,[1]Sheet1!$A:$G,7,FALSE)</f>
        <v>99</v>
      </c>
    </row>
    <row r="302" spans="1:22" s="13" customFormat="1" ht="30" customHeight="1">
      <c r="A302" s="17">
        <v>298</v>
      </c>
      <c r="B302" s="14">
        <v>40556</v>
      </c>
      <c r="C302" s="8" t="str">
        <f t="shared" si="15"/>
        <v>Thursday</v>
      </c>
      <c r="D302" s="9">
        <v>1</v>
      </c>
      <c r="E302" s="9">
        <v>0</v>
      </c>
      <c r="F302" s="9">
        <v>1</v>
      </c>
      <c r="G302" s="7">
        <v>20</v>
      </c>
      <c r="H302" s="9" t="b">
        <v>0</v>
      </c>
      <c r="I302" s="9">
        <v>4</v>
      </c>
      <c r="J302" s="38" t="str">
        <f>CHOOSE(Table1[[#This Row],[Weekday]]+1,"Sunday","Monday","Tuesday","Wednesday","Thursday","Friday","Saturday")</f>
        <v>Thursday</v>
      </c>
      <c r="K302" s="9">
        <v>1</v>
      </c>
      <c r="L302" s="38" t="str">
        <f>IF(Table1[[#This Row],[Weather_code]]=1,"Clear",IF(Table1[[#This Row],[Weather_code]]=2,"Cloudy",IF(Table1[[#This Row],[Weather_code]]=3,"Light Rain",IF(Table1[[#This Row],[Weather_code]]=4,"Heavy Rain"))))</f>
        <v>Clear</v>
      </c>
      <c r="M302" s="10">
        <v>0.16</v>
      </c>
      <c r="N302" s="11" t="str">
        <f t="shared" si="13"/>
        <v>Winter</v>
      </c>
      <c r="O302" s="11" t="str">
        <f t="shared" si="14"/>
        <v>Weekday</v>
      </c>
      <c r="P302" s="11">
        <f>VLOOKUP(A302,[1]Sheet1!$A:$H,2, FALSE)</f>
        <v>0.1515</v>
      </c>
      <c r="Q302" s="40">
        <f>Table1[[#This Row],[A_Temperature]]*41</f>
        <v>6.2115</v>
      </c>
      <c r="R302" s="11">
        <f>VLOOKUP(A302,[1]Sheet1!$A:$G,3,FALSE)</f>
        <v>0.47</v>
      </c>
      <c r="S302" s="11">
        <f>VLOOKUP(A302,[1]Sheet1!$A:$G,4,FALSE)</f>
        <v>0.22389999999999999</v>
      </c>
      <c r="T302" s="11">
        <f>VLOOKUP(A302,[1]Sheet1!$A:$G,5,FALSE)</f>
        <v>0</v>
      </c>
      <c r="U302" s="11">
        <f>VLOOKUP(A302,[1]Sheet1!$A:$G,6,FALSE)</f>
        <v>64</v>
      </c>
      <c r="V302" s="18">
        <f>VLOOKUP(A302,[1]Sheet1!$A:$G,7,FALSE)</f>
        <v>64</v>
      </c>
    </row>
    <row r="303" spans="1:22" s="13" customFormat="1" ht="30" customHeight="1">
      <c r="A303" s="17">
        <v>299</v>
      </c>
      <c r="B303" s="14">
        <v>40556</v>
      </c>
      <c r="C303" s="8" t="str">
        <f t="shared" si="15"/>
        <v>Thursday</v>
      </c>
      <c r="D303" s="9">
        <v>1</v>
      </c>
      <c r="E303" s="9">
        <v>0</v>
      </c>
      <c r="F303" s="9">
        <v>1</v>
      </c>
      <c r="G303" s="7">
        <v>21</v>
      </c>
      <c r="H303" s="9" t="b">
        <v>0</v>
      </c>
      <c r="I303" s="9">
        <v>4</v>
      </c>
      <c r="J303" s="38" t="str">
        <f>CHOOSE(Table1[[#This Row],[Weekday]]+1,"Sunday","Monday","Tuesday","Wednesday","Thursday","Friday","Saturday")</f>
        <v>Thursday</v>
      </c>
      <c r="K303" s="9">
        <v>1</v>
      </c>
      <c r="L303" s="38" t="str">
        <f>IF(Table1[[#This Row],[Weather_code]]=1,"Clear",IF(Table1[[#This Row],[Weather_code]]=2,"Cloudy",IF(Table1[[#This Row],[Weather_code]]=3,"Light Rain",IF(Table1[[#This Row],[Weather_code]]=4,"Heavy Rain"))))</f>
        <v>Clear</v>
      </c>
      <c r="M303" s="10">
        <v>0.14000000000000001</v>
      </c>
      <c r="N303" s="11" t="str">
        <f t="shared" si="13"/>
        <v>Winter</v>
      </c>
      <c r="O303" s="11" t="str">
        <f t="shared" si="14"/>
        <v>Weekday</v>
      </c>
      <c r="P303" s="11">
        <f>VLOOKUP(A303,[1]Sheet1!$A:$H,2, FALSE)</f>
        <v>0.1212</v>
      </c>
      <c r="Q303" s="40">
        <f>Table1[[#This Row],[A_Temperature]]*41</f>
        <v>4.9691999999999998</v>
      </c>
      <c r="R303" s="11">
        <f>VLOOKUP(A303,[1]Sheet1!$A:$G,3,FALSE)</f>
        <v>0.46</v>
      </c>
      <c r="S303" s="11">
        <f>VLOOKUP(A303,[1]Sheet1!$A:$G,4,FALSE)</f>
        <v>0.29849999999999999</v>
      </c>
      <c r="T303" s="11">
        <f>VLOOKUP(A303,[1]Sheet1!$A:$G,5,FALSE)</f>
        <v>0</v>
      </c>
      <c r="U303" s="11">
        <f>VLOOKUP(A303,[1]Sheet1!$A:$G,6,FALSE)</f>
        <v>40</v>
      </c>
      <c r="V303" s="18">
        <f>VLOOKUP(A303,[1]Sheet1!$A:$G,7,FALSE)</f>
        <v>40</v>
      </c>
    </row>
    <row r="304" spans="1:22" s="13" customFormat="1" ht="30" customHeight="1">
      <c r="A304" s="17">
        <v>300</v>
      </c>
      <c r="B304" s="14">
        <v>40556</v>
      </c>
      <c r="C304" s="8" t="str">
        <f t="shared" si="15"/>
        <v>Thursday</v>
      </c>
      <c r="D304" s="9">
        <v>1</v>
      </c>
      <c r="E304" s="9">
        <v>0</v>
      </c>
      <c r="F304" s="9">
        <v>1</v>
      </c>
      <c r="G304" s="7">
        <v>22</v>
      </c>
      <c r="H304" s="9" t="b">
        <v>0</v>
      </c>
      <c r="I304" s="9">
        <v>4</v>
      </c>
      <c r="J304" s="38" t="str">
        <f>CHOOSE(Table1[[#This Row],[Weekday]]+1,"Sunday","Monday","Tuesday","Wednesday","Thursday","Friday","Saturday")</f>
        <v>Thursday</v>
      </c>
      <c r="K304" s="9">
        <v>1</v>
      </c>
      <c r="L304" s="38" t="str">
        <f>IF(Table1[[#This Row],[Weather_code]]=1,"Clear",IF(Table1[[#This Row],[Weather_code]]=2,"Cloudy",IF(Table1[[#This Row],[Weather_code]]=3,"Light Rain",IF(Table1[[#This Row],[Weather_code]]=4,"Heavy Rain"))))</f>
        <v>Clear</v>
      </c>
      <c r="M304" s="10">
        <v>0.14000000000000001</v>
      </c>
      <c r="N304" s="11" t="str">
        <f t="shared" si="13"/>
        <v>Winter</v>
      </c>
      <c r="O304" s="11" t="str">
        <f t="shared" si="14"/>
        <v>Weekday</v>
      </c>
      <c r="P304" s="11">
        <f>VLOOKUP(A304,[1]Sheet1!$A:$H,2, FALSE)</f>
        <v>0.1212</v>
      </c>
      <c r="Q304" s="40">
        <f>Table1[[#This Row],[A_Temperature]]*41</f>
        <v>4.9691999999999998</v>
      </c>
      <c r="R304" s="11">
        <f>VLOOKUP(A304,[1]Sheet1!$A:$G,3,FALSE)</f>
        <v>0.46</v>
      </c>
      <c r="S304" s="11">
        <f>VLOOKUP(A304,[1]Sheet1!$A:$G,4,FALSE)</f>
        <v>0.32840000000000003</v>
      </c>
      <c r="T304" s="11">
        <f>VLOOKUP(A304,[1]Sheet1!$A:$G,5,FALSE)</f>
        <v>0</v>
      </c>
      <c r="U304" s="11">
        <f>VLOOKUP(A304,[1]Sheet1!$A:$G,6,FALSE)</f>
        <v>30</v>
      </c>
      <c r="V304" s="18">
        <f>VLOOKUP(A304,[1]Sheet1!$A:$G,7,FALSE)</f>
        <v>30</v>
      </c>
    </row>
    <row r="305" spans="1:22" s="13" customFormat="1" ht="30" customHeight="1">
      <c r="A305" s="17">
        <v>301</v>
      </c>
      <c r="B305" s="14">
        <v>40556</v>
      </c>
      <c r="C305" s="8" t="str">
        <f t="shared" si="15"/>
        <v>Thursday</v>
      </c>
      <c r="D305" s="9">
        <v>1</v>
      </c>
      <c r="E305" s="9">
        <v>0</v>
      </c>
      <c r="F305" s="9">
        <v>1</v>
      </c>
      <c r="G305" s="7">
        <v>23</v>
      </c>
      <c r="H305" s="9" t="b">
        <v>0</v>
      </c>
      <c r="I305" s="9">
        <v>4</v>
      </c>
      <c r="J305" s="38" t="str">
        <f>CHOOSE(Table1[[#This Row],[Weekday]]+1,"Sunday","Monday","Tuesday","Wednesday","Thursday","Friday","Saturday")</f>
        <v>Thursday</v>
      </c>
      <c r="K305" s="9">
        <v>1</v>
      </c>
      <c r="L305" s="38" t="str">
        <f>IF(Table1[[#This Row],[Weather_code]]=1,"Clear",IF(Table1[[#This Row],[Weather_code]]=2,"Cloudy",IF(Table1[[#This Row],[Weather_code]]=3,"Light Rain",IF(Table1[[#This Row],[Weather_code]]=4,"Heavy Rain"))))</f>
        <v>Clear</v>
      </c>
      <c r="M305" s="10">
        <v>0.12</v>
      </c>
      <c r="N305" s="11" t="str">
        <f t="shared" si="13"/>
        <v>Winter</v>
      </c>
      <c r="O305" s="11" t="str">
        <f t="shared" si="14"/>
        <v>Weekday</v>
      </c>
      <c r="P305" s="11">
        <f>VLOOKUP(A305,[1]Sheet1!$A:$H,2, FALSE)</f>
        <v>0.13639999999999999</v>
      </c>
      <c r="Q305" s="40">
        <f>Table1[[#This Row],[A_Temperature]]*41</f>
        <v>5.5923999999999996</v>
      </c>
      <c r="R305" s="11">
        <f>VLOOKUP(A305,[1]Sheet1!$A:$G,3,FALSE)</f>
        <v>0.5</v>
      </c>
      <c r="S305" s="11">
        <f>VLOOKUP(A305,[1]Sheet1!$A:$G,4,FALSE)</f>
        <v>0.19400000000000001</v>
      </c>
      <c r="T305" s="11">
        <f>VLOOKUP(A305,[1]Sheet1!$A:$G,5,FALSE)</f>
        <v>1</v>
      </c>
      <c r="U305" s="11">
        <f>VLOOKUP(A305,[1]Sheet1!$A:$G,6,FALSE)</f>
        <v>14</v>
      </c>
      <c r="V305" s="18">
        <f>VLOOKUP(A305,[1]Sheet1!$A:$G,7,FALSE)</f>
        <v>15</v>
      </c>
    </row>
    <row r="306" spans="1:22" s="13" customFormat="1" ht="30" customHeight="1">
      <c r="A306" s="17">
        <v>302</v>
      </c>
      <c r="B306" s="14">
        <v>40557</v>
      </c>
      <c r="C306" s="8" t="str">
        <f t="shared" si="15"/>
        <v>Friday</v>
      </c>
      <c r="D306" s="9">
        <v>1</v>
      </c>
      <c r="E306" s="9">
        <v>0</v>
      </c>
      <c r="F306" s="9">
        <v>1</v>
      </c>
      <c r="G306" s="7">
        <v>0</v>
      </c>
      <c r="H306" s="9" t="b">
        <v>0</v>
      </c>
      <c r="I306" s="9">
        <v>5</v>
      </c>
      <c r="J306" s="38" t="str">
        <f>CHOOSE(Table1[[#This Row],[Weekday]]+1,"Sunday","Monday","Tuesday","Wednesday","Thursday","Friday","Saturday")</f>
        <v>Friday</v>
      </c>
      <c r="K306" s="9">
        <v>1</v>
      </c>
      <c r="L306" s="38" t="str">
        <f>IF(Table1[[#This Row],[Weather_code]]=1,"Clear",IF(Table1[[#This Row],[Weather_code]]=2,"Cloudy",IF(Table1[[#This Row],[Weather_code]]=3,"Light Rain",IF(Table1[[#This Row],[Weather_code]]=4,"Heavy Rain"))))</f>
        <v>Clear</v>
      </c>
      <c r="M306" s="10">
        <v>0.12</v>
      </c>
      <c r="N306" s="11" t="str">
        <f t="shared" si="13"/>
        <v>Winter</v>
      </c>
      <c r="O306" s="11" t="str">
        <f t="shared" si="14"/>
        <v>Weekday</v>
      </c>
      <c r="P306" s="11">
        <f>VLOOKUP(A306,[1]Sheet1!$A:$H,2, FALSE)</f>
        <v>0.13639999999999999</v>
      </c>
      <c r="Q306" s="40">
        <f>Table1[[#This Row],[A_Temperature]]*41</f>
        <v>5.5923999999999996</v>
      </c>
      <c r="R306" s="11">
        <f>VLOOKUP(A306,[1]Sheet1!$A:$G,3,FALSE)</f>
        <v>0.5</v>
      </c>
      <c r="S306" s="11">
        <f>VLOOKUP(A306,[1]Sheet1!$A:$G,4,FALSE)</f>
        <v>0.19400000000000001</v>
      </c>
      <c r="T306" s="11">
        <f>VLOOKUP(A306,[1]Sheet1!$A:$G,5,FALSE)</f>
        <v>0</v>
      </c>
      <c r="U306" s="11">
        <f>VLOOKUP(A306,[1]Sheet1!$A:$G,6,FALSE)</f>
        <v>14</v>
      </c>
      <c r="V306" s="18">
        <f>VLOOKUP(A306,[1]Sheet1!$A:$G,7,FALSE)</f>
        <v>14</v>
      </c>
    </row>
    <row r="307" spans="1:22" s="13" customFormat="1" ht="30" customHeight="1">
      <c r="A307" s="17">
        <v>303</v>
      </c>
      <c r="B307" s="14">
        <v>40557</v>
      </c>
      <c r="C307" s="8" t="str">
        <f t="shared" si="15"/>
        <v>Friday</v>
      </c>
      <c r="D307" s="9">
        <v>1</v>
      </c>
      <c r="E307" s="9">
        <v>0</v>
      </c>
      <c r="F307" s="9">
        <v>1</v>
      </c>
      <c r="G307" s="7">
        <v>1</v>
      </c>
      <c r="H307" s="9" t="b">
        <v>0</v>
      </c>
      <c r="I307" s="9">
        <v>5</v>
      </c>
      <c r="J307" s="38" t="str">
        <f>CHOOSE(Table1[[#This Row],[Weekday]]+1,"Sunday","Monday","Tuesday","Wednesday","Thursday","Friday","Saturday")</f>
        <v>Friday</v>
      </c>
      <c r="K307" s="9">
        <v>1</v>
      </c>
      <c r="L307" s="38" t="str">
        <f>IF(Table1[[#This Row],[Weather_code]]=1,"Clear",IF(Table1[[#This Row],[Weather_code]]=2,"Cloudy",IF(Table1[[#This Row],[Weather_code]]=3,"Light Rain",IF(Table1[[#This Row],[Weather_code]]=4,"Heavy Rain"))))</f>
        <v>Clear</v>
      </c>
      <c r="M307" s="10">
        <v>0.1</v>
      </c>
      <c r="N307" s="11" t="str">
        <f t="shared" si="13"/>
        <v>Winter</v>
      </c>
      <c r="O307" s="11" t="str">
        <f t="shared" si="14"/>
        <v>Weekday</v>
      </c>
      <c r="P307" s="11">
        <f>VLOOKUP(A307,[1]Sheet1!$A:$H,2, FALSE)</f>
        <v>0.1212</v>
      </c>
      <c r="Q307" s="40">
        <f>Table1[[#This Row],[A_Temperature]]*41</f>
        <v>4.9691999999999998</v>
      </c>
      <c r="R307" s="11">
        <f>VLOOKUP(A307,[1]Sheet1!$A:$G,3,FALSE)</f>
        <v>0.54</v>
      </c>
      <c r="S307" s="11">
        <f>VLOOKUP(A307,[1]Sheet1!$A:$G,4,FALSE)</f>
        <v>0.16420000000000001</v>
      </c>
      <c r="T307" s="11">
        <f>VLOOKUP(A307,[1]Sheet1!$A:$G,5,FALSE)</f>
        <v>0</v>
      </c>
      <c r="U307" s="11">
        <f>VLOOKUP(A307,[1]Sheet1!$A:$G,6,FALSE)</f>
        <v>5</v>
      </c>
      <c r="V307" s="18">
        <f>VLOOKUP(A307,[1]Sheet1!$A:$G,7,FALSE)</f>
        <v>5</v>
      </c>
    </row>
    <row r="308" spans="1:22" s="13" customFormat="1" ht="30" customHeight="1">
      <c r="A308" s="17">
        <v>304</v>
      </c>
      <c r="B308" s="14">
        <v>40557</v>
      </c>
      <c r="C308" s="8" t="str">
        <f t="shared" si="15"/>
        <v>Friday</v>
      </c>
      <c r="D308" s="9">
        <v>1</v>
      </c>
      <c r="E308" s="9">
        <v>0</v>
      </c>
      <c r="F308" s="9">
        <v>1</v>
      </c>
      <c r="G308" s="7">
        <v>2</v>
      </c>
      <c r="H308" s="9" t="b">
        <v>0</v>
      </c>
      <c r="I308" s="9">
        <v>5</v>
      </c>
      <c r="J308" s="38" t="str">
        <f>CHOOSE(Table1[[#This Row],[Weekday]]+1,"Sunday","Monday","Tuesday","Wednesday","Thursday","Friday","Saturday")</f>
        <v>Friday</v>
      </c>
      <c r="K308" s="9">
        <v>1</v>
      </c>
      <c r="L308" s="38" t="str">
        <f>IF(Table1[[#This Row],[Weather_code]]=1,"Clear",IF(Table1[[#This Row],[Weather_code]]=2,"Cloudy",IF(Table1[[#This Row],[Weather_code]]=3,"Light Rain",IF(Table1[[#This Row],[Weather_code]]=4,"Heavy Rain"))))</f>
        <v>Clear</v>
      </c>
      <c r="M308" s="10">
        <v>0.1</v>
      </c>
      <c r="N308" s="11" t="str">
        <f t="shared" si="13"/>
        <v>Winter</v>
      </c>
      <c r="O308" s="11" t="str">
        <f t="shared" si="14"/>
        <v>Weekday</v>
      </c>
      <c r="P308" s="11">
        <f>VLOOKUP(A308,[1]Sheet1!$A:$H,2, FALSE)</f>
        <v>0.1212</v>
      </c>
      <c r="Q308" s="40">
        <f>Table1[[#This Row],[A_Temperature]]*41</f>
        <v>4.9691999999999998</v>
      </c>
      <c r="R308" s="11">
        <f>VLOOKUP(A308,[1]Sheet1!$A:$G,3,FALSE)</f>
        <v>0.54</v>
      </c>
      <c r="S308" s="11">
        <f>VLOOKUP(A308,[1]Sheet1!$A:$G,4,FALSE)</f>
        <v>0.1343</v>
      </c>
      <c r="T308" s="11">
        <f>VLOOKUP(A308,[1]Sheet1!$A:$G,5,FALSE)</f>
        <v>0</v>
      </c>
      <c r="U308" s="11">
        <f>VLOOKUP(A308,[1]Sheet1!$A:$G,6,FALSE)</f>
        <v>1</v>
      </c>
      <c r="V308" s="18">
        <f>VLOOKUP(A308,[1]Sheet1!$A:$G,7,FALSE)</f>
        <v>1</v>
      </c>
    </row>
    <row r="309" spans="1:22" s="13" customFormat="1" ht="30" customHeight="1">
      <c r="A309" s="17">
        <v>305</v>
      </c>
      <c r="B309" s="14">
        <v>40557</v>
      </c>
      <c r="C309" s="8" t="str">
        <f t="shared" si="15"/>
        <v>Friday</v>
      </c>
      <c r="D309" s="9">
        <v>1</v>
      </c>
      <c r="E309" s="9">
        <v>0</v>
      </c>
      <c r="F309" s="9">
        <v>1</v>
      </c>
      <c r="G309" s="7">
        <v>3</v>
      </c>
      <c r="H309" s="9" t="b">
        <v>0</v>
      </c>
      <c r="I309" s="9">
        <v>5</v>
      </c>
      <c r="J309" s="38" t="str">
        <f>CHOOSE(Table1[[#This Row],[Weekday]]+1,"Sunday","Monday","Tuesday","Wednesday","Thursday","Friday","Saturday")</f>
        <v>Friday</v>
      </c>
      <c r="K309" s="9">
        <v>1</v>
      </c>
      <c r="L309" s="38" t="str">
        <f>IF(Table1[[#This Row],[Weather_code]]=1,"Clear",IF(Table1[[#This Row],[Weather_code]]=2,"Cloudy",IF(Table1[[#This Row],[Weather_code]]=3,"Light Rain",IF(Table1[[#This Row],[Weather_code]]=4,"Heavy Rain"))))</f>
        <v>Clear</v>
      </c>
      <c r="M309" s="10">
        <v>0.1</v>
      </c>
      <c r="N309" s="11" t="str">
        <f t="shared" si="13"/>
        <v>Winter</v>
      </c>
      <c r="O309" s="11" t="str">
        <f t="shared" si="14"/>
        <v>Weekday</v>
      </c>
      <c r="P309" s="11">
        <f>VLOOKUP(A309,[1]Sheet1!$A:$H,2, FALSE)</f>
        <v>0.13639999999999999</v>
      </c>
      <c r="Q309" s="40">
        <f>Table1[[#This Row],[A_Temperature]]*41</f>
        <v>5.5923999999999996</v>
      </c>
      <c r="R309" s="11">
        <f>VLOOKUP(A309,[1]Sheet1!$A:$G,3,FALSE)</f>
        <v>0.54</v>
      </c>
      <c r="S309" s="11">
        <f>VLOOKUP(A309,[1]Sheet1!$A:$G,4,FALSE)</f>
        <v>0.1045</v>
      </c>
      <c r="T309" s="11">
        <f>VLOOKUP(A309,[1]Sheet1!$A:$G,5,FALSE)</f>
        <v>0</v>
      </c>
      <c r="U309" s="11">
        <f>VLOOKUP(A309,[1]Sheet1!$A:$G,6,FALSE)</f>
        <v>1</v>
      </c>
      <c r="V309" s="18">
        <f>VLOOKUP(A309,[1]Sheet1!$A:$G,7,FALSE)</f>
        <v>1</v>
      </c>
    </row>
    <row r="310" spans="1:22" s="13" customFormat="1" ht="30" customHeight="1">
      <c r="A310" s="17">
        <v>306</v>
      </c>
      <c r="B310" s="14">
        <v>40557</v>
      </c>
      <c r="C310" s="8" t="str">
        <f t="shared" si="15"/>
        <v>Friday</v>
      </c>
      <c r="D310" s="9">
        <v>1</v>
      </c>
      <c r="E310" s="9">
        <v>0</v>
      </c>
      <c r="F310" s="9">
        <v>1</v>
      </c>
      <c r="G310" s="7">
        <v>5</v>
      </c>
      <c r="H310" s="9" t="b">
        <v>0</v>
      </c>
      <c r="I310" s="9">
        <v>5</v>
      </c>
      <c r="J310" s="38" t="str">
        <f>CHOOSE(Table1[[#This Row],[Weekday]]+1,"Sunday","Monday","Tuesday","Wednesday","Thursday","Friday","Saturday")</f>
        <v>Friday</v>
      </c>
      <c r="K310" s="9">
        <v>1</v>
      </c>
      <c r="L310" s="38" t="str">
        <f>IF(Table1[[#This Row],[Weather_code]]=1,"Clear",IF(Table1[[#This Row],[Weather_code]]=2,"Cloudy",IF(Table1[[#This Row],[Weather_code]]=3,"Light Rain",IF(Table1[[#This Row],[Weather_code]]=4,"Heavy Rain"))))</f>
        <v>Clear</v>
      </c>
      <c r="M310" s="10">
        <v>0.1</v>
      </c>
      <c r="N310" s="11" t="str">
        <f t="shared" si="13"/>
        <v>Winter</v>
      </c>
      <c r="O310" s="11" t="str">
        <f t="shared" si="14"/>
        <v>Weekday</v>
      </c>
      <c r="P310" s="11">
        <f>VLOOKUP(A310,[1]Sheet1!$A:$H,2, FALSE)</f>
        <v>0.13639999999999999</v>
      </c>
      <c r="Q310" s="40">
        <f>Table1[[#This Row],[A_Temperature]]*41</f>
        <v>5.5923999999999996</v>
      </c>
      <c r="R310" s="11">
        <f>VLOOKUP(A310,[1]Sheet1!$A:$G,3,FALSE)</f>
        <v>0.54</v>
      </c>
      <c r="S310" s="11">
        <f>VLOOKUP(A310,[1]Sheet1!$A:$G,4,FALSE)</f>
        <v>8.9599999999999999E-2</v>
      </c>
      <c r="T310" s="11">
        <f>VLOOKUP(A310,[1]Sheet1!$A:$G,5,FALSE)</f>
        <v>0</v>
      </c>
      <c r="U310" s="11">
        <f>VLOOKUP(A310,[1]Sheet1!$A:$G,6,FALSE)</f>
        <v>8</v>
      </c>
      <c r="V310" s="18">
        <f>VLOOKUP(A310,[1]Sheet1!$A:$G,7,FALSE)</f>
        <v>8</v>
      </c>
    </row>
    <row r="311" spans="1:22" s="13" customFormat="1" ht="30" customHeight="1">
      <c r="A311" s="17">
        <v>307</v>
      </c>
      <c r="B311" s="14">
        <v>40557</v>
      </c>
      <c r="C311" s="8" t="str">
        <f t="shared" si="15"/>
        <v>Friday</v>
      </c>
      <c r="D311" s="9">
        <v>1</v>
      </c>
      <c r="E311" s="9">
        <v>0</v>
      </c>
      <c r="F311" s="9">
        <v>1</v>
      </c>
      <c r="G311" s="7">
        <v>6</v>
      </c>
      <c r="H311" s="9" t="b">
        <v>0</v>
      </c>
      <c r="I311" s="9">
        <v>5</v>
      </c>
      <c r="J311" s="38" t="str">
        <f>CHOOSE(Table1[[#This Row],[Weekday]]+1,"Sunday","Monday","Tuesday","Wednesday","Thursday","Friday","Saturday")</f>
        <v>Friday</v>
      </c>
      <c r="K311" s="9">
        <v>1</v>
      </c>
      <c r="L311" s="38" t="str">
        <f>IF(Table1[[#This Row],[Weather_code]]=1,"Clear",IF(Table1[[#This Row],[Weather_code]]=2,"Cloudy",IF(Table1[[#This Row],[Weather_code]]=3,"Light Rain",IF(Table1[[#This Row],[Weather_code]]=4,"Heavy Rain"))))</f>
        <v>Clear</v>
      </c>
      <c r="M311" s="10">
        <v>0.1</v>
      </c>
      <c r="N311" s="11" t="str">
        <f t="shared" si="13"/>
        <v>Winter</v>
      </c>
      <c r="O311" s="11" t="str">
        <f t="shared" si="14"/>
        <v>Weekday</v>
      </c>
      <c r="P311" s="11">
        <f>VLOOKUP(A311,[1]Sheet1!$A:$H,2, FALSE)</f>
        <v>0.18179999999999999</v>
      </c>
      <c r="Q311" s="40">
        <f>Table1[[#This Row],[A_Temperature]]*41</f>
        <v>7.4537999999999993</v>
      </c>
      <c r="R311" s="11">
        <f>VLOOKUP(A311,[1]Sheet1!$A:$G,3,FALSE)</f>
        <v>0.54</v>
      </c>
      <c r="S311" s="11">
        <f>VLOOKUP(A311,[1]Sheet1!$A:$G,4,FALSE)</f>
        <v>0</v>
      </c>
      <c r="T311" s="11">
        <f>VLOOKUP(A311,[1]Sheet1!$A:$G,5,FALSE)</f>
        <v>0</v>
      </c>
      <c r="U311" s="11">
        <f>VLOOKUP(A311,[1]Sheet1!$A:$G,6,FALSE)</f>
        <v>17</v>
      </c>
      <c r="V311" s="18">
        <f>VLOOKUP(A311,[1]Sheet1!$A:$G,7,FALSE)</f>
        <v>17</v>
      </c>
    </row>
    <row r="312" spans="1:22" s="13" customFormat="1" ht="30" customHeight="1">
      <c r="A312" s="17">
        <v>308</v>
      </c>
      <c r="B312" s="14">
        <v>40557</v>
      </c>
      <c r="C312" s="8" t="str">
        <f t="shared" si="15"/>
        <v>Friday</v>
      </c>
      <c r="D312" s="9">
        <v>1</v>
      </c>
      <c r="E312" s="9">
        <v>0</v>
      </c>
      <c r="F312" s="9">
        <v>1</v>
      </c>
      <c r="G312" s="7">
        <v>7</v>
      </c>
      <c r="H312" s="9" t="b">
        <v>0</v>
      </c>
      <c r="I312" s="9">
        <v>5</v>
      </c>
      <c r="J312" s="38" t="str">
        <f>CHOOSE(Table1[[#This Row],[Weekday]]+1,"Sunday","Monday","Tuesday","Wednesday","Thursday","Friday","Saturday")</f>
        <v>Friday</v>
      </c>
      <c r="K312" s="9">
        <v>1</v>
      </c>
      <c r="L312" s="38" t="str">
        <f>IF(Table1[[#This Row],[Weather_code]]=1,"Clear",IF(Table1[[#This Row],[Weather_code]]=2,"Cloudy",IF(Table1[[#This Row],[Weather_code]]=3,"Light Rain",IF(Table1[[#This Row],[Weather_code]]=4,"Heavy Rain"))))</f>
        <v>Clear</v>
      </c>
      <c r="M312" s="10">
        <v>0.1</v>
      </c>
      <c r="N312" s="11" t="str">
        <f t="shared" si="13"/>
        <v>Winter</v>
      </c>
      <c r="O312" s="11" t="str">
        <f t="shared" si="14"/>
        <v>Weekday</v>
      </c>
      <c r="P312" s="11">
        <f>VLOOKUP(A312,[1]Sheet1!$A:$H,2, FALSE)</f>
        <v>0.1212</v>
      </c>
      <c r="Q312" s="40">
        <f>Table1[[#This Row],[A_Temperature]]*41</f>
        <v>4.9691999999999998</v>
      </c>
      <c r="R312" s="11">
        <f>VLOOKUP(A312,[1]Sheet1!$A:$G,3,FALSE)</f>
        <v>0.74</v>
      </c>
      <c r="S312" s="11">
        <f>VLOOKUP(A312,[1]Sheet1!$A:$G,4,FALSE)</f>
        <v>0.16420000000000001</v>
      </c>
      <c r="T312" s="11">
        <f>VLOOKUP(A312,[1]Sheet1!$A:$G,5,FALSE)</f>
        <v>0</v>
      </c>
      <c r="U312" s="11">
        <f>VLOOKUP(A312,[1]Sheet1!$A:$G,6,FALSE)</f>
        <v>70</v>
      </c>
      <c r="V312" s="18">
        <f>VLOOKUP(A312,[1]Sheet1!$A:$G,7,FALSE)</f>
        <v>70</v>
      </c>
    </row>
    <row r="313" spans="1:22" s="13" customFormat="1" ht="30" customHeight="1">
      <c r="A313" s="17">
        <v>309</v>
      </c>
      <c r="B313" s="14">
        <v>40557</v>
      </c>
      <c r="C313" s="8" t="str">
        <f t="shared" si="15"/>
        <v>Friday</v>
      </c>
      <c r="D313" s="9">
        <v>1</v>
      </c>
      <c r="E313" s="9">
        <v>0</v>
      </c>
      <c r="F313" s="9">
        <v>1</v>
      </c>
      <c r="G313" s="7">
        <v>8</v>
      </c>
      <c r="H313" s="9" t="b">
        <v>0</v>
      </c>
      <c r="I313" s="9">
        <v>5</v>
      </c>
      <c r="J313" s="38" t="str">
        <f>CHOOSE(Table1[[#This Row],[Weekday]]+1,"Sunday","Monday","Tuesday","Wednesday","Thursday","Friday","Saturday")</f>
        <v>Friday</v>
      </c>
      <c r="K313" s="9">
        <v>1</v>
      </c>
      <c r="L313" s="38" t="str">
        <f>IF(Table1[[#This Row],[Weather_code]]=1,"Clear",IF(Table1[[#This Row],[Weather_code]]=2,"Cloudy",IF(Table1[[#This Row],[Weather_code]]=3,"Light Rain",IF(Table1[[#This Row],[Weather_code]]=4,"Heavy Rain"))))</f>
        <v>Clear</v>
      </c>
      <c r="M313" s="10">
        <v>0.12</v>
      </c>
      <c r="N313" s="11" t="str">
        <f t="shared" si="13"/>
        <v>Winter</v>
      </c>
      <c r="O313" s="11" t="str">
        <f t="shared" si="14"/>
        <v>Weekday</v>
      </c>
      <c r="P313" s="11">
        <f>VLOOKUP(A313,[1]Sheet1!$A:$H,2, FALSE)</f>
        <v>0.16669999999999999</v>
      </c>
      <c r="Q313" s="40">
        <f>Table1[[#This Row],[A_Temperature]]*41</f>
        <v>6.8346999999999998</v>
      </c>
      <c r="R313" s="11">
        <f>VLOOKUP(A313,[1]Sheet1!$A:$G,3,FALSE)</f>
        <v>0.68</v>
      </c>
      <c r="S313" s="11">
        <f>VLOOKUP(A313,[1]Sheet1!$A:$G,4,FALSE)</f>
        <v>0</v>
      </c>
      <c r="T313" s="11">
        <f>VLOOKUP(A313,[1]Sheet1!$A:$G,5,FALSE)</f>
        <v>2</v>
      </c>
      <c r="U313" s="11">
        <f>VLOOKUP(A313,[1]Sheet1!$A:$G,6,FALSE)</f>
        <v>156</v>
      </c>
      <c r="V313" s="18">
        <f>VLOOKUP(A313,[1]Sheet1!$A:$G,7,FALSE)</f>
        <v>158</v>
      </c>
    </row>
    <row r="314" spans="1:22" s="13" customFormat="1" ht="30" customHeight="1">
      <c r="A314" s="17">
        <v>310</v>
      </c>
      <c r="B314" s="14">
        <v>40557</v>
      </c>
      <c r="C314" s="8" t="str">
        <f t="shared" si="15"/>
        <v>Friday</v>
      </c>
      <c r="D314" s="9">
        <v>1</v>
      </c>
      <c r="E314" s="9">
        <v>0</v>
      </c>
      <c r="F314" s="9">
        <v>1</v>
      </c>
      <c r="G314" s="7">
        <v>9</v>
      </c>
      <c r="H314" s="9" t="b">
        <v>0</v>
      </c>
      <c r="I314" s="9">
        <v>5</v>
      </c>
      <c r="J314" s="38" t="str">
        <f>CHOOSE(Table1[[#This Row],[Weekday]]+1,"Sunday","Monday","Tuesday","Wednesday","Thursday","Friday","Saturday")</f>
        <v>Friday</v>
      </c>
      <c r="K314" s="9">
        <v>1</v>
      </c>
      <c r="L314" s="38" t="str">
        <f>IF(Table1[[#This Row],[Weather_code]]=1,"Clear",IF(Table1[[#This Row],[Weather_code]]=2,"Cloudy",IF(Table1[[#This Row],[Weather_code]]=3,"Light Rain",IF(Table1[[#This Row],[Weather_code]]=4,"Heavy Rain"))))</f>
        <v>Clear</v>
      </c>
      <c r="M314" s="10">
        <v>0.14000000000000001</v>
      </c>
      <c r="N314" s="11" t="str">
        <f t="shared" si="13"/>
        <v>Winter</v>
      </c>
      <c r="O314" s="11" t="str">
        <f t="shared" si="14"/>
        <v>Weekday</v>
      </c>
      <c r="P314" s="11">
        <f>VLOOKUP(A314,[1]Sheet1!$A:$H,2, FALSE)</f>
        <v>0.1515</v>
      </c>
      <c r="Q314" s="40">
        <f>Table1[[#This Row],[A_Temperature]]*41</f>
        <v>6.2115</v>
      </c>
      <c r="R314" s="11">
        <f>VLOOKUP(A314,[1]Sheet1!$A:$G,3,FALSE)</f>
        <v>0.69</v>
      </c>
      <c r="S314" s="11">
        <f>VLOOKUP(A314,[1]Sheet1!$A:$G,4,FALSE)</f>
        <v>0.1343</v>
      </c>
      <c r="T314" s="11">
        <f>VLOOKUP(A314,[1]Sheet1!$A:$G,5,FALSE)</f>
        <v>0</v>
      </c>
      <c r="U314" s="11">
        <f>VLOOKUP(A314,[1]Sheet1!$A:$G,6,FALSE)</f>
        <v>117</v>
      </c>
      <c r="V314" s="18">
        <f>VLOOKUP(A314,[1]Sheet1!$A:$G,7,FALSE)</f>
        <v>117</v>
      </c>
    </row>
    <row r="315" spans="1:22" s="13" customFormat="1" ht="30" customHeight="1">
      <c r="A315" s="17">
        <v>311</v>
      </c>
      <c r="B315" s="14">
        <v>40557</v>
      </c>
      <c r="C315" s="8" t="str">
        <f t="shared" si="15"/>
        <v>Friday</v>
      </c>
      <c r="D315" s="9">
        <v>1</v>
      </c>
      <c r="E315" s="9">
        <v>0</v>
      </c>
      <c r="F315" s="9">
        <v>1</v>
      </c>
      <c r="G315" s="7">
        <v>10</v>
      </c>
      <c r="H315" s="9" t="b">
        <v>0</v>
      </c>
      <c r="I315" s="9">
        <v>5</v>
      </c>
      <c r="J315" s="38" t="str">
        <f>CHOOSE(Table1[[#This Row],[Weekday]]+1,"Sunday","Monday","Tuesday","Wednesday","Thursday","Friday","Saturday")</f>
        <v>Friday</v>
      </c>
      <c r="K315" s="9">
        <v>1</v>
      </c>
      <c r="L315" s="38" t="str">
        <f>IF(Table1[[#This Row],[Weather_code]]=1,"Clear",IF(Table1[[#This Row],[Weather_code]]=2,"Cloudy",IF(Table1[[#This Row],[Weather_code]]=3,"Light Rain",IF(Table1[[#This Row],[Weather_code]]=4,"Heavy Rain"))))</f>
        <v>Clear</v>
      </c>
      <c r="M315" s="10">
        <v>0.18</v>
      </c>
      <c r="N315" s="11" t="str">
        <f t="shared" si="13"/>
        <v>Winter</v>
      </c>
      <c r="O315" s="11" t="str">
        <f t="shared" si="14"/>
        <v>Weekday</v>
      </c>
      <c r="P315" s="11">
        <f>VLOOKUP(A315,[1]Sheet1!$A:$H,2, FALSE)</f>
        <v>0.18179999999999999</v>
      </c>
      <c r="Q315" s="40">
        <f>Table1[[#This Row],[A_Temperature]]*41</f>
        <v>7.4537999999999993</v>
      </c>
      <c r="R315" s="11">
        <f>VLOOKUP(A315,[1]Sheet1!$A:$G,3,FALSE)</f>
        <v>0.55000000000000004</v>
      </c>
      <c r="S315" s="11">
        <f>VLOOKUP(A315,[1]Sheet1!$A:$G,4,FALSE)</f>
        <v>0.19400000000000001</v>
      </c>
      <c r="T315" s="11">
        <f>VLOOKUP(A315,[1]Sheet1!$A:$G,5,FALSE)</f>
        <v>4</v>
      </c>
      <c r="U315" s="11">
        <f>VLOOKUP(A315,[1]Sheet1!$A:$G,6,FALSE)</f>
        <v>40</v>
      </c>
      <c r="V315" s="18">
        <f>VLOOKUP(A315,[1]Sheet1!$A:$G,7,FALSE)</f>
        <v>44</v>
      </c>
    </row>
    <row r="316" spans="1:22" s="13" customFormat="1" ht="30" customHeight="1">
      <c r="A316" s="17">
        <v>312</v>
      </c>
      <c r="B316" s="14">
        <v>40557</v>
      </c>
      <c r="C316" s="8" t="str">
        <f t="shared" si="15"/>
        <v>Friday</v>
      </c>
      <c r="D316" s="9">
        <v>1</v>
      </c>
      <c r="E316" s="9">
        <v>0</v>
      </c>
      <c r="F316" s="9">
        <v>1</v>
      </c>
      <c r="G316" s="7">
        <v>11</v>
      </c>
      <c r="H316" s="9" t="b">
        <v>0</v>
      </c>
      <c r="I316" s="9">
        <v>5</v>
      </c>
      <c r="J316" s="38" t="str">
        <f>CHOOSE(Table1[[#This Row],[Weekday]]+1,"Sunday","Monday","Tuesday","Wednesday","Thursday","Friday","Saturday")</f>
        <v>Friday</v>
      </c>
      <c r="K316" s="9">
        <v>1</v>
      </c>
      <c r="L316" s="38" t="str">
        <f>IF(Table1[[#This Row],[Weather_code]]=1,"Clear",IF(Table1[[#This Row],[Weather_code]]=2,"Cloudy",IF(Table1[[#This Row],[Weather_code]]=3,"Light Rain",IF(Table1[[#This Row],[Weather_code]]=4,"Heavy Rain"))))</f>
        <v>Clear</v>
      </c>
      <c r="M316" s="10">
        <v>0.18</v>
      </c>
      <c r="N316" s="11" t="str">
        <f t="shared" si="13"/>
        <v>Winter</v>
      </c>
      <c r="O316" s="11" t="str">
        <f t="shared" si="14"/>
        <v>Weekday</v>
      </c>
      <c r="P316" s="11">
        <f>VLOOKUP(A316,[1]Sheet1!$A:$H,2, FALSE)</f>
        <v>0.16669999999999999</v>
      </c>
      <c r="Q316" s="40">
        <f>Table1[[#This Row],[A_Temperature]]*41</f>
        <v>6.8346999999999998</v>
      </c>
      <c r="R316" s="11">
        <f>VLOOKUP(A316,[1]Sheet1!$A:$G,3,FALSE)</f>
        <v>0.51</v>
      </c>
      <c r="S316" s="11">
        <f>VLOOKUP(A316,[1]Sheet1!$A:$G,4,FALSE)</f>
        <v>0.28360000000000002</v>
      </c>
      <c r="T316" s="11">
        <f>VLOOKUP(A316,[1]Sheet1!$A:$G,5,FALSE)</f>
        <v>6</v>
      </c>
      <c r="U316" s="11">
        <f>VLOOKUP(A316,[1]Sheet1!$A:$G,6,FALSE)</f>
        <v>47</v>
      </c>
      <c r="V316" s="18">
        <f>VLOOKUP(A316,[1]Sheet1!$A:$G,7,FALSE)</f>
        <v>53</v>
      </c>
    </row>
    <row r="317" spans="1:22" s="13" customFormat="1" ht="30" customHeight="1">
      <c r="A317" s="17">
        <v>313</v>
      </c>
      <c r="B317" s="14">
        <v>40557</v>
      </c>
      <c r="C317" s="8" t="str">
        <f t="shared" si="15"/>
        <v>Friday</v>
      </c>
      <c r="D317" s="9">
        <v>1</v>
      </c>
      <c r="E317" s="9">
        <v>0</v>
      </c>
      <c r="F317" s="9">
        <v>1</v>
      </c>
      <c r="G317" s="7">
        <v>12</v>
      </c>
      <c r="H317" s="9" t="b">
        <v>0</v>
      </c>
      <c r="I317" s="9">
        <v>5</v>
      </c>
      <c r="J317" s="38" t="str">
        <f>CHOOSE(Table1[[#This Row],[Weekday]]+1,"Sunday","Monday","Tuesday","Wednesday","Thursday","Friday","Saturday")</f>
        <v>Friday</v>
      </c>
      <c r="K317" s="9">
        <v>1</v>
      </c>
      <c r="L317" s="38" t="str">
        <f>IF(Table1[[#This Row],[Weather_code]]=1,"Clear",IF(Table1[[#This Row],[Weather_code]]=2,"Cloudy",IF(Table1[[#This Row],[Weather_code]]=3,"Light Rain",IF(Table1[[#This Row],[Weather_code]]=4,"Heavy Rain"))))</f>
        <v>Clear</v>
      </c>
      <c r="M317" s="10">
        <v>0.2</v>
      </c>
      <c r="N317" s="11" t="str">
        <f t="shared" si="13"/>
        <v>Winter</v>
      </c>
      <c r="O317" s="11" t="str">
        <f t="shared" si="14"/>
        <v>Weekday</v>
      </c>
      <c r="P317" s="11">
        <f>VLOOKUP(A317,[1]Sheet1!$A:$H,2, FALSE)</f>
        <v>0.19700000000000001</v>
      </c>
      <c r="Q317" s="40">
        <f>Table1[[#This Row],[A_Temperature]]*41</f>
        <v>8.077</v>
      </c>
      <c r="R317" s="11">
        <f>VLOOKUP(A317,[1]Sheet1!$A:$G,3,FALSE)</f>
        <v>0.44</v>
      </c>
      <c r="S317" s="11">
        <f>VLOOKUP(A317,[1]Sheet1!$A:$G,4,FALSE)</f>
        <v>0.25369999999999998</v>
      </c>
      <c r="T317" s="11">
        <f>VLOOKUP(A317,[1]Sheet1!$A:$G,5,FALSE)</f>
        <v>2</v>
      </c>
      <c r="U317" s="11">
        <f>VLOOKUP(A317,[1]Sheet1!$A:$G,6,FALSE)</f>
        <v>59</v>
      </c>
      <c r="V317" s="18">
        <f>VLOOKUP(A317,[1]Sheet1!$A:$G,7,FALSE)</f>
        <v>61</v>
      </c>
    </row>
    <row r="318" spans="1:22" s="13" customFormat="1" ht="30" customHeight="1">
      <c r="A318" s="17">
        <v>314</v>
      </c>
      <c r="B318" s="14">
        <v>40557</v>
      </c>
      <c r="C318" s="8" t="str">
        <f t="shared" si="15"/>
        <v>Friday</v>
      </c>
      <c r="D318" s="9">
        <v>1</v>
      </c>
      <c r="E318" s="9">
        <v>0</v>
      </c>
      <c r="F318" s="9">
        <v>1</v>
      </c>
      <c r="G318" s="7">
        <v>13</v>
      </c>
      <c r="H318" s="9" t="b">
        <v>0</v>
      </c>
      <c r="I318" s="9">
        <v>5</v>
      </c>
      <c r="J318" s="38" t="str">
        <f>CHOOSE(Table1[[#This Row],[Weekday]]+1,"Sunday","Monday","Tuesday","Wednesday","Thursday","Friday","Saturday")</f>
        <v>Friday</v>
      </c>
      <c r="K318" s="9">
        <v>1</v>
      </c>
      <c r="L318" s="38" t="str">
        <f>IF(Table1[[#This Row],[Weather_code]]=1,"Clear",IF(Table1[[#This Row],[Weather_code]]=2,"Cloudy",IF(Table1[[#This Row],[Weather_code]]=3,"Light Rain",IF(Table1[[#This Row],[Weather_code]]=4,"Heavy Rain"))))</f>
        <v>Clear</v>
      </c>
      <c r="M318" s="10">
        <v>0.22</v>
      </c>
      <c r="N318" s="11" t="str">
        <f t="shared" si="13"/>
        <v>Winter</v>
      </c>
      <c r="O318" s="11" t="str">
        <f t="shared" si="14"/>
        <v>Weekday</v>
      </c>
      <c r="P318" s="11">
        <f>VLOOKUP(A318,[1]Sheet1!$A:$H,2, FALSE)</f>
        <v>0.19700000000000001</v>
      </c>
      <c r="Q318" s="40">
        <f>Table1[[#This Row],[A_Temperature]]*41</f>
        <v>8.077</v>
      </c>
      <c r="R318" s="11">
        <f>VLOOKUP(A318,[1]Sheet1!$A:$G,3,FALSE)</f>
        <v>0.37</v>
      </c>
      <c r="S318" s="11">
        <f>VLOOKUP(A318,[1]Sheet1!$A:$G,4,FALSE)</f>
        <v>0.3881</v>
      </c>
      <c r="T318" s="11">
        <f>VLOOKUP(A318,[1]Sheet1!$A:$G,5,FALSE)</f>
        <v>4</v>
      </c>
      <c r="U318" s="11">
        <f>VLOOKUP(A318,[1]Sheet1!$A:$G,6,FALSE)</f>
        <v>73</v>
      </c>
      <c r="V318" s="18">
        <f>VLOOKUP(A318,[1]Sheet1!$A:$G,7,FALSE)</f>
        <v>77</v>
      </c>
    </row>
    <row r="319" spans="1:22" s="13" customFormat="1" ht="30" customHeight="1">
      <c r="A319" s="17">
        <v>315</v>
      </c>
      <c r="B319" s="14">
        <v>40557</v>
      </c>
      <c r="C319" s="8" t="str">
        <f t="shared" si="15"/>
        <v>Friday</v>
      </c>
      <c r="D319" s="9">
        <v>1</v>
      </c>
      <c r="E319" s="9">
        <v>0</v>
      </c>
      <c r="F319" s="9">
        <v>1</v>
      </c>
      <c r="G319" s="7">
        <v>14</v>
      </c>
      <c r="H319" s="9" t="b">
        <v>0</v>
      </c>
      <c r="I319" s="9">
        <v>5</v>
      </c>
      <c r="J319" s="38" t="str">
        <f>CHOOSE(Table1[[#This Row],[Weekday]]+1,"Sunday","Monday","Tuesday","Wednesday","Thursday","Friday","Saturday")</f>
        <v>Friday</v>
      </c>
      <c r="K319" s="9">
        <v>1</v>
      </c>
      <c r="L319" s="38" t="str">
        <f>IF(Table1[[#This Row],[Weather_code]]=1,"Clear",IF(Table1[[#This Row],[Weather_code]]=2,"Cloudy",IF(Table1[[#This Row],[Weather_code]]=3,"Light Rain",IF(Table1[[#This Row],[Weather_code]]=4,"Heavy Rain"))))</f>
        <v>Clear</v>
      </c>
      <c r="M319" s="10">
        <v>0.22</v>
      </c>
      <c r="N319" s="11" t="str">
        <f t="shared" si="13"/>
        <v>Winter</v>
      </c>
      <c r="O319" s="11" t="str">
        <f t="shared" si="14"/>
        <v>Weekday</v>
      </c>
      <c r="P319" s="11">
        <f>VLOOKUP(A319,[1]Sheet1!$A:$H,2, FALSE)</f>
        <v>0.21210000000000001</v>
      </c>
      <c r="Q319" s="40">
        <f>Table1[[#This Row],[A_Temperature]]*41</f>
        <v>8.6961000000000013</v>
      </c>
      <c r="R319" s="11">
        <f>VLOOKUP(A319,[1]Sheet1!$A:$G,3,FALSE)</f>
        <v>0.41</v>
      </c>
      <c r="S319" s="11">
        <f>VLOOKUP(A319,[1]Sheet1!$A:$G,4,FALSE)</f>
        <v>0.28360000000000002</v>
      </c>
      <c r="T319" s="11">
        <f>VLOOKUP(A319,[1]Sheet1!$A:$G,5,FALSE)</f>
        <v>5</v>
      </c>
      <c r="U319" s="11">
        <f>VLOOKUP(A319,[1]Sheet1!$A:$G,6,FALSE)</f>
        <v>59</v>
      </c>
      <c r="V319" s="18">
        <f>VLOOKUP(A319,[1]Sheet1!$A:$G,7,FALSE)</f>
        <v>64</v>
      </c>
    </row>
    <row r="320" spans="1:22" s="13" customFormat="1" ht="30" customHeight="1">
      <c r="A320" s="17">
        <v>316</v>
      </c>
      <c r="B320" s="14">
        <v>40557</v>
      </c>
      <c r="C320" s="8" t="str">
        <f t="shared" si="15"/>
        <v>Friday</v>
      </c>
      <c r="D320" s="9">
        <v>1</v>
      </c>
      <c r="E320" s="9">
        <v>0</v>
      </c>
      <c r="F320" s="9">
        <v>1</v>
      </c>
      <c r="G320" s="7">
        <v>15</v>
      </c>
      <c r="H320" s="9" t="b">
        <v>0</v>
      </c>
      <c r="I320" s="9">
        <v>5</v>
      </c>
      <c r="J320" s="38" t="str">
        <f>CHOOSE(Table1[[#This Row],[Weekday]]+1,"Sunday","Monday","Tuesday","Wednesday","Thursday","Friday","Saturday")</f>
        <v>Friday</v>
      </c>
      <c r="K320" s="9">
        <v>1</v>
      </c>
      <c r="L320" s="38" t="str">
        <f>IF(Table1[[#This Row],[Weather_code]]=1,"Clear",IF(Table1[[#This Row],[Weather_code]]=2,"Cloudy",IF(Table1[[#This Row],[Weather_code]]=3,"Light Rain",IF(Table1[[#This Row],[Weather_code]]=4,"Heavy Rain"))))</f>
        <v>Clear</v>
      </c>
      <c r="M320" s="10">
        <v>0.24</v>
      </c>
      <c r="N320" s="11" t="str">
        <f t="shared" si="13"/>
        <v>Winter</v>
      </c>
      <c r="O320" s="11" t="str">
        <f t="shared" si="14"/>
        <v>Weekday</v>
      </c>
      <c r="P320" s="11">
        <f>VLOOKUP(A320,[1]Sheet1!$A:$H,2, FALSE)</f>
        <v>0.2424</v>
      </c>
      <c r="Q320" s="40">
        <f>Table1[[#This Row],[A_Temperature]]*41</f>
        <v>9.9383999999999997</v>
      </c>
      <c r="R320" s="11">
        <f>VLOOKUP(A320,[1]Sheet1!$A:$G,3,FALSE)</f>
        <v>0.38</v>
      </c>
      <c r="S320" s="11">
        <f>VLOOKUP(A320,[1]Sheet1!$A:$G,4,FALSE)</f>
        <v>0.16420000000000001</v>
      </c>
      <c r="T320" s="11">
        <f>VLOOKUP(A320,[1]Sheet1!$A:$G,5,FALSE)</f>
        <v>9</v>
      </c>
      <c r="U320" s="11">
        <f>VLOOKUP(A320,[1]Sheet1!$A:$G,6,FALSE)</f>
        <v>59</v>
      </c>
      <c r="V320" s="18">
        <f>VLOOKUP(A320,[1]Sheet1!$A:$G,7,FALSE)</f>
        <v>68</v>
      </c>
    </row>
    <row r="321" spans="1:22" s="13" customFormat="1" ht="30" customHeight="1">
      <c r="A321" s="17">
        <v>317</v>
      </c>
      <c r="B321" s="14">
        <v>40557</v>
      </c>
      <c r="C321" s="8" t="str">
        <f t="shared" si="15"/>
        <v>Friday</v>
      </c>
      <c r="D321" s="9">
        <v>1</v>
      </c>
      <c r="E321" s="9">
        <v>0</v>
      </c>
      <c r="F321" s="9">
        <v>1</v>
      </c>
      <c r="G321" s="7">
        <v>16</v>
      </c>
      <c r="H321" s="9" t="b">
        <v>0</v>
      </c>
      <c r="I321" s="9">
        <v>5</v>
      </c>
      <c r="J321" s="38" t="str">
        <f>CHOOSE(Table1[[#This Row],[Weekday]]+1,"Sunday","Monday","Tuesday","Wednesday","Thursday","Friday","Saturday")</f>
        <v>Friday</v>
      </c>
      <c r="K321" s="9">
        <v>1</v>
      </c>
      <c r="L321" s="38" t="str">
        <f>IF(Table1[[#This Row],[Weather_code]]=1,"Clear",IF(Table1[[#This Row],[Weather_code]]=2,"Cloudy",IF(Table1[[#This Row],[Weather_code]]=3,"Light Rain",IF(Table1[[#This Row],[Weather_code]]=4,"Heavy Rain"))))</f>
        <v>Clear</v>
      </c>
      <c r="M321" s="10">
        <v>0.22</v>
      </c>
      <c r="N321" s="11" t="str">
        <f t="shared" si="13"/>
        <v>Winter</v>
      </c>
      <c r="O321" s="11" t="str">
        <f t="shared" si="14"/>
        <v>Weekday</v>
      </c>
      <c r="P321" s="11">
        <f>VLOOKUP(A321,[1]Sheet1!$A:$H,2, FALSE)</f>
        <v>0.2424</v>
      </c>
      <c r="Q321" s="40">
        <f>Table1[[#This Row],[A_Temperature]]*41</f>
        <v>9.9383999999999997</v>
      </c>
      <c r="R321" s="11">
        <f>VLOOKUP(A321,[1]Sheet1!$A:$G,3,FALSE)</f>
        <v>0.41</v>
      </c>
      <c r="S321" s="11">
        <f>VLOOKUP(A321,[1]Sheet1!$A:$G,4,FALSE)</f>
        <v>0.1045</v>
      </c>
      <c r="T321" s="11">
        <f>VLOOKUP(A321,[1]Sheet1!$A:$G,5,FALSE)</f>
        <v>3</v>
      </c>
      <c r="U321" s="11">
        <f>VLOOKUP(A321,[1]Sheet1!$A:$G,6,FALSE)</f>
        <v>87</v>
      </c>
      <c r="V321" s="18">
        <f>VLOOKUP(A321,[1]Sheet1!$A:$G,7,FALSE)</f>
        <v>90</v>
      </c>
    </row>
    <row r="322" spans="1:22" s="13" customFormat="1" ht="30" customHeight="1">
      <c r="A322" s="17">
        <v>318</v>
      </c>
      <c r="B322" s="14">
        <v>40557</v>
      </c>
      <c r="C322" s="8" t="str">
        <f t="shared" si="15"/>
        <v>Friday</v>
      </c>
      <c r="D322" s="9">
        <v>1</v>
      </c>
      <c r="E322" s="9">
        <v>0</v>
      </c>
      <c r="F322" s="9">
        <v>1</v>
      </c>
      <c r="G322" s="7">
        <v>17</v>
      </c>
      <c r="H322" s="9" t="b">
        <v>0</v>
      </c>
      <c r="I322" s="9">
        <v>5</v>
      </c>
      <c r="J322" s="38" t="str">
        <f>CHOOSE(Table1[[#This Row],[Weekday]]+1,"Sunday","Monday","Tuesday","Wednesday","Thursday","Friday","Saturday")</f>
        <v>Friday</v>
      </c>
      <c r="K322" s="9">
        <v>1</v>
      </c>
      <c r="L322" s="38" t="str">
        <f>IF(Table1[[#This Row],[Weather_code]]=1,"Clear",IF(Table1[[#This Row],[Weather_code]]=2,"Cloudy",IF(Table1[[#This Row],[Weather_code]]=3,"Light Rain",IF(Table1[[#This Row],[Weather_code]]=4,"Heavy Rain"))))</f>
        <v>Clear</v>
      </c>
      <c r="M322" s="10">
        <v>0.22</v>
      </c>
      <c r="N322" s="11" t="str">
        <f t="shared" si="13"/>
        <v>Winter</v>
      </c>
      <c r="O322" s="11" t="str">
        <f t="shared" si="14"/>
        <v>Weekday</v>
      </c>
      <c r="P322" s="11">
        <f>VLOOKUP(A322,[1]Sheet1!$A:$H,2, FALSE)</f>
        <v>0.2273</v>
      </c>
      <c r="Q322" s="40">
        <f>Table1[[#This Row],[A_Temperature]]*41</f>
        <v>9.3193000000000001</v>
      </c>
      <c r="R322" s="11">
        <f>VLOOKUP(A322,[1]Sheet1!$A:$G,3,FALSE)</f>
        <v>0.41</v>
      </c>
      <c r="S322" s="11">
        <f>VLOOKUP(A322,[1]Sheet1!$A:$G,4,FALSE)</f>
        <v>0.16420000000000001</v>
      </c>
      <c r="T322" s="11">
        <f>VLOOKUP(A322,[1]Sheet1!$A:$G,5,FALSE)</f>
        <v>4</v>
      </c>
      <c r="U322" s="11">
        <f>VLOOKUP(A322,[1]Sheet1!$A:$G,6,FALSE)</f>
        <v>155</v>
      </c>
      <c r="V322" s="18">
        <f>VLOOKUP(A322,[1]Sheet1!$A:$G,7,FALSE)</f>
        <v>159</v>
      </c>
    </row>
    <row r="323" spans="1:22" s="13" customFormat="1" ht="30" customHeight="1">
      <c r="A323" s="17">
        <v>319</v>
      </c>
      <c r="B323" s="14">
        <v>40557</v>
      </c>
      <c r="C323" s="8" t="str">
        <f t="shared" si="15"/>
        <v>Friday</v>
      </c>
      <c r="D323" s="9">
        <v>1</v>
      </c>
      <c r="E323" s="9">
        <v>0</v>
      </c>
      <c r="F323" s="9">
        <v>1</v>
      </c>
      <c r="G323" s="7">
        <v>18</v>
      </c>
      <c r="H323" s="9" t="b">
        <v>0</v>
      </c>
      <c r="I323" s="9">
        <v>5</v>
      </c>
      <c r="J323" s="38" t="str">
        <f>CHOOSE(Table1[[#This Row],[Weekday]]+1,"Sunday","Monday","Tuesday","Wednesday","Thursday","Friday","Saturday")</f>
        <v>Friday</v>
      </c>
      <c r="K323" s="9">
        <v>1</v>
      </c>
      <c r="L323" s="38" t="str">
        <f>IF(Table1[[#This Row],[Weather_code]]=1,"Clear",IF(Table1[[#This Row],[Weather_code]]=2,"Cloudy",IF(Table1[[#This Row],[Weather_code]]=3,"Light Rain",IF(Table1[[#This Row],[Weather_code]]=4,"Heavy Rain"))))</f>
        <v>Clear</v>
      </c>
      <c r="M323" s="10">
        <v>0.2</v>
      </c>
      <c r="N323" s="11" t="str">
        <f t="shared" si="13"/>
        <v>Winter</v>
      </c>
      <c r="O323" s="11" t="str">
        <f t="shared" si="14"/>
        <v>Weekday</v>
      </c>
      <c r="P323" s="11">
        <f>VLOOKUP(A323,[1]Sheet1!$A:$H,2, FALSE)</f>
        <v>0.2576</v>
      </c>
      <c r="Q323" s="40">
        <f>Table1[[#This Row],[A_Temperature]]*41</f>
        <v>10.5616</v>
      </c>
      <c r="R323" s="11">
        <f>VLOOKUP(A323,[1]Sheet1!$A:$G,3,FALSE)</f>
        <v>0.47</v>
      </c>
      <c r="S323" s="11">
        <f>VLOOKUP(A323,[1]Sheet1!$A:$G,4,FALSE)</f>
        <v>0</v>
      </c>
      <c r="T323" s="11">
        <f>VLOOKUP(A323,[1]Sheet1!$A:$G,5,FALSE)</f>
        <v>5</v>
      </c>
      <c r="U323" s="11">
        <f>VLOOKUP(A323,[1]Sheet1!$A:$G,6,FALSE)</f>
        <v>134</v>
      </c>
      <c r="V323" s="18">
        <f>VLOOKUP(A323,[1]Sheet1!$A:$G,7,FALSE)</f>
        <v>139</v>
      </c>
    </row>
    <row r="324" spans="1:22" s="13" customFormat="1" ht="30" customHeight="1">
      <c r="A324" s="17">
        <v>320</v>
      </c>
      <c r="B324" s="14">
        <v>40557</v>
      </c>
      <c r="C324" s="8" t="str">
        <f t="shared" si="15"/>
        <v>Friday</v>
      </c>
      <c r="D324" s="9">
        <v>1</v>
      </c>
      <c r="E324" s="9">
        <v>0</v>
      </c>
      <c r="F324" s="9">
        <v>1</v>
      </c>
      <c r="G324" s="7">
        <v>19</v>
      </c>
      <c r="H324" s="9" t="b">
        <v>0</v>
      </c>
      <c r="I324" s="9">
        <v>5</v>
      </c>
      <c r="J324" s="38" t="str">
        <f>CHOOSE(Table1[[#This Row],[Weekday]]+1,"Sunday","Monday","Tuesday","Wednesday","Thursday","Friday","Saturday")</f>
        <v>Friday</v>
      </c>
      <c r="K324" s="9">
        <v>1</v>
      </c>
      <c r="L324" s="38" t="str">
        <f>IF(Table1[[#This Row],[Weather_code]]=1,"Clear",IF(Table1[[#This Row],[Weather_code]]=2,"Cloudy",IF(Table1[[#This Row],[Weather_code]]=3,"Light Rain",IF(Table1[[#This Row],[Weather_code]]=4,"Heavy Rain"))))</f>
        <v>Clear</v>
      </c>
      <c r="M324" s="10">
        <v>0.16</v>
      </c>
      <c r="N324" s="11" t="str">
        <f t="shared" si="13"/>
        <v>Winter</v>
      </c>
      <c r="O324" s="11" t="str">
        <f t="shared" si="14"/>
        <v>Weekday</v>
      </c>
      <c r="P324" s="11">
        <f>VLOOKUP(A324,[1]Sheet1!$A:$H,2, FALSE)</f>
        <v>0.19700000000000001</v>
      </c>
      <c r="Q324" s="40">
        <f>Table1[[#This Row],[A_Temperature]]*41</f>
        <v>8.077</v>
      </c>
      <c r="R324" s="11">
        <f>VLOOKUP(A324,[1]Sheet1!$A:$G,3,FALSE)</f>
        <v>0.59</v>
      </c>
      <c r="S324" s="11">
        <f>VLOOKUP(A324,[1]Sheet1!$A:$G,4,FALSE)</f>
        <v>8.9599999999999999E-2</v>
      </c>
      <c r="T324" s="11">
        <f>VLOOKUP(A324,[1]Sheet1!$A:$G,5,FALSE)</f>
        <v>3</v>
      </c>
      <c r="U324" s="11">
        <f>VLOOKUP(A324,[1]Sheet1!$A:$G,6,FALSE)</f>
        <v>89</v>
      </c>
      <c r="V324" s="18">
        <f>VLOOKUP(A324,[1]Sheet1!$A:$G,7,FALSE)</f>
        <v>92</v>
      </c>
    </row>
    <row r="325" spans="1:22" s="13" customFormat="1" ht="30" customHeight="1">
      <c r="A325" s="17">
        <v>321</v>
      </c>
      <c r="B325" s="14">
        <v>40557</v>
      </c>
      <c r="C325" s="8" t="str">
        <f t="shared" si="15"/>
        <v>Friday</v>
      </c>
      <c r="D325" s="9">
        <v>1</v>
      </c>
      <c r="E325" s="9">
        <v>0</v>
      </c>
      <c r="F325" s="9">
        <v>1</v>
      </c>
      <c r="G325" s="7">
        <v>20</v>
      </c>
      <c r="H325" s="9" t="b">
        <v>0</v>
      </c>
      <c r="I325" s="9">
        <v>5</v>
      </c>
      <c r="J325" s="38" t="str">
        <f>CHOOSE(Table1[[#This Row],[Weekday]]+1,"Sunday","Monday","Tuesday","Wednesday","Thursday","Friday","Saturday")</f>
        <v>Friday</v>
      </c>
      <c r="K325" s="9">
        <v>1</v>
      </c>
      <c r="L325" s="38" t="str">
        <f>IF(Table1[[#This Row],[Weather_code]]=1,"Clear",IF(Table1[[#This Row],[Weather_code]]=2,"Cloudy",IF(Table1[[#This Row],[Weather_code]]=3,"Light Rain",IF(Table1[[#This Row],[Weather_code]]=4,"Heavy Rain"))))</f>
        <v>Clear</v>
      </c>
      <c r="M325" s="10">
        <v>0.18</v>
      </c>
      <c r="N325" s="11" t="str">
        <f t="shared" si="13"/>
        <v>Winter</v>
      </c>
      <c r="O325" s="11" t="str">
        <f t="shared" si="14"/>
        <v>Weekday</v>
      </c>
      <c r="P325" s="11">
        <f>VLOOKUP(A325,[1]Sheet1!$A:$H,2, FALSE)</f>
        <v>0.2424</v>
      </c>
      <c r="Q325" s="40">
        <f>Table1[[#This Row],[A_Temperature]]*41</f>
        <v>9.9383999999999997</v>
      </c>
      <c r="R325" s="11">
        <f>VLOOKUP(A325,[1]Sheet1!$A:$G,3,FALSE)</f>
        <v>0.59</v>
      </c>
      <c r="S325" s="11">
        <f>VLOOKUP(A325,[1]Sheet1!$A:$G,4,FALSE)</f>
        <v>0</v>
      </c>
      <c r="T325" s="11">
        <f>VLOOKUP(A325,[1]Sheet1!$A:$G,5,FALSE)</f>
        <v>0</v>
      </c>
      <c r="U325" s="11">
        <f>VLOOKUP(A325,[1]Sheet1!$A:$G,6,FALSE)</f>
        <v>68</v>
      </c>
      <c r="V325" s="18">
        <f>VLOOKUP(A325,[1]Sheet1!$A:$G,7,FALSE)</f>
        <v>68</v>
      </c>
    </row>
    <row r="326" spans="1:22" s="13" customFormat="1" ht="30" customHeight="1">
      <c r="A326" s="17">
        <v>322</v>
      </c>
      <c r="B326" s="14">
        <v>40557</v>
      </c>
      <c r="C326" s="8" t="str">
        <f t="shared" si="15"/>
        <v>Friday</v>
      </c>
      <c r="D326" s="9">
        <v>1</v>
      </c>
      <c r="E326" s="9">
        <v>0</v>
      </c>
      <c r="F326" s="9">
        <v>1</v>
      </c>
      <c r="G326" s="7">
        <v>21</v>
      </c>
      <c r="H326" s="9" t="b">
        <v>0</v>
      </c>
      <c r="I326" s="9">
        <v>5</v>
      </c>
      <c r="J326" s="38" t="str">
        <f>CHOOSE(Table1[[#This Row],[Weekday]]+1,"Sunday","Monday","Tuesday","Wednesday","Thursday","Friday","Saturday")</f>
        <v>Friday</v>
      </c>
      <c r="K326" s="9">
        <v>1</v>
      </c>
      <c r="L326" s="38" t="str">
        <f>IF(Table1[[#This Row],[Weather_code]]=1,"Clear",IF(Table1[[#This Row],[Weather_code]]=2,"Cloudy",IF(Table1[[#This Row],[Weather_code]]=3,"Light Rain",IF(Table1[[#This Row],[Weather_code]]=4,"Heavy Rain"))))</f>
        <v>Clear</v>
      </c>
      <c r="M326" s="10">
        <v>0.16</v>
      </c>
      <c r="N326" s="11" t="str">
        <f t="shared" ref="N326:N389" si="16">CHOOSE(D326,"Winter","Spring","Summer","Fall")</f>
        <v>Winter</v>
      </c>
      <c r="O326" s="11" t="str">
        <f t="shared" ref="O326:O389" si="17">IF(OR(WEEKDAY(B326,2)=6,WEEKDAY(B326,2)=7),"Weekend","Weekday")</f>
        <v>Weekday</v>
      </c>
      <c r="P326" s="11">
        <f>VLOOKUP(A326,[1]Sheet1!$A:$H,2, FALSE)</f>
        <v>0.2273</v>
      </c>
      <c r="Q326" s="40">
        <f>Table1[[#This Row],[A_Temperature]]*41</f>
        <v>9.3193000000000001</v>
      </c>
      <c r="R326" s="11">
        <f>VLOOKUP(A326,[1]Sheet1!$A:$G,3,FALSE)</f>
        <v>0.69</v>
      </c>
      <c r="S326" s="11">
        <f>VLOOKUP(A326,[1]Sheet1!$A:$G,4,FALSE)</f>
        <v>0</v>
      </c>
      <c r="T326" s="11">
        <f>VLOOKUP(A326,[1]Sheet1!$A:$G,5,FALSE)</f>
        <v>4</v>
      </c>
      <c r="U326" s="11">
        <f>VLOOKUP(A326,[1]Sheet1!$A:$G,6,FALSE)</f>
        <v>48</v>
      </c>
      <c r="V326" s="18">
        <f>VLOOKUP(A326,[1]Sheet1!$A:$G,7,FALSE)</f>
        <v>52</v>
      </c>
    </row>
    <row r="327" spans="1:22" s="13" customFormat="1" ht="30" customHeight="1">
      <c r="A327" s="17">
        <v>323</v>
      </c>
      <c r="B327" s="14">
        <v>40557</v>
      </c>
      <c r="C327" s="8" t="str">
        <f t="shared" si="15"/>
        <v>Friday</v>
      </c>
      <c r="D327" s="9">
        <v>1</v>
      </c>
      <c r="E327" s="9">
        <v>0</v>
      </c>
      <c r="F327" s="9">
        <v>1</v>
      </c>
      <c r="G327" s="7">
        <v>22</v>
      </c>
      <c r="H327" s="9" t="b">
        <v>0</v>
      </c>
      <c r="I327" s="9">
        <v>5</v>
      </c>
      <c r="J327" s="38" t="str">
        <f>CHOOSE(Table1[[#This Row],[Weekday]]+1,"Sunday","Monday","Tuesday","Wednesday","Thursday","Friday","Saturday")</f>
        <v>Friday</v>
      </c>
      <c r="K327" s="9">
        <v>2</v>
      </c>
      <c r="L327" s="38" t="str">
        <f>IF(Table1[[#This Row],[Weather_code]]=1,"Clear",IF(Table1[[#This Row],[Weather_code]]=2,"Cloudy",IF(Table1[[#This Row],[Weather_code]]=3,"Light Rain",IF(Table1[[#This Row],[Weather_code]]=4,"Heavy Rain"))))</f>
        <v>Cloudy</v>
      </c>
      <c r="M327" s="10">
        <v>0.16</v>
      </c>
      <c r="N327" s="11" t="str">
        <f t="shared" si="16"/>
        <v>Winter</v>
      </c>
      <c r="O327" s="11" t="str">
        <f t="shared" si="17"/>
        <v>Weekday</v>
      </c>
      <c r="P327" s="11">
        <f>VLOOKUP(A327,[1]Sheet1!$A:$H,2, FALSE)</f>
        <v>0.2273</v>
      </c>
      <c r="Q327" s="40">
        <f>Table1[[#This Row],[A_Temperature]]*41</f>
        <v>9.3193000000000001</v>
      </c>
      <c r="R327" s="11">
        <f>VLOOKUP(A327,[1]Sheet1!$A:$G,3,FALSE)</f>
        <v>0.69</v>
      </c>
      <c r="S327" s="11">
        <f>VLOOKUP(A327,[1]Sheet1!$A:$G,4,FALSE)</f>
        <v>0</v>
      </c>
      <c r="T327" s="11">
        <f>VLOOKUP(A327,[1]Sheet1!$A:$G,5,FALSE)</f>
        <v>2</v>
      </c>
      <c r="U327" s="11">
        <f>VLOOKUP(A327,[1]Sheet1!$A:$G,6,FALSE)</f>
        <v>34</v>
      </c>
      <c r="V327" s="18">
        <f>VLOOKUP(A327,[1]Sheet1!$A:$G,7,FALSE)</f>
        <v>36</v>
      </c>
    </row>
    <row r="328" spans="1:22" s="13" customFormat="1" ht="30" customHeight="1">
      <c r="A328" s="17">
        <v>324</v>
      </c>
      <c r="B328" s="14">
        <v>40557</v>
      </c>
      <c r="C328" s="8" t="str">
        <f t="shared" si="15"/>
        <v>Friday</v>
      </c>
      <c r="D328" s="9">
        <v>1</v>
      </c>
      <c r="E328" s="9">
        <v>0</v>
      </c>
      <c r="F328" s="9">
        <v>1</v>
      </c>
      <c r="G328" s="7">
        <v>23</v>
      </c>
      <c r="H328" s="9" t="b">
        <v>0</v>
      </c>
      <c r="I328" s="9">
        <v>5</v>
      </c>
      <c r="J328" s="38" t="str">
        <f>CHOOSE(Table1[[#This Row],[Weekday]]+1,"Sunday","Monday","Tuesday","Wednesday","Thursday","Friday","Saturday")</f>
        <v>Friday</v>
      </c>
      <c r="K328" s="9">
        <v>2</v>
      </c>
      <c r="L328" s="38" t="str">
        <f>IF(Table1[[#This Row],[Weather_code]]=1,"Clear",IF(Table1[[#This Row],[Weather_code]]=2,"Cloudy",IF(Table1[[#This Row],[Weather_code]]=3,"Light Rain",IF(Table1[[#This Row],[Weather_code]]=4,"Heavy Rain"))))</f>
        <v>Cloudy</v>
      </c>
      <c r="M328" s="10">
        <v>0.18</v>
      </c>
      <c r="N328" s="11" t="str">
        <f t="shared" si="16"/>
        <v>Winter</v>
      </c>
      <c r="O328" s="11" t="str">
        <f t="shared" si="17"/>
        <v>Weekday</v>
      </c>
      <c r="P328" s="11">
        <f>VLOOKUP(A328,[1]Sheet1!$A:$H,2, FALSE)</f>
        <v>0.2424</v>
      </c>
      <c r="Q328" s="40">
        <f>Table1[[#This Row],[A_Temperature]]*41</f>
        <v>9.9383999999999997</v>
      </c>
      <c r="R328" s="11">
        <f>VLOOKUP(A328,[1]Sheet1!$A:$G,3,FALSE)</f>
        <v>0.55000000000000004</v>
      </c>
      <c r="S328" s="11">
        <f>VLOOKUP(A328,[1]Sheet1!$A:$G,4,FALSE)</f>
        <v>0</v>
      </c>
      <c r="T328" s="11">
        <f>VLOOKUP(A328,[1]Sheet1!$A:$G,5,FALSE)</f>
        <v>1</v>
      </c>
      <c r="U328" s="11">
        <f>VLOOKUP(A328,[1]Sheet1!$A:$G,6,FALSE)</f>
        <v>26</v>
      </c>
      <c r="V328" s="18">
        <f>VLOOKUP(A328,[1]Sheet1!$A:$G,7,FALSE)</f>
        <v>27</v>
      </c>
    </row>
    <row r="329" spans="1:22" s="13" customFormat="1" ht="30" customHeight="1">
      <c r="A329" s="17">
        <v>325</v>
      </c>
      <c r="B329" s="14">
        <v>40558</v>
      </c>
      <c r="C329" s="8" t="str">
        <f t="shared" si="15"/>
        <v>Saturday</v>
      </c>
      <c r="D329" s="9">
        <v>1</v>
      </c>
      <c r="E329" s="9">
        <v>0</v>
      </c>
      <c r="F329" s="9">
        <v>1</v>
      </c>
      <c r="G329" s="7">
        <v>0</v>
      </c>
      <c r="H329" s="9" t="b">
        <v>0</v>
      </c>
      <c r="I329" s="9">
        <v>6</v>
      </c>
      <c r="J329" s="38" t="str">
        <f>CHOOSE(Table1[[#This Row],[Weekday]]+1,"Sunday","Monday","Tuesday","Wednesday","Thursday","Friday","Saturday")</f>
        <v>Saturday</v>
      </c>
      <c r="K329" s="9">
        <v>1</v>
      </c>
      <c r="L329" s="38" t="str">
        <f>IF(Table1[[#This Row],[Weather_code]]=1,"Clear",IF(Table1[[#This Row],[Weather_code]]=2,"Cloudy",IF(Table1[[#This Row],[Weather_code]]=3,"Light Rain",IF(Table1[[#This Row],[Weather_code]]=4,"Heavy Rain"))))</f>
        <v>Clear</v>
      </c>
      <c r="M329" s="10">
        <v>0.18</v>
      </c>
      <c r="N329" s="11" t="str">
        <f t="shared" si="16"/>
        <v>Winter</v>
      </c>
      <c r="O329" s="11" t="str">
        <f t="shared" si="17"/>
        <v>Weekend</v>
      </c>
      <c r="P329" s="11">
        <f>VLOOKUP(A329,[1]Sheet1!$A:$H,2, FALSE)</f>
        <v>0.2424</v>
      </c>
      <c r="Q329" s="40">
        <f>Table1[[#This Row],[A_Temperature]]*41</f>
        <v>9.9383999999999997</v>
      </c>
      <c r="R329" s="11">
        <f>VLOOKUP(A329,[1]Sheet1!$A:$G,3,FALSE)</f>
        <v>0.55000000000000004</v>
      </c>
      <c r="S329" s="11">
        <f>VLOOKUP(A329,[1]Sheet1!$A:$G,4,FALSE)</f>
        <v>0</v>
      </c>
      <c r="T329" s="11">
        <f>VLOOKUP(A329,[1]Sheet1!$A:$G,5,FALSE)</f>
        <v>3</v>
      </c>
      <c r="U329" s="11">
        <f>VLOOKUP(A329,[1]Sheet1!$A:$G,6,FALSE)</f>
        <v>25</v>
      </c>
      <c r="V329" s="18">
        <f>VLOOKUP(A329,[1]Sheet1!$A:$G,7,FALSE)</f>
        <v>28</v>
      </c>
    </row>
    <row r="330" spans="1:22" s="13" customFormat="1" ht="30" customHeight="1">
      <c r="A330" s="17">
        <v>326</v>
      </c>
      <c r="B330" s="14">
        <v>40558</v>
      </c>
      <c r="C330" s="8" t="str">
        <f t="shared" si="15"/>
        <v>Saturday</v>
      </c>
      <c r="D330" s="9">
        <v>1</v>
      </c>
      <c r="E330" s="9">
        <v>0</v>
      </c>
      <c r="F330" s="9">
        <v>1</v>
      </c>
      <c r="G330" s="7">
        <v>1</v>
      </c>
      <c r="H330" s="9" t="b">
        <v>0</v>
      </c>
      <c r="I330" s="9">
        <v>6</v>
      </c>
      <c r="J330" s="38" t="str">
        <f>CHOOSE(Table1[[#This Row],[Weekday]]+1,"Sunday","Monday","Tuesday","Wednesday","Thursday","Friday","Saturday")</f>
        <v>Saturday</v>
      </c>
      <c r="K330" s="9">
        <v>2</v>
      </c>
      <c r="L330" s="38" t="str">
        <f>IF(Table1[[#This Row],[Weather_code]]=1,"Clear",IF(Table1[[#This Row],[Weather_code]]=2,"Cloudy",IF(Table1[[#This Row],[Weather_code]]=3,"Light Rain",IF(Table1[[#This Row],[Weather_code]]=4,"Heavy Rain"))))</f>
        <v>Cloudy</v>
      </c>
      <c r="M330" s="10">
        <v>0.16</v>
      </c>
      <c r="N330" s="11" t="str">
        <f t="shared" si="16"/>
        <v>Winter</v>
      </c>
      <c r="O330" s="11" t="str">
        <f t="shared" si="17"/>
        <v>Weekend</v>
      </c>
      <c r="P330" s="11">
        <f>VLOOKUP(A330,[1]Sheet1!$A:$H,2, FALSE)</f>
        <v>0.19700000000000001</v>
      </c>
      <c r="Q330" s="40">
        <f>Table1[[#This Row],[A_Temperature]]*41</f>
        <v>8.077</v>
      </c>
      <c r="R330" s="11">
        <f>VLOOKUP(A330,[1]Sheet1!$A:$G,3,FALSE)</f>
        <v>0.59</v>
      </c>
      <c r="S330" s="11">
        <f>VLOOKUP(A330,[1]Sheet1!$A:$G,4,FALSE)</f>
        <v>8.9599999999999999E-2</v>
      </c>
      <c r="T330" s="11">
        <f>VLOOKUP(A330,[1]Sheet1!$A:$G,5,FALSE)</f>
        <v>2</v>
      </c>
      <c r="U330" s="11">
        <f>VLOOKUP(A330,[1]Sheet1!$A:$G,6,FALSE)</f>
        <v>18</v>
      </c>
      <c r="V330" s="18">
        <f>VLOOKUP(A330,[1]Sheet1!$A:$G,7,FALSE)</f>
        <v>20</v>
      </c>
    </row>
    <row r="331" spans="1:22" s="13" customFormat="1" ht="30" customHeight="1">
      <c r="A331" s="17">
        <v>327</v>
      </c>
      <c r="B331" s="14">
        <v>40558</v>
      </c>
      <c r="C331" s="8" t="str">
        <f t="shared" si="15"/>
        <v>Saturday</v>
      </c>
      <c r="D331" s="9">
        <v>1</v>
      </c>
      <c r="E331" s="9">
        <v>0</v>
      </c>
      <c r="F331" s="9">
        <v>1</v>
      </c>
      <c r="G331" s="7">
        <v>2</v>
      </c>
      <c r="H331" s="9" t="b">
        <v>0</v>
      </c>
      <c r="I331" s="9">
        <v>6</v>
      </c>
      <c r="J331" s="38" t="str">
        <f>CHOOSE(Table1[[#This Row],[Weekday]]+1,"Sunday","Monday","Tuesday","Wednesday","Thursday","Friday","Saturday")</f>
        <v>Saturday</v>
      </c>
      <c r="K331" s="9">
        <v>2</v>
      </c>
      <c r="L331" s="38" t="str">
        <f>IF(Table1[[#This Row],[Weather_code]]=1,"Clear",IF(Table1[[#This Row],[Weather_code]]=2,"Cloudy",IF(Table1[[#This Row],[Weather_code]]=3,"Light Rain",IF(Table1[[#This Row],[Weather_code]]=4,"Heavy Rain"))))</f>
        <v>Cloudy</v>
      </c>
      <c r="M331" s="10">
        <v>0.16</v>
      </c>
      <c r="N331" s="11" t="str">
        <f t="shared" si="16"/>
        <v>Winter</v>
      </c>
      <c r="O331" s="11" t="str">
        <f t="shared" si="17"/>
        <v>Weekend</v>
      </c>
      <c r="P331" s="11">
        <f>VLOOKUP(A331,[1]Sheet1!$A:$H,2, FALSE)</f>
        <v>0.19700000000000001</v>
      </c>
      <c r="Q331" s="40">
        <f>Table1[[#This Row],[A_Temperature]]*41</f>
        <v>8.077</v>
      </c>
      <c r="R331" s="11">
        <f>VLOOKUP(A331,[1]Sheet1!$A:$G,3,FALSE)</f>
        <v>0.59</v>
      </c>
      <c r="S331" s="11">
        <f>VLOOKUP(A331,[1]Sheet1!$A:$G,4,FALSE)</f>
        <v>8.9599999999999999E-2</v>
      </c>
      <c r="T331" s="11">
        <f>VLOOKUP(A331,[1]Sheet1!$A:$G,5,FALSE)</f>
        <v>0</v>
      </c>
      <c r="U331" s="11">
        <f>VLOOKUP(A331,[1]Sheet1!$A:$G,6,FALSE)</f>
        <v>12</v>
      </c>
      <c r="V331" s="18">
        <f>VLOOKUP(A331,[1]Sheet1!$A:$G,7,FALSE)</f>
        <v>12</v>
      </c>
    </row>
    <row r="332" spans="1:22" s="13" customFormat="1" ht="30" customHeight="1">
      <c r="A332" s="17">
        <v>328</v>
      </c>
      <c r="B332" s="14">
        <v>40558</v>
      </c>
      <c r="C332" s="8" t="str">
        <f t="shared" si="15"/>
        <v>Saturday</v>
      </c>
      <c r="D332" s="9">
        <v>1</v>
      </c>
      <c r="E332" s="9">
        <v>0</v>
      </c>
      <c r="F332" s="9">
        <v>1</v>
      </c>
      <c r="G332" s="7">
        <v>3</v>
      </c>
      <c r="H332" s="9" t="b">
        <v>0</v>
      </c>
      <c r="I332" s="9">
        <v>6</v>
      </c>
      <c r="J332" s="38" t="str">
        <f>CHOOSE(Table1[[#This Row],[Weekday]]+1,"Sunday","Monday","Tuesday","Wednesday","Thursday","Friday","Saturday")</f>
        <v>Saturday</v>
      </c>
      <c r="K332" s="9">
        <v>2</v>
      </c>
      <c r="L332" s="38" t="str">
        <f>IF(Table1[[#This Row],[Weather_code]]=1,"Clear",IF(Table1[[#This Row],[Weather_code]]=2,"Cloudy",IF(Table1[[#This Row],[Weather_code]]=3,"Light Rain",IF(Table1[[#This Row],[Weather_code]]=4,"Heavy Rain"))))</f>
        <v>Cloudy</v>
      </c>
      <c r="M332" s="10">
        <v>0.16</v>
      </c>
      <c r="N332" s="11" t="str">
        <f t="shared" si="16"/>
        <v>Winter</v>
      </c>
      <c r="O332" s="11" t="str">
        <f t="shared" si="17"/>
        <v>Weekend</v>
      </c>
      <c r="P332" s="11">
        <f>VLOOKUP(A332,[1]Sheet1!$A:$H,2, FALSE)</f>
        <v>0.2273</v>
      </c>
      <c r="Q332" s="40">
        <f>Table1[[#This Row],[A_Temperature]]*41</f>
        <v>9.3193000000000001</v>
      </c>
      <c r="R332" s="11">
        <f>VLOOKUP(A332,[1]Sheet1!$A:$G,3,FALSE)</f>
        <v>0.59</v>
      </c>
      <c r="S332" s="11">
        <f>VLOOKUP(A332,[1]Sheet1!$A:$G,4,FALSE)</f>
        <v>0</v>
      </c>
      <c r="T332" s="11">
        <f>VLOOKUP(A332,[1]Sheet1!$A:$G,5,FALSE)</f>
        <v>1</v>
      </c>
      <c r="U332" s="11">
        <f>VLOOKUP(A332,[1]Sheet1!$A:$G,6,FALSE)</f>
        <v>7</v>
      </c>
      <c r="V332" s="18">
        <f>VLOOKUP(A332,[1]Sheet1!$A:$G,7,FALSE)</f>
        <v>8</v>
      </c>
    </row>
    <row r="333" spans="1:22" s="13" customFormat="1" ht="30" customHeight="1">
      <c r="A333" s="17">
        <v>329</v>
      </c>
      <c r="B333" s="14">
        <v>40558</v>
      </c>
      <c r="C333" s="8" t="str">
        <f t="shared" si="15"/>
        <v>Saturday</v>
      </c>
      <c r="D333" s="9">
        <v>1</v>
      </c>
      <c r="E333" s="9">
        <v>0</v>
      </c>
      <c r="F333" s="9">
        <v>1</v>
      </c>
      <c r="G333" s="7">
        <v>4</v>
      </c>
      <c r="H333" s="9" t="b">
        <v>0</v>
      </c>
      <c r="I333" s="9">
        <v>6</v>
      </c>
      <c r="J333" s="38" t="str">
        <f>CHOOSE(Table1[[#This Row],[Weekday]]+1,"Sunday","Monday","Tuesday","Wednesday","Thursday","Friday","Saturday")</f>
        <v>Saturday</v>
      </c>
      <c r="K333" s="9">
        <v>2</v>
      </c>
      <c r="L333" s="38" t="str">
        <f>IF(Table1[[#This Row],[Weather_code]]=1,"Clear",IF(Table1[[#This Row],[Weather_code]]=2,"Cloudy",IF(Table1[[#This Row],[Weather_code]]=3,"Light Rain",IF(Table1[[#This Row],[Weather_code]]=4,"Heavy Rain"))))</f>
        <v>Cloudy</v>
      </c>
      <c r="M333" s="10">
        <v>0.16</v>
      </c>
      <c r="N333" s="11" t="str">
        <f t="shared" si="16"/>
        <v>Winter</v>
      </c>
      <c r="O333" s="11" t="str">
        <f t="shared" si="17"/>
        <v>Weekend</v>
      </c>
      <c r="P333" s="11">
        <f>VLOOKUP(A333,[1]Sheet1!$A:$H,2, FALSE)</f>
        <v>0.2273</v>
      </c>
      <c r="Q333" s="40">
        <f>Table1[[#This Row],[A_Temperature]]*41</f>
        <v>9.3193000000000001</v>
      </c>
      <c r="R333" s="11">
        <f>VLOOKUP(A333,[1]Sheet1!$A:$G,3,FALSE)</f>
        <v>0.59</v>
      </c>
      <c r="S333" s="11">
        <f>VLOOKUP(A333,[1]Sheet1!$A:$G,4,FALSE)</f>
        <v>0</v>
      </c>
      <c r="T333" s="11">
        <f>VLOOKUP(A333,[1]Sheet1!$A:$G,5,FALSE)</f>
        <v>0</v>
      </c>
      <c r="U333" s="11">
        <f>VLOOKUP(A333,[1]Sheet1!$A:$G,6,FALSE)</f>
        <v>5</v>
      </c>
      <c r="V333" s="18">
        <f>VLOOKUP(A333,[1]Sheet1!$A:$G,7,FALSE)</f>
        <v>5</v>
      </c>
    </row>
    <row r="334" spans="1:22" s="13" customFormat="1" ht="30" customHeight="1">
      <c r="A334" s="17">
        <v>330</v>
      </c>
      <c r="B334" s="14">
        <v>40558</v>
      </c>
      <c r="C334" s="8" t="str">
        <f t="shared" si="15"/>
        <v>Saturday</v>
      </c>
      <c r="D334" s="9">
        <v>1</v>
      </c>
      <c r="E334" s="9">
        <v>0</v>
      </c>
      <c r="F334" s="9">
        <v>1</v>
      </c>
      <c r="G334" s="7">
        <v>5</v>
      </c>
      <c r="H334" s="9" t="b">
        <v>0</v>
      </c>
      <c r="I334" s="9">
        <v>6</v>
      </c>
      <c r="J334" s="38" t="str">
        <f>CHOOSE(Table1[[#This Row],[Weekday]]+1,"Sunday","Monday","Tuesday","Wednesday","Thursday","Friday","Saturday")</f>
        <v>Saturday</v>
      </c>
      <c r="K334" s="9">
        <v>1</v>
      </c>
      <c r="L334" s="38" t="str">
        <f>IF(Table1[[#This Row],[Weather_code]]=1,"Clear",IF(Table1[[#This Row],[Weather_code]]=2,"Cloudy",IF(Table1[[#This Row],[Weather_code]]=3,"Light Rain",IF(Table1[[#This Row],[Weather_code]]=4,"Heavy Rain"))))</f>
        <v>Clear</v>
      </c>
      <c r="M334" s="10">
        <v>0.16</v>
      </c>
      <c r="N334" s="11" t="str">
        <f t="shared" si="16"/>
        <v>Winter</v>
      </c>
      <c r="O334" s="11" t="str">
        <f t="shared" si="17"/>
        <v>Weekend</v>
      </c>
      <c r="P334" s="11">
        <f>VLOOKUP(A334,[1]Sheet1!$A:$H,2, FALSE)</f>
        <v>0.2273</v>
      </c>
      <c r="Q334" s="40">
        <f>Table1[[#This Row],[A_Temperature]]*41</f>
        <v>9.3193000000000001</v>
      </c>
      <c r="R334" s="11">
        <f>VLOOKUP(A334,[1]Sheet1!$A:$G,3,FALSE)</f>
        <v>0.59</v>
      </c>
      <c r="S334" s="11">
        <f>VLOOKUP(A334,[1]Sheet1!$A:$G,4,FALSE)</f>
        <v>0</v>
      </c>
      <c r="T334" s="11">
        <f>VLOOKUP(A334,[1]Sheet1!$A:$G,5,FALSE)</f>
        <v>0</v>
      </c>
      <c r="U334" s="11">
        <f>VLOOKUP(A334,[1]Sheet1!$A:$G,6,FALSE)</f>
        <v>1</v>
      </c>
      <c r="V334" s="18">
        <f>VLOOKUP(A334,[1]Sheet1!$A:$G,7,FALSE)</f>
        <v>1</v>
      </c>
    </row>
    <row r="335" spans="1:22" s="13" customFormat="1" ht="30" customHeight="1">
      <c r="A335" s="17">
        <v>331</v>
      </c>
      <c r="B335" s="14">
        <v>40558</v>
      </c>
      <c r="C335" s="8" t="str">
        <f t="shared" si="15"/>
        <v>Saturday</v>
      </c>
      <c r="D335" s="9">
        <v>1</v>
      </c>
      <c r="E335" s="9">
        <v>0</v>
      </c>
      <c r="F335" s="9">
        <v>1</v>
      </c>
      <c r="G335" s="7">
        <v>6</v>
      </c>
      <c r="H335" s="9" t="b">
        <v>0</v>
      </c>
      <c r="I335" s="9">
        <v>6</v>
      </c>
      <c r="J335" s="38" t="str">
        <f>CHOOSE(Table1[[#This Row],[Weekday]]+1,"Sunday","Monday","Tuesday","Wednesday","Thursday","Friday","Saturday")</f>
        <v>Saturday</v>
      </c>
      <c r="K335" s="9">
        <v>1</v>
      </c>
      <c r="L335" s="38" t="str">
        <f>IF(Table1[[#This Row],[Weather_code]]=1,"Clear",IF(Table1[[#This Row],[Weather_code]]=2,"Cloudy",IF(Table1[[#This Row],[Weather_code]]=3,"Light Rain",IF(Table1[[#This Row],[Weather_code]]=4,"Heavy Rain"))))</f>
        <v>Clear</v>
      </c>
      <c r="M335" s="10">
        <v>0.14000000000000001</v>
      </c>
      <c r="N335" s="11" t="str">
        <f t="shared" si="16"/>
        <v>Winter</v>
      </c>
      <c r="O335" s="11" t="str">
        <f t="shared" si="17"/>
        <v>Weekend</v>
      </c>
      <c r="P335" s="11">
        <f>VLOOKUP(A335,[1]Sheet1!$A:$H,2, FALSE)</f>
        <v>0.16669999999999999</v>
      </c>
      <c r="Q335" s="40">
        <f>Table1[[#This Row],[A_Temperature]]*41</f>
        <v>6.8346999999999998</v>
      </c>
      <c r="R335" s="11">
        <f>VLOOKUP(A335,[1]Sheet1!$A:$G,3,FALSE)</f>
        <v>0.63</v>
      </c>
      <c r="S335" s="11">
        <f>VLOOKUP(A335,[1]Sheet1!$A:$G,4,FALSE)</f>
        <v>0.1045</v>
      </c>
      <c r="T335" s="11">
        <f>VLOOKUP(A335,[1]Sheet1!$A:$G,5,FALSE)</f>
        <v>1</v>
      </c>
      <c r="U335" s="11">
        <f>VLOOKUP(A335,[1]Sheet1!$A:$G,6,FALSE)</f>
        <v>2</v>
      </c>
      <c r="V335" s="18">
        <f>VLOOKUP(A335,[1]Sheet1!$A:$G,7,FALSE)</f>
        <v>3</v>
      </c>
    </row>
    <row r="336" spans="1:22" s="13" customFormat="1" ht="30" customHeight="1">
      <c r="A336" s="17">
        <v>332</v>
      </c>
      <c r="B336" s="14">
        <v>40558</v>
      </c>
      <c r="C336" s="8" t="str">
        <f t="shared" si="15"/>
        <v>Saturday</v>
      </c>
      <c r="D336" s="9">
        <v>1</v>
      </c>
      <c r="E336" s="9">
        <v>0</v>
      </c>
      <c r="F336" s="9">
        <v>1</v>
      </c>
      <c r="G336" s="7">
        <v>7</v>
      </c>
      <c r="H336" s="9" t="b">
        <v>0</v>
      </c>
      <c r="I336" s="9">
        <v>6</v>
      </c>
      <c r="J336" s="38" t="str">
        <f>CHOOSE(Table1[[#This Row],[Weekday]]+1,"Sunday","Monday","Tuesday","Wednesday","Thursday","Friday","Saturday")</f>
        <v>Saturday</v>
      </c>
      <c r="K336" s="9">
        <v>1</v>
      </c>
      <c r="L336" s="38" t="str">
        <f>IF(Table1[[#This Row],[Weather_code]]=1,"Clear",IF(Table1[[#This Row],[Weather_code]]=2,"Cloudy",IF(Table1[[#This Row],[Weather_code]]=3,"Light Rain",IF(Table1[[#This Row],[Weather_code]]=4,"Heavy Rain"))))</f>
        <v>Clear</v>
      </c>
      <c r="M336" s="10">
        <v>0.14000000000000001</v>
      </c>
      <c r="N336" s="11" t="str">
        <f t="shared" si="16"/>
        <v>Winter</v>
      </c>
      <c r="O336" s="11" t="str">
        <f t="shared" si="17"/>
        <v>Weekend</v>
      </c>
      <c r="P336" s="11">
        <f>VLOOKUP(A336,[1]Sheet1!$A:$H,2, FALSE)</f>
        <v>0.21210000000000001</v>
      </c>
      <c r="Q336" s="40">
        <f>Table1[[#This Row],[A_Temperature]]*41</f>
        <v>8.6961000000000013</v>
      </c>
      <c r="R336" s="11">
        <f>VLOOKUP(A336,[1]Sheet1!$A:$G,3,FALSE)</f>
        <v>0.63</v>
      </c>
      <c r="S336" s="11">
        <f>VLOOKUP(A336,[1]Sheet1!$A:$G,4,FALSE)</f>
        <v>0</v>
      </c>
      <c r="T336" s="11">
        <f>VLOOKUP(A336,[1]Sheet1!$A:$G,5,FALSE)</f>
        <v>1</v>
      </c>
      <c r="U336" s="11">
        <f>VLOOKUP(A336,[1]Sheet1!$A:$G,6,FALSE)</f>
        <v>9</v>
      </c>
      <c r="V336" s="18">
        <f>VLOOKUP(A336,[1]Sheet1!$A:$G,7,FALSE)</f>
        <v>10</v>
      </c>
    </row>
    <row r="337" spans="1:22" s="13" customFormat="1" ht="30" customHeight="1">
      <c r="A337" s="17">
        <v>333</v>
      </c>
      <c r="B337" s="14">
        <v>40558</v>
      </c>
      <c r="C337" s="8" t="str">
        <f t="shared" si="15"/>
        <v>Saturday</v>
      </c>
      <c r="D337" s="9">
        <v>1</v>
      </c>
      <c r="E337" s="9">
        <v>0</v>
      </c>
      <c r="F337" s="9">
        <v>1</v>
      </c>
      <c r="G337" s="7">
        <v>8</v>
      </c>
      <c r="H337" s="9" t="b">
        <v>0</v>
      </c>
      <c r="I337" s="9">
        <v>6</v>
      </c>
      <c r="J337" s="38" t="str">
        <f>CHOOSE(Table1[[#This Row],[Weekday]]+1,"Sunday","Monday","Tuesday","Wednesday","Thursday","Friday","Saturday")</f>
        <v>Saturday</v>
      </c>
      <c r="K337" s="9">
        <v>1</v>
      </c>
      <c r="L337" s="38" t="str">
        <f>IF(Table1[[#This Row],[Weather_code]]=1,"Clear",IF(Table1[[#This Row],[Weather_code]]=2,"Cloudy",IF(Table1[[#This Row],[Weather_code]]=3,"Light Rain",IF(Table1[[#This Row],[Weather_code]]=4,"Heavy Rain"))))</f>
        <v>Clear</v>
      </c>
      <c r="M337" s="10">
        <v>0.14000000000000001</v>
      </c>
      <c r="N337" s="11" t="str">
        <f t="shared" si="16"/>
        <v>Winter</v>
      </c>
      <c r="O337" s="11" t="str">
        <f t="shared" si="17"/>
        <v>Weekend</v>
      </c>
      <c r="P337" s="11">
        <f>VLOOKUP(A337,[1]Sheet1!$A:$H,2, FALSE)</f>
        <v>0.1515</v>
      </c>
      <c r="Q337" s="40">
        <f>Table1[[#This Row],[A_Temperature]]*41</f>
        <v>6.2115</v>
      </c>
      <c r="R337" s="11">
        <f>VLOOKUP(A337,[1]Sheet1!$A:$G,3,FALSE)</f>
        <v>0.63</v>
      </c>
      <c r="S337" s="11">
        <f>VLOOKUP(A337,[1]Sheet1!$A:$G,4,FALSE)</f>
        <v>0.1343</v>
      </c>
      <c r="T337" s="11">
        <f>VLOOKUP(A337,[1]Sheet1!$A:$G,5,FALSE)</f>
        <v>1</v>
      </c>
      <c r="U337" s="11">
        <f>VLOOKUP(A337,[1]Sheet1!$A:$G,6,FALSE)</f>
        <v>22</v>
      </c>
      <c r="V337" s="18">
        <f>VLOOKUP(A337,[1]Sheet1!$A:$G,7,FALSE)</f>
        <v>23</v>
      </c>
    </row>
    <row r="338" spans="1:22" s="13" customFormat="1" ht="30" customHeight="1">
      <c r="A338" s="17">
        <v>334</v>
      </c>
      <c r="B338" s="14">
        <v>40558</v>
      </c>
      <c r="C338" s="8" t="str">
        <f t="shared" si="15"/>
        <v>Saturday</v>
      </c>
      <c r="D338" s="9">
        <v>1</v>
      </c>
      <c r="E338" s="9">
        <v>0</v>
      </c>
      <c r="F338" s="9">
        <v>1</v>
      </c>
      <c r="G338" s="7">
        <v>9</v>
      </c>
      <c r="H338" s="9" t="b">
        <v>0</v>
      </c>
      <c r="I338" s="9">
        <v>6</v>
      </c>
      <c r="J338" s="38" t="str">
        <f>CHOOSE(Table1[[#This Row],[Weekday]]+1,"Sunday","Monday","Tuesday","Wednesday","Thursday","Friday","Saturday")</f>
        <v>Saturday</v>
      </c>
      <c r="K338" s="9">
        <v>1</v>
      </c>
      <c r="L338" s="38" t="str">
        <f>IF(Table1[[#This Row],[Weather_code]]=1,"Clear",IF(Table1[[#This Row],[Weather_code]]=2,"Cloudy",IF(Table1[[#This Row],[Weather_code]]=3,"Light Rain",IF(Table1[[#This Row],[Weather_code]]=4,"Heavy Rain"))))</f>
        <v>Clear</v>
      </c>
      <c r="M338" s="10">
        <v>0.16</v>
      </c>
      <c r="N338" s="11" t="str">
        <f t="shared" si="16"/>
        <v>Winter</v>
      </c>
      <c r="O338" s="11" t="str">
        <f t="shared" si="17"/>
        <v>Weekend</v>
      </c>
      <c r="P338" s="11">
        <f>VLOOKUP(A338,[1]Sheet1!$A:$H,2, FALSE)</f>
        <v>0.18179999999999999</v>
      </c>
      <c r="Q338" s="40">
        <f>Table1[[#This Row],[A_Temperature]]*41</f>
        <v>7.4537999999999993</v>
      </c>
      <c r="R338" s="11">
        <f>VLOOKUP(A338,[1]Sheet1!$A:$G,3,FALSE)</f>
        <v>0.64</v>
      </c>
      <c r="S338" s="11">
        <f>VLOOKUP(A338,[1]Sheet1!$A:$G,4,FALSE)</f>
        <v>0.1343</v>
      </c>
      <c r="T338" s="11">
        <f>VLOOKUP(A338,[1]Sheet1!$A:$G,5,FALSE)</f>
        <v>2</v>
      </c>
      <c r="U338" s="11">
        <f>VLOOKUP(A338,[1]Sheet1!$A:$G,6,FALSE)</f>
        <v>31</v>
      </c>
      <c r="V338" s="18">
        <f>VLOOKUP(A338,[1]Sheet1!$A:$G,7,FALSE)</f>
        <v>33</v>
      </c>
    </row>
    <row r="339" spans="1:22" s="13" customFormat="1" ht="30" customHeight="1">
      <c r="A339" s="17">
        <v>335</v>
      </c>
      <c r="B339" s="14">
        <v>40558</v>
      </c>
      <c r="C339" s="8" t="str">
        <f t="shared" si="15"/>
        <v>Saturday</v>
      </c>
      <c r="D339" s="9">
        <v>1</v>
      </c>
      <c r="E339" s="9">
        <v>0</v>
      </c>
      <c r="F339" s="9">
        <v>1</v>
      </c>
      <c r="G339" s="7">
        <v>10</v>
      </c>
      <c r="H339" s="9" t="b">
        <v>0</v>
      </c>
      <c r="I339" s="9">
        <v>6</v>
      </c>
      <c r="J339" s="38" t="str">
        <f>CHOOSE(Table1[[#This Row],[Weekday]]+1,"Sunday","Monday","Tuesday","Wednesday","Thursday","Friday","Saturday")</f>
        <v>Saturday</v>
      </c>
      <c r="K339" s="9">
        <v>1</v>
      </c>
      <c r="L339" s="38" t="str">
        <f>IF(Table1[[#This Row],[Weather_code]]=1,"Clear",IF(Table1[[#This Row],[Weather_code]]=2,"Cloudy",IF(Table1[[#This Row],[Weather_code]]=3,"Light Rain",IF(Table1[[#This Row],[Weather_code]]=4,"Heavy Rain"))))</f>
        <v>Clear</v>
      </c>
      <c r="M339" s="10">
        <v>0.18</v>
      </c>
      <c r="N339" s="11" t="str">
        <f t="shared" si="16"/>
        <v>Winter</v>
      </c>
      <c r="O339" s="11" t="str">
        <f t="shared" si="17"/>
        <v>Weekend</v>
      </c>
      <c r="P339" s="11">
        <f>VLOOKUP(A339,[1]Sheet1!$A:$H,2, FALSE)</f>
        <v>0.19700000000000001</v>
      </c>
      <c r="Q339" s="40">
        <f>Table1[[#This Row],[A_Temperature]]*41</f>
        <v>8.077</v>
      </c>
      <c r="R339" s="11">
        <f>VLOOKUP(A339,[1]Sheet1!$A:$G,3,FALSE)</f>
        <v>0.59</v>
      </c>
      <c r="S339" s="11">
        <f>VLOOKUP(A339,[1]Sheet1!$A:$G,4,FALSE)</f>
        <v>0.16420000000000001</v>
      </c>
      <c r="T339" s="11">
        <f>VLOOKUP(A339,[1]Sheet1!$A:$G,5,FALSE)</f>
        <v>2</v>
      </c>
      <c r="U339" s="11">
        <f>VLOOKUP(A339,[1]Sheet1!$A:$G,6,FALSE)</f>
        <v>57</v>
      </c>
      <c r="V339" s="18">
        <f>VLOOKUP(A339,[1]Sheet1!$A:$G,7,FALSE)</f>
        <v>59</v>
      </c>
    </row>
    <row r="340" spans="1:22" s="13" customFormat="1" ht="30" customHeight="1">
      <c r="A340" s="17">
        <v>336</v>
      </c>
      <c r="B340" s="14">
        <v>40558</v>
      </c>
      <c r="C340" s="8" t="str">
        <f t="shared" si="15"/>
        <v>Saturday</v>
      </c>
      <c r="D340" s="9">
        <v>1</v>
      </c>
      <c r="E340" s="9">
        <v>0</v>
      </c>
      <c r="F340" s="9">
        <v>1</v>
      </c>
      <c r="G340" s="7">
        <v>11</v>
      </c>
      <c r="H340" s="9" t="b">
        <v>0</v>
      </c>
      <c r="I340" s="9">
        <v>6</v>
      </c>
      <c r="J340" s="38" t="str">
        <f>CHOOSE(Table1[[#This Row],[Weekday]]+1,"Sunday","Monday","Tuesday","Wednesday","Thursday","Friday","Saturday")</f>
        <v>Saturday</v>
      </c>
      <c r="K340" s="9">
        <v>1</v>
      </c>
      <c r="L340" s="38" t="str">
        <f>IF(Table1[[#This Row],[Weather_code]]=1,"Clear",IF(Table1[[#This Row],[Weather_code]]=2,"Cloudy",IF(Table1[[#This Row],[Weather_code]]=3,"Light Rain",IF(Table1[[#This Row],[Weather_code]]=4,"Heavy Rain"))))</f>
        <v>Clear</v>
      </c>
      <c r="M340" s="10">
        <v>0.2</v>
      </c>
      <c r="N340" s="11" t="str">
        <f t="shared" si="16"/>
        <v>Winter</v>
      </c>
      <c r="O340" s="11" t="str">
        <f t="shared" si="17"/>
        <v>Weekend</v>
      </c>
      <c r="P340" s="11">
        <f>VLOOKUP(A340,[1]Sheet1!$A:$H,2, FALSE)</f>
        <v>0.19700000000000001</v>
      </c>
      <c r="Q340" s="40">
        <f>Table1[[#This Row],[A_Temperature]]*41</f>
        <v>8.077</v>
      </c>
      <c r="R340" s="11">
        <f>VLOOKUP(A340,[1]Sheet1!$A:$G,3,FALSE)</f>
        <v>0.55000000000000004</v>
      </c>
      <c r="S340" s="11">
        <f>VLOOKUP(A340,[1]Sheet1!$A:$G,4,FALSE)</f>
        <v>0.22389999999999999</v>
      </c>
      <c r="T340" s="11">
        <f>VLOOKUP(A340,[1]Sheet1!$A:$G,5,FALSE)</f>
        <v>18</v>
      </c>
      <c r="U340" s="11">
        <f>VLOOKUP(A340,[1]Sheet1!$A:$G,6,FALSE)</f>
        <v>54</v>
      </c>
      <c r="V340" s="18">
        <f>VLOOKUP(A340,[1]Sheet1!$A:$G,7,FALSE)</f>
        <v>72</v>
      </c>
    </row>
    <row r="341" spans="1:22" s="13" customFormat="1" ht="30" customHeight="1">
      <c r="A341" s="17">
        <v>337</v>
      </c>
      <c r="B341" s="14">
        <v>40558</v>
      </c>
      <c r="C341" s="8" t="str">
        <f t="shared" si="15"/>
        <v>Saturday</v>
      </c>
      <c r="D341" s="9">
        <v>1</v>
      </c>
      <c r="E341" s="9">
        <v>0</v>
      </c>
      <c r="F341" s="9">
        <v>1</v>
      </c>
      <c r="G341" s="7">
        <v>12</v>
      </c>
      <c r="H341" s="9" t="b">
        <v>0</v>
      </c>
      <c r="I341" s="9">
        <v>6</v>
      </c>
      <c r="J341" s="38" t="str">
        <f>CHOOSE(Table1[[#This Row],[Weekday]]+1,"Sunday","Monday","Tuesday","Wednesday","Thursday","Friday","Saturday")</f>
        <v>Saturday</v>
      </c>
      <c r="K341" s="9">
        <v>1</v>
      </c>
      <c r="L341" s="38" t="str">
        <f>IF(Table1[[#This Row],[Weather_code]]=1,"Clear",IF(Table1[[#This Row],[Weather_code]]=2,"Cloudy",IF(Table1[[#This Row],[Weather_code]]=3,"Light Rain",IF(Table1[[#This Row],[Weather_code]]=4,"Heavy Rain"))))</f>
        <v>Clear</v>
      </c>
      <c r="M341" s="10">
        <v>0.24</v>
      </c>
      <c r="N341" s="11" t="str">
        <f t="shared" si="16"/>
        <v>Winter</v>
      </c>
      <c r="O341" s="11" t="str">
        <f t="shared" si="17"/>
        <v>Weekend</v>
      </c>
      <c r="P341" s="11">
        <f>VLOOKUP(A341,[1]Sheet1!$A:$H,2, FALSE)</f>
        <v>0.2273</v>
      </c>
      <c r="Q341" s="40">
        <f>Table1[[#This Row],[A_Temperature]]*41</f>
        <v>9.3193000000000001</v>
      </c>
      <c r="R341" s="11">
        <f>VLOOKUP(A341,[1]Sheet1!$A:$G,3,FALSE)</f>
        <v>0.48</v>
      </c>
      <c r="S341" s="11">
        <f>VLOOKUP(A341,[1]Sheet1!$A:$G,4,FALSE)</f>
        <v>0.22389999999999999</v>
      </c>
      <c r="T341" s="11">
        <f>VLOOKUP(A341,[1]Sheet1!$A:$G,5,FALSE)</f>
        <v>15</v>
      </c>
      <c r="U341" s="11">
        <f>VLOOKUP(A341,[1]Sheet1!$A:$G,6,FALSE)</f>
        <v>74</v>
      </c>
      <c r="V341" s="18">
        <f>VLOOKUP(A341,[1]Sheet1!$A:$G,7,FALSE)</f>
        <v>89</v>
      </c>
    </row>
    <row r="342" spans="1:22" s="13" customFormat="1" ht="30" customHeight="1">
      <c r="A342" s="17">
        <v>338</v>
      </c>
      <c r="B342" s="14">
        <v>40558</v>
      </c>
      <c r="C342" s="8" t="str">
        <f t="shared" si="15"/>
        <v>Saturday</v>
      </c>
      <c r="D342" s="9">
        <v>1</v>
      </c>
      <c r="E342" s="9">
        <v>0</v>
      </c>
      <c r="F342" s="9">
        <v>1</v>
      </c>
      <c r="G342" s="7">
        <v>13</v>
      </c>
      <c r="H342" s="9" t="b">
        <v>0</v>
      </c>
      <c r="I342" s="9">
        <v>6</v>
      </c>
      <c r="J342" s="38" t="str">
        <f>CHOOSE(Table1[[#This Row],[Weekday]]+1,"Sunday","Monday","Tuesday","Wednesday","Thursday","Friday","Saturday")</f>
        <v>Saturday</v>
      </c>
      <c r="K342" s="9">
        <v>1</v>
      </c>
      <c r="L342" s="38" t="str">
        <f>IF(Table1[[#This Row],[Weather_code]]=1,"Clear",IF(Table1[[#This Row],[Weather_code]]=2,"Cloudy",IF(Table1[[#This Row],[Weather_code]]=3,"Light Rain",IF(Table1[[#This Row],[Weather_code]]=4,"Heavy Rain"))))</f>
        <v>Clear</v>
      </c>
      <c r="M342" s="10">
        <v>0.28000000000000003</v>
      </c>
      <c r="N342" s="11" t="str">
        <f t="shared" si="16"/>
        <v>Winter</v>
      </c>
      <c r="O342" s="11" t="str">
        <f t="shared" si="17"/>
        <v>Weekend</v>
      </c>
      <c r="P342" s="11">
        <f>VLOOKUP(A342,[1]Sheet1!$A:$H,2, FALSE)</f>
        <v>0.2576</v>
      </c>
      <c r="Q342" s="40">
        <f>Table1[[#This Row],[A_Temperature]]*41</f>
        <v>10.5616</v>
      </c>
      <c r="R342" s="11">
        <f>VLOOKUP(A342,[1]Sheet1!$A:$G,3,FALSE)</f>
        <v>0.38</v>
      </c>
      <c r="S342" s="11">
        <f>VLOOKUP(A342,[1]Sheet1!$A:$G,4,FALSE)</f>
        <v>0.29849999999999999</v>
      </c>
      <c r="T342" s="11">
        <f>VLOOKUP(A342,[1]Sheet1!$A:$G,5,FALSE)</f>
        <v>21</v>
      </c>
      <c r="U342" s="11">
        <f>VLOOKUP(A342,[1]Sheet1!$A:$G,6,FALSE)</f>
        <v>80</v>
      </c>
      <c r="V342" s="18">
        <f>VLOOKUP(A342,[1]Sheet1!$A:$G,7,FALSE)</f>
        <v>101</v>
      </c>
    </row>
    <row r="343" spans="1:22" s="13" customFormat="1" ht="30" customHeight="1">
      <c r="A343" s="17">
        <v>339</v>
      </c>
      <c r="B343" s="14">
        <v>40558</v>
      </c>
      <c r="C343" s="8" t="str">
        <f t="shared" si="15"/>
        <v>Saturday</v>
      </c>
      <c r="D343" s="9">
        <v>1</v>
      </c>
      <c r="E343" s="9">
        <v>0</v>
      </c>
      <c r="F343" s="9">
        <v>1</v>
      </c>
      <c r="G343" s="7">
        <v>14</v>
      </c>
      <c r="H343" s="9" t="b">
        <v>0</v>
      </c>
      <c r="I343" s="9">
        <v>6</v>
      </c>
      <c r="J343" s="38" t="str">
        <f>CHOOSE(Table1[[#This Row],[Weekday]]+1,"Sunday","Monday","Tuesday","Wednesday","Thursday","Friday","Saturday")</f>
        <v>Saturday</v>
      </c>
      <c r="K343" s="9">
        <v>1</v>
      </c>
      <c r="L343" s="38" t="str">
        <f>IF(Table1[[#This Row],[Weather_code]]=1,"Clear",IF(Table1[[#This Row],[Weather_code]]=2,"Cloudy",IF(Table1[[#This Row],[Weather_code]]=3,"Light Rain",IF(Table1[[#This Row],[Weather_code]]=4,"Heavy Rain"))))</f>
        <v>Clear</v>
      </c>
      <c r="M343" s="10">
        <v>0.3</v>
      </c>
      <c r="N343" s="11" t="str">
        <f t="shared" si="16"/>
        <v>Winter</v>
      </c>
      <c r="O343" s="11" t="str">
        <f t="shared" si="17"/>
        <v>Weekend</v>
      </c>
      <c r="P343" s="11">
        <f>VLOOKUP(A343,[1]Sheet1!$A:$H,2, FALSE)</f>
        <v>0.28789999999999999</v>
      </c>
      <c r="Q343" s="40">
        <f>Table1[[#This Row],[A_Temperature]]*41</f>
        <v>11.803899999999999</v>
      </c>
      <c r="R343" s="11">
        <f>VLOOKUP(A343,[1]Sheet1!$A:$G,3,FALSE)</f>
        <v>0.39</v>
      </c>
      <c r="S343" s="11">
        <f>VLOOKUP(A343,[1]Sheet1!$A:$G,4,FALSE)</f>
        <v>0.28360000000000002</v>
      </c>
      <c r="T343" s="11">
        <f>VLOOKUP(A343,[1]Sheet1!$A:$G,5,FALSE)</f>
        <v>26</v>
      </c>
      <c r="U343" s="11">
        <f>VLOOKUP(A343,[1]Sheet1!$A:$G,6,FALSE)</f>
        <v>92</v>
      </c>
      <c r="V343" s="18">
        <f>VLOOKUP(A343,[1]Sheet1!$A:$G,7,FALSE)</f>
        <v>118</v>
      </c>
    </row>
    <row r="344" spans="1:22" s="13" customFormat="1" ht="30" customHeight="1">
      <c r="A344" s="17">
        <v>340</v>
      </c>
      <c r="B344" s="14">
        <v>40558</v>
      </c>
      <c r="C344" s="8" t="str">
        <f t="shared" si="15"/>
        <v>Saturday</v>
      </c>
      <c r="D344" s="9">
        <v>1</v>
      </c>
      <c r="E344" s="9">
        <v>0</v>
      </c>
      <c r="F344" s="9">
        <v>1</v>
      </c>
      <c r="G344" s="7">
        <v>15</v>
      </c>
      <c r="H344" s="9" t="b">
        <v>0</v>
      </c>
      <c r="I344" s="9">
        <v>6</v>
      </c>
      <c r="J344" s="38" t="str">
        <f>CHOOSE(Table1[[#This Row],[Weekday]]+1,"Sunday","Monday","Tuesday","Wednesday","Thursday","Friday","Saturday")</f>
        <v>Saturday</v>
      </c>
      <c r="K344" s="9">
        <v>2</v>
      </c>
      <c r="L344" s="38" t="str">
        <f>IF(Table1[[#This Row],[Weather_code]]=1,"Clear",IF(Table1[[#This Row],[Weather_code]]=2,"Cloudy",IF(Table1[[#This Row],[Weather_code]]=3,"Light Rain",IF(Table1[[#This Row],[Weather_code]]=4,"Heavy Rain"))))</f>
        <v>Cloudy</v>
      </c>
      <c r="M344" s="10">
        <v>0.32</v>
      </c>
      <c r="N344" s="11" t="str">
        <f t="shared" si="16"/>
        <v>Winter</v>
      </c>
      <c r="O344" s="11" t="str">
        <f t="shared" si="17"/>
        <v>Weekend</v>
      </c>
      <c r="P344" s="11">
        <f>VLOOKUP(A344,[1]Sheet1!$A:$H,2, FALSE)</f>
        <v>0.31819999999999998</v>
      </c>
      <c r="Q344" s="40">
        <f>Table1[[#This Row],[A_Temperature]]*41</f>
        <v>13.046199999999999</v>
      </c>
      <c r="R344" s="11">
        <f>VLOOKUP(A344,[1]Sheet1!$A:$G,3,FALSE)</f>
        <v>0.36</v>
      </c>
      <c r="S344" s="11">
        <f>VLOOKUP(A344,[1]Sheet1!$A:$G,4,FALSE)</f>
        <v>0.19400000000000001</v>
      </c>
      <c r="T344" s="11">
        <f>VLOOKUP(A344,[1]Sheet1!$A:$G,5,FALSE)</f>
        <v>21</v>
      </c>
      <c r="U344" s="11">
        <f>VLOOKUP(A344,[1]Sheet1!$A:$G,6,FALSE)</f>
        <v>108</v>
      </c>
      <c r="V344" s="18">
        <f>VLOOKUP(A344,[1]Sheet1!$A:$G,7,FALSE)</f>
        <v>129</v>
      </c>
    </row>
    <row r="345" spans="1:22" s="13" customFormat="1" ht="30" customHeight="1">
      <c r="A345" s="17">
        <v>341</v>
      </c>
      <c r="B345" s="14">
        <v>40558</v>
      </c>
      <c r="C345" s="8" t="str">
        <f t="shared" si="15"/>
        <v>Saturday</v>
      </c>
      <c r="D345" s="9">
        <v>1</v>
      </c>
      <c r="E345" s="9">
        <v>0</v>
      </c>
      <c r="F345" s="9">
        <v>1</v>
      </c>
      <c r="G345" s="7">
        <v>16</v>
      </c>
      <c r="H345" s="9" t="b">
        <v>0</v>
      </c>
      <c r="I345" s="9">
        <v>6</v>
      </c>
      <c r="J345" s="38" t="str">
        <f>CHOOSE(Table1[[#This Row],[Weekday]]+1,"Sunday","Monday","Tuesday","Wednesday","Thursday","Friday","Saturday")</f>
        <v>Saturday</v>
      </c>
      <c r="K345" s="9">
        <v>2</v>
      </c>
      <c r="L345" s="38" t="str">
        <f>IF(Table1[[#This Row],[Weather_code]]=1,"Clear",IF(Table1[[#This Row],[Weather_code]]=2,"Cloudy",IF(Table1[[#This Row],[Weather_code]]=3,"Light Rain",IF(Table1[[#This Row],[Weather_code]]=4,"Heavy Rain"))))</f>
        <v>Cloudy</v>
      </c>
      <c r="M345" s="10">
        <v>0.34</v>
      </c>
      <c r="N345" s="11" t="str">
        <f t="shared" si="16"/>
        <v>Winter</v>
      </c>
      <c r="O345" s="11" t="str">
        <f t="shared" si="17"/>
        <v>Weekend</v>
      </c>
      <c r="P345" s="11">
        <f>VLOOKUP(A345,[1]Sheet1!$A:$H,2, FALSE)</f>
        <v>0.33329999999999999</v>
      </c>
      <c r="Q345" s="40">
        <f>Table1[[#This Row],[A_Temperature]]*41</f>
        <v>13.6653</v>
      </c>
      <c r="R345" s="11">
        <f>VLOOKUP(A345,[1]Sheet1!$A:$G,3,FALSE)</f>
        <v>0.34</v>
      </c>
      <c r="S345" s="11">
        <f>VLOOKUP(A345,[1]Sheet1!$A:$G,4,FALSE)</f>
        <v>0.19400000000000001</v>
      </c>
      <c r="T345" s="11">
        <f>VLOOKUP(A345,[1]Sheet1!$A:$G,5,FALSE)</f>
        <v>33</v>
      </c>
      <c r="U345" s="11">
        <f>VLOOKUP(A345,[1]Sheet1!$A:$G,6,FALSE)</f>
        <v>95</v>
      </c>
      <c r="V345" s="18">
        <f>VLOOKUP(A345,[1]Sheet1!$A:$G,7,FALSE)</f>
        <v>128</v>
      </c>
    </row>
    <row r="346" spans="1:22" s="13" customFormat="1" ht="30" customHeight="1">
      <c r="A346" s="17">
        <v>342</v>
      </c>
      <c r="B346" s="14">
        <v>40558</v>
      </c>
      <c r="C346" s="8" t="str">
        <f t="shared" si="15"/>
        <v>Saturday</v>
      </c>
      <c r="D346" s="9">
        <v>1</v>
      </c>
      <c r="E346" s="9">
        <v>0</v>
      </c>
      <c r="F346" s="9">
        <v>1</v>
      </c>
      <c r="G346" s="7">
        <v>17</v>
      </c>
      <c r="H346" s="9" t="b">
        <v>0</v>
      </c>
      <c r="I346" s="9">
        <v>6</v>
      </c>
      <c r="J346" s="38" t="str">
        <f>CHOOSE(Table1[[#This Row],[Weekday]]+1,"Sunday","Monday","Tuesday","Wednesday","Thursday","Friday","Saturday")</f>
        <v>Saturday</v>
      </c>
      <c r="K346" s="9">
        <v>2</v>
      </c>
      <c r="L346" s="38" t="str">
        <f>IF(Table1[[#This Row],[Weather_code]]=1,"Clear",IF(Table1[[#This Row],[Weather_code]]=2,"Cloudy",IF(Table1[[#This Row],[Weather_code]]=3,"Light Rain",IF(Table1[[#This Row],[Weather_code]]=4,"Heavy Rain"))))</f>
        <v>Cloudy</v>
      </c>
      <c r="M346" s="10">
        <v>0.32</v>
      </c>
      <c r="N346" s="11" t="str">
        <f t="shared" si="16"/>
        <v>Winter</v>
      </c>
      <c r="O346" s="11" t="str">
        <f t="shared" si="17"/>
        <v>Weekend</v>
      </c>
      <c r="P346" s="11">
        <f>VLOOKUP(A346,[1]Sheet1!$A:$H,2, FALSE)</f>
        <v>0.30299999999999999</v>
      </c>
      <c r="Q346" s="40">
        <f>Table1[[#This Row],[A_Temperature]]*41</f>
        <v>12.423</v>
      </c>
      <c r="R346" s="11">
        <f>VLOOKUP(A346,[1]Sheet1!$A:$G,3,FALSE)</f>
        <v>0.36</v>
      </c>
      <c r="S346" s="11">
        <f>VLOOKUP(A346,[1]Sheet1!$A:$G,4,FALSE)</f>
        <v>0.28360000000000002</v>
      </c>
      <c r="T346" s="11">
        <f>VLOOKUP(A346,[1]Sheet1!$A:$G,5,FALSE)</f>
        <v>29</v>
      </c>
      <c r="U346" s="11">
        <f>VLOOKUP(A346,[1]Sheet1!$A:$G,6,FALSE)</f>
        <v>54</v>
      </c>
      <c r="V346" s="18">
        <f>VLOOKUP(A346,[1]Sheet1!$A:$G,7,FALSE)</f>
        <v>83</v>
      </c>
    </row>
    <row r="347" spans="1:22" s="13" customFormat="1" ht="30" customHeight="1">
      <c r="A347" s="17">
        <v>343</v>
      </c>
      <c r="B347" s="14">
        <v>40558</v>
      </c>
      <c r="C347" s="8" t="str">
        <f t="shared" si="15"/>
        <v>Saturday</v>
      </c>
      <c r="D347" s="9">
        <v>1</v>
      </c>
      <c r="E347" s="9">
        <v>0</v>
      </c>
      <c r="F347" s="9">
        <v>1</v>
      </c>
      <c r="G347" s="7">
        <v>18</v>
      </c>
      <c r="H347" s="9" t="b">
        <v>0</v>
      </c>
      <c r="I347" s="9">
        <v>6</v>
      </c>
      <c r="J347" s="38" t="str">
        <f>CHOOSE(Table1[[#This Row],[Weekday]]+1,"Sunday","Monday","Tuesday","Wednesday","Thursday","Friday","Saturday")</f>
        <v>Saturday</v>
      </c>
      <c r="K347" s="9">
        <v>2</v>
      </c>
      <c r="L347" s="38" t="str">
        <f>IF(Table1[[#This Row],[Weather_code]]=1,"Clear",IF(Table1[[#This Row],[Weather_code]]=2,"Cloudy",IF(Table1[[#This Row],[Weather_code]]=3,"Light Rain",IF(Table1[[#This Row],[Weather_code]]=4,"Heavy Rain"))))</f>
        <v>Cloudy</v>
      </c>
      <c r="M347" s="10">
        <v>0.3</v>
      </c>
      <c r="N347" s="11" t="str">
        <f t="shared" si="16"/>
        <v>Winter</v>
      </c>
      <c r="O347" s="11" t="str">
        <f t="shared" si="17"/>
        <v>Weekend</v>
      </c>
      <c r="P347" s="11">
        <f>VLOOKUP(A347,[1]Sheet1!$A:$H,2, FALSE)</f>
        <v>0.28789999999999999</v>
      </c>
      <c r="Q347" s="40">
        <f>Table1[[#This Row],[A_Temperature]]*41</f>
        <v>11.803899999999999</v>
      </c>
      <c r="R347" s="11">
        <f>VLOOKUP(A347,[1]Sheet1!$A:$G,3,FALSE)</f>
        <v>0.45</v>
      </c>
      <c r="S347" s="11">
        <f>VLOOKUP(A347,[1]Sheet1!$A:$G,4,FALSE)</f>
        <v>0.25369999999999998</v>
      </c>
      <c r="T347" s="11">
        <f>VLOOKUP(A347,[1]Sheet1!$A:$G,5,FALSE)</f>
        <v>15</v>
      </c>
      <c r="U347" s="11">
        <f>VLOOKUP(A347,[1]Sheet1!$A:$G,6,FALSE)</f>
        <v>69</v>
      </c>
      <c r="V347" s="18">
        <f>VLOOKUP(A347,[1]Sheet1!$A:$G,7,FALSE)</f>
        <v>84</v>
      </c>
    </row>
    <row r="348" spans="1:22" s="13" customFormat="1" ht="30" customHeight="1">
      <c r="A348" s="17">
        <v>344</v>
      </c>
      <c r="B348" s="14">
        <v>40558</v>
      </c>
      <c r="C348" s="8" t="str">
        <f t="shared" si="15"/>
        <v>Saturday</v>
      </c>
      <c r="D348" s="9">
        <v>1</v>
      </c>
      <c r="E348" s="9">
        <v>0</v>
      </c>
      <c r="F348" s="9">
        <v>1</v>
      </c>
      <c r="G348" s="7">
        <v>19</v>
      </c>
      <c r="H348" s="9" t="b">
        <v>0</v>
      </c>
      <c r="I348" s="9">
        <v>6</v>
      </c>
      <c r="J348" s="38" t="str">
        <f>CHOOSE(Table1[[#This Row],[Weekday]]+1,"Sunday","Monday","Tuesday","Wednesday","Thursday","Friday","Saturday")</f>
        <v>Saturday</v>
      </c>
      <c r="K348" s="9">
        <v>2</v>
      </c>
      <c r="L348" s="38" t="str">
        <f>IF(Table1[[#This Row],[Weather_code]]=1,"Clear",IF(Table1[[#This Row],[Weather_code]]=2,"Cloudy",IF(Table1[[#This Row],[Weather_code]]=3,"Light Rain",IF(Table1[[#This Row],[Weather_code]]=4,"Heavy Rain"))))</f>
        <v>Cloudy</v>
      </c>
      <c r="M348" s="10">
        <v>0.32</v>
      </c>
      <c r="N348" s="11" t="str">
        <f t="shared" si="16"/>
        <v>Winter</v>
      </c>
      <c r="O348" s="11" t="str">
        <f t="shared" si="17"/>
        <v>Weekend</v>
      </c>
      <c r="P348" s="11">
        <f>VLOOKUP(A348,[1]Sheet1!$A:$H,2, FALSE)</f>
        <v>0.30299999999999999</v>
      </c>
      <c r="Q348" s="40">
        <f>Table1[[#This Row],[A_Temperature]]*41</f>
        <v>12.423</v>
      </c>
      <c r="R348" s="11">
        <f>VLOOKUP(A348,[1]Sheet1!$A:$G,3,FALSE)</f>
        <v>0.39</v>
      </c>
      <c r="S348" s="11">
        <f>VLOOKUP(A348,[1]Sheet1!$A:$G,4,FALSE)</f>
        <v>0.25369999999999998</v>
      </c>
      <c r="T348" s="11">
        <f>VLOOKUP(A348,[1]Sheet1!$A:$G,5,FALSE)</f>
        <v>14</v>
      </c>
      <c r="U348" s="11">
        <f>VLOOKUP(A348,[1]Sheet1!$A:$G,6,FALSE)</f>
        <v>60</v>
      </c>
      <c r="V348" s="18">
        <f>VLOOKUP(A348,[1]Sheet1!$A:$G,7,FALSE)</f>
        <v>74</v>
      </c>
    </row>
    <row r="349" spans="1:22" s="13" customFormat="1" ht="30" customHeight="1">
      <c r="A349" s="17">
        <v>345</v>
      </c>
      <c r="B349" s="14">
        <v>40558</v>
      </c>
      <c r="C349" s="8" t="str">
        <f t="shared" ref="C349:C412" si="18">TEXT(B349,"DDDD")</f>
        <v>Saturday</v>
      </c>
      <c r="D349" s="9">
        <v>1</v>
      </c>
      <c r="E349" s="9">
        <v>0</v>
      </c>
      <c r="F349" s="9">
        <v>1</v>
      </c>
      <c r="G349" s="7">
        <v>20</v>
      </c>
      <c r="H349" s="9" t="b">
        <v>0</v>
      </c>
      <c r="I349" s="9">
        <v>6</v>
      </c>
      <c r="J349" s="38" t="str">
        <f>CHOOSE(Table1[[#This Row],[Weekday]]+1,"Sunday","Monday","Tuesday","Wednesday","Thursday","Friday","Saturday")</f>
        <v>Saturday</v>
      </c>
      <c r="K349" s="9">
        <v>2</v>
      </c>
      <c r="L349" s="38" t="str">
        <f>IF(Table1[[#This Row],[Weather_code]]=1,"Clear",IF(Table1[[#This Row],[Weather_code]]=2,"Cloudy",IF(Table1[[#This Row],[Weather_code]]=3,"Light Rain",IF(Table1[[#This Row],[Weather_code]]=4,"Heavy Rain"))))</f>
        <v>Cloudy</v>
      </c>
      <c r="M349" s="10">
        <v>0.32</v>
      </c>
      <c r="N349" s="11" t="str">
        <f t="shared" si="16"/>
        <v>Winter</v>
      </c>
      <c r="O349" s="11" t="str">
        <f t="shared" si="17"/>
        <v>Weekend</v>
      </c>
      <c r="P349" s="11">
        <f>VLOOKUP(A349,[1]Sheet1!$A:$H,2, FALSE)</f>
        <v>0.30299999999999999</v>
      </c>
      <c r="Q349" s="40">
        <f>Table1[[#This Row],[A_Temperature]]*41</f>
        <v>12.423</v>
      </c>
      <c r="R349" s="11">
        <f>VLOOKUP(A349,[1]Sheet1!$A:$G,3,FALSE)</f>
        <v>0.39</v>
      </c>
      <c r="S349" s="11">
        <f>VLOOKUP(A349,[1]Sheet1!$A:$G,4,FALSE)</f>
        <v>0.25369999999999998</v>
      </c>
      <c r="T349" s="11">
        <f>VLOOKUP(A349,[1]Sheet1!$A:$G,5,FALSE)</f>
        <v>6</v>
      </c>
      <c r="U349" s="11">
        <f>VLOOKUP(A349,[1]Sheet1!$A:$G,6,FALSE)</f>
        <v>35</v>
      </c>
      <c r="V349" s="18">
        <f>VLOOKUP(A349,[1]Sheet1!$A:$G,7,FALSE)</f>
        <v>41</v>
      </c>
    </row>
    <row r="350" spans="1:22" s="13" customFormat="1" ht="30" customHeight="1">
      <c r="A350" s="17">
        <v>346</v>
      </c>
      <c r="B350" s="14">
        <v>40558</v>
      </c>
      <c r="C350" s="8" t="str">
        <f t="shared" si="18"/>
        <v>Saturday</v>
      </c>
      <c r="D350" s="9">
        <v>1</v>
      </c>
      <c r="E350" s="9">
        <v>0</v>
      </c>
      <c r="F350" s="9">
        <v>1</v>
      </c>
      <c r="G350" s="7">
        <v>21</v>
      </c>
      <c r="H350" s="9" t="b">
        <v>0</v>
      </c>
      <c r="I350" s="9">
        <v>6</v>
      </c>
      <c r="J350" s="38" t="str">
        <f>CHOOSE(Table1[[#This Row],[Weekday]]+1,"Sunday","Monday","Tuesday","Wednesday","Thursday","Friday","Saturday")</f>
        <v>Saturday</v>
      </c>
      <c r="K350" s="9">
        <v>2</v>
      </c>
      <c r="L350" s="38" t="str">
        <f>IF(Table1[[#This Row],[Weather_code]]=1,"Clear",IF(Table1[[#This Row],[Weather_code]]=2,"Cloudy",IF(Table1[[#This Row],[Weather_code]]=3,"Light Rain",IF(Table1[[#This Row],[Weather_code]]=4,"Heavy Rain"))))</f>
        <v>Cloudy</v>
      </c>
      <c r="M350" s="10">
        <v>0.32</v>
      </c>
      <c r="N350" s="11" t="str">
        <f t="shared" si="16"/>
        <v>Winter</v>
      </c>
      <c r="O350" s="11" t="str">
        <f t="shared" si="17"/>
        <v>Weekend</v>
      </c>
      <c r="P350" s="11">
        <f>VLOOKUP(A350,[1]Sheet1!$A:$H,2, FALSE)</f>
        <v>0.30299999999999999</v>
      </c>
      <c r="Q350" s="40">
        <f>Table1[[#This Row],[A_Temperature]]*41</f>
        <v>12.423</v>
      </c>
      <c r="R350" s="11">
        <f>VLOOKUP(A350,[1]Sheet1!$A:$G,3,FALSE)</f>
        <v>0.39</v>
      </c>
      <c r="S350" s="11">
        <f>VLOOKUP(A350,[1]Sheet1!$A:$G,4,FALSE)</f>
        <v>0.22389999999999999</v>
      </c>
      <c r="T350" s="11">
        <f>VLOOKUP(A350,[1]Sheet1!$A:$G,5,FALSE)</f>
        <v>6</v>
      </c>
      <c r="U350" s="11">
        <f>VLOOKUP(A350,[1]Sheet1!$A:$G,6,FALSE)</f>
        <v>51</v>
      </c>
      <c r="V350" s="18">
        <f>VLOOKUP(A350,[1]Sheet1!$A:$G,7,FALSE)</f>
        <v>57</v>
      </c>
    </row>
    <row r="351" spans="1:22" s="13" customFormat="1" ht="30" customHeight="1">
      <c r="A351" s="17">
        <v>347</v>
      </c>
      <c r="B351" s="14">
        <v>40558</v>
      </c>
      <c r="C351" s="8" t="str">
        <f t="shared" si="18"/>
        <v>Saturday</v>
      </c>
      <c r="D351" s="9">
        <v>1</v>
      </c>
      <c r="E351" s="9">
        <v>0</v>
      </c>
      <c r="F351" s="9">
        <v>1</v>
      </c>
      <c r="G351" s="7">
        <v>22</v>
      </c>
      <c r="H351" s="9" t="b">
        <v>0</v>
      </c>
      <c r="I351" s="9">
        <v>6</v>
      </c>
      <c r="J351" s="38" t="str">
        <f>CHOOSE(Table1[[#This Row],[Weekday]]+1,"Sunday","Monday","Tuesday","Wednesday","Thursday","Friday","Saturday")</f>
        <v>Saturday</v>
      </c>
      <c r="K351" s="9">
        <v>2</v>
      </c>
      <c r="L351" s="38" t="str">
        <f>IF(Table1[[#This Row],[Weather_code]]=1,"Clear",IF(Table1[[#This Row],[Weather_code]]=2,"Cloudy",IF(Table1[[#This Row],[Weather_code]]=3,"Light Rain",IF(Table1[[#This Row],[Weather_code]]=4,"Heavy Rain"))))</f>
        <v>Cloudy</v>
      </c>
      <c r="M351" s="10">
        <v>0.3</v>
      </c>
      <c r="N351" s="11" t="str">
        <f t="shared" si="16"/>
        <v>Winter</v>
      </c>
      <c r="O351" s="11" t="str">
        <f t="shared" si="17"/>
        <v>Weekend</v>
      </c>
      <c r="P351" s="11">
        <f>VLOOKUP(A351,[1]Sheet1!$A:$H,2, FALSE)</f>
        <v>0.31819999999999998</v>
      </c>
      <c r="Q351" s="40">
        <f>Table1[[#This Row],[A_Temperature]]*41</f>
        <v>13.046199999999999</v>
      </c>
      <c r="R351" s="11">
        <f>VLOOKUP(A351,[1]Sheet1!$A:$G,3,FALSE)</f>
        <v>0.42</v>
      </c>
      <c r="S351" s="11">
        <f>VLOOKUP(A351,[1]Sheet1!$A:$G,4,FALSE)</f>
        <v>0.1045</v>
      </c>
      <c r="T351" s="11">
        <f>VLOOKUP(A351,[1]Sheet1!$A:$G,5,FALSE)</f>
        <v>0</v>
      </c>
      <c r="U351" s="11">
        <f>VLOOKUP(A351,[1]Sheet1!$A:$G,6,FALSE)</f>
        <v>26</v>
      </c>
      <c r="V351" s="18">
        <f>VLOOKUP(A351,[1]Sheet1!$A:$G,7,FALSE)</f>
        <v>26</v>
      </c>
    </row>
    <row r="352" spans="1:22" s="13" customFormat="1" ht="30" customHeight="1">
      <c r="A352" s="17">
        <v>348</v>
      </c>
      <c r="B352" s="14">
        <v>40558</v>
      </c>
      <c r="C352" s="8" t="str">
        <f t="shared" si="18"/>
        <v>Saturday</v>
      </c>
      <c r="D352" s="9">
        <v>1</v>
      </c>
      <c r="E352" s="9">
        <v>0</v>
      </c>
      <c r="F352" s="9">
        <v>1</v>
      </c>
      <c r="G352" s="7">
        <v>23</v>
      </c>
      <c r="H352" s="9" t="b">
        <v>0</v>
      </c>
      <c r="I352" s="9">
        <v>6</v>
      </c>
      <c r="J352" s="38" t="str">
        <f>CHOOSE(Table1[[#This Row],[Weekday]]+1,"Sunday","Monday","Tuesday","Wednesday","Thursday","Friday","Saturday")</f>
        <v>Saturday</v>
      </c>
      <c r="K352" s="9">
        <v>1</v>
      </c>
      <c r="L352" s="38" t="str">
        <f>IF(Table1[[#This Row],[Weather_code]]=1,"Clear",IF(Table1[[#This Row],[Weather_code]]=2,"Cloudy",IF(Table1[[#This Row],[Weather_code]]=3,"Light Rain",IF(Table1[[#This Row],[Weather_code]]=4,"Heavy Rain"))))</f>
        <v>Clear</v>
      </c>
      <c r="M352" s="10">
        <v>0.3</v>
      </c>
      <c r="N352" s="11" t="str">
        <f t="shared" si="16"/>
        <v>Winter</v>
      </c>
      <c r="O352" s="11" t="str">
        <f t="shared" si="17"/>
        <v>Weekend</v>
      </c>
      <c r="P352" s="11">
        <f>VLOOKUP(A352,[1]Sheet1!$A:$H,2, FALSE)</f>
        <v>0.28789999999999999</v>
      </c>
      <c r="Q352" s="40">
        <f>Table1[[#This Row],[A_Temperature]]*41</f>
        <v>11.803899999999999</v>
      </c>
      <c r="R352" s="11">
        <f>VLOOKUP(A352,[1]Sheet1!$A:$G,3,FALSE)</f>
        <v>0.45</v>
      </c>
      <c r="S352" s="11">
        <f>VLOOKUP(A352,[1]Sheet1!$A:$G,4,FALSE)</f>
        <v>0.28360000000000002</v>
      </c>
      <c r="T352" s="11">
        <f>VLOOKUP(A352,[1]Sheet1!$A:$G,5,FALSE)</f>
        <v>5</v>
      </c>
      <c r="U352" s="11">
        <f>VLOOKUP(A352,[1]Sheet1!$A:$G,6,FALSE)</f>
        <v>39</v>
      </c>
      <c r="V352" s="18">
        <f>VLOOKUP(A352,[1]Sheet1!$A:$G,7,FALSE)</f>
        <v>44</v>
      </c>
    </row>
    <row r="353" spans="1:22" s="13" customFormat="1" ht="30" customHeight="1">
      <c r="A353" s="17">
        <v>349</v>
      </c>
      <c r="B353" s="14">
        <v>40559</v>
      </c>
      <c r="C353" s="8" t="str">
        <f t="shared" si="18"/>
        <v>Sunday</v>
      </c>
      <c r="D353" s="9">
        <v>1</v>
      </c>
      <c r="E353" s="9">
        <v>0</v>
      </c>
      <c r="F353" s="9">
        <v>1</v>
      </c>
      <c r="G353" s="7">
        <v>0</v>
      </c>
      <c r="H353" s="9" t="b">
        <v>0</v>
      </c>
      <c r="I353" s="9">
        <v>0</v>
      </c>
      <c r="J353" s="38" t="str">
        <f>CHOOSE(Table1[[#This Row],[Weekday]]+1,"Sunday","Monday","Tuesday","Wednesday","Thursday","Friday","Saturday")</f>
        <v>Sunday</v>
      </c>
      <c r="K353" s="9">
        <v>1</v>
      </c>
      <c r="L353" s="38" t="str">
        <f>IF(Table1[[#This Row],[Weather_code]]=1,"Clear",IF(Table1[[#This Row],[Weather_code]]=2,"Cloudy",IF(Table1[[#This Row],[Weather_code]]=3,"Light Rain",IF(Table1[[#This Row],[Weather_code]]=4,"Heavy Rain"))))</f>
        <v>Clear</v>
      </c>
      <c r="M353" s="10">
        <v>0.26</v>
      </c>
      <c r="N353" s="11" t="str">
        <f t="shared" si="16"/>
        <v>Winter</v>
      </c>
      <c r="O353" s="11" t="str">
        <f t="shared" si="17"/>
        <v>Weekend</v>
      </c>
      <c r="P353" s="11">
        <f>VLOOKUP(A353,[1]Sheet1!$A:$H,2, FALSE)</f>
        <v>0.30299999999999999</v>
      </c>
      <c r="Q353" s="40">
        <f>Table1[[#This Row],[A_Temperature]]*41</f>
        <v>12.423</v>
      </c>
      <c r="R353" s="11">
        <f>VLOOKUP(A353,[1]Sheet1!$A:$G,3,FALSE)</f>
        <v>0.56000000000000005</v>
      </c>
      <c r="S353" s="11">
        <f>VLOOKUP(A353,[1]Sheet1!$A:$G,4,FALSE)</f>
        <v>0</v>
      </c>
      <c r="T353" s="11">
        <f>VLOOKUP(A353,[1]Sheet1!$A:$G,5,FALSE)</f>
        <v>6</v>
      </c>
      <c r="U353" s="11">
        <f>VLOOKUP(A353,[1]Sheet1!$A:$G,6,FALSE)</f>
        <v>33</v>
      </c>
      <c r="V353" s="18">
        <f>VLOOKUP(A353,[1]Sheet1!$A:$G,7,FALSE)</f>
        <v>39</v>
      </c>
    </row>
    <row r="354" spans="1:22" s="13" customFormat="1" ht="30" customHeight="1">
      <c r="A354" s="17">
        <v>350</v>
      </c>
      <c r="B354" s="14">
        <v>40559</v>
      </c>
      <c r="C354" s="8" t="str">
        <f t="shared" si="18"/>
        <v>Sunday</v>
      </c>
      <c r="D354" s="9">
        <v>1</v>
      </c>
      <c r="E354" s="9">
        <v>0</v>
      </c>
      <c r="F354" s="9">
        <v>1</v>
      </c>
      <c r="G354" s="7">
        <v>1</v>
      </c>
      <c r="H354" s="9" t="b">
        <v>0</v>
      </c>
      <c r="I354" s="9">
        <v>0</v>
      </c>
      <c r="J354" s="38" t="str">
        <f>CHOOSE(Table1[[#This Row],[Weekday]]+1,"Sunday","Monday","Tuesday","Wednesday","Thursday","Friday","Saturday")</f>
        <v>Sunday</v>
      </c>
      <c r="K354" s="9">
        <v>1</v>
      </c>
      <c r="L354" s="38" t="str">
        <f>IF(Table1[[#This Row],[Weather_code]]=1,"Clear",IF(Table1[[#This Row],[Weather_code]]=2,"Cloudy",IF(Table1[[#This Row],[Weather_code]]=3,"Light Rain",IF(Table1[[#This Row],[Weather_code]]=4,"Heavy Rain"))))</f>
        <v>Clear</v>
      </c>
      <c r="M354" s="10">
        <v>0.26</v>
      </c>
      <c r="N354" s="11" t="str">
        <f t="shared" si="16"/>
        <v>Winter</v>
      </c>
      <c r="O354" s="11" t="str">
        <f t="shared" si="17"/>
        <v>Weekend</v>
      </c>
      <c r="P354" s="11">
        <f>VLOOKUP(A354,[1]Sheet1!$A:$H,2, FALSE)</f>
        <v>0.2727</v>
      </c>
      <c r="Q354" s="40">
        <f>Table1[[#This Row],[A_Temperature]]*41</f>
        <v>11.1807</v>
      </c>
      <c r="R354" s="11">
        <f>VLOOKUP(A354,[1]Sheet1!$A:$G,3,FALSE)</f>
        <v>0.56000000000000005</v>
      </c>
      <c r="S354" s="11">
        <f>VLOOKUP(A354,[1]Sheet1!$A:$G,4,FALSE)</f>
        <v>0.1343</v>
      </c>
      <c r="T354" s="11">
        <f>VLOOKUP(A354,[1]Sheet1!$A:$G,5,FALSE)</f>
        <v>4</v>
      </c>
      <c r="U354" s="11">
        <f>VLOOKUP(A354,[1]Sheet1!$A:$G,6,FALSE)</f>
        <v>19</v>
      </c>
      <c r="V354" s="18">
        <f>VLOOKUP(A354,[1]Sheet1!$A:$G,7,FALSE)</f>
        <v>23</v>
      </c>
    </row>
    <row r="355" spans="1:22" s="13" customFormat="1" ht="30" customHeight="1">
      <c r="A355" s="17">
        <v>351</v>
      </c>
      <c r="B355" s="14">
        <v>40559</v>
      </c>
      <c r="C355" s="8" t="str">
        <f t="shared" si="18"/>
        <v>Sunday</v>
      </c>
      <c r="D355" s="9">
        <v>1</v>
      </c>
      <c r="E355" s="9">
        <v>0</v>
      </c>
      <c r="F355" s="9">
        <v>1</v>
      </c>
      <c r="G355" s="7">
        <v>2</v>
      </c>
      <c r="H355" s="9" t="b">
        <v>0</v>
      </c>
      <c r="I355" s="9">
        <v>0</v>
      </c>
      <c r="J355" s="38" t="str">
        <f>CHOOSE(Table1[[#This Row],[Weekday]]+1,"Sunday","Monday","Tuesday","Wednesday","Thursday","Friday","Saturday")</f>
        <v>Sunday</v>
      </c>
      <c r="K355" s="9">
        <v>1</v>
      </c>
      <c r="L355" s="38" t="str">
        <f>IF(Table1[[#This Row],[Weather_code]]=1,"Clear",IF(Table1[[#This Row],[Weather_code]]=2,"Cloudy",IF(Table1[[#This Row],[Weather_code]]=3,"Light Rain",IF(Table1[[#This Row],[Weather_code]]=4,"Heavy Rain"))))</f>
        <v>Clear</v>
      </c>
      <c r="M355" s="10">
        <v>0.26</v>
      </c>
      <c r="N355" s="11" t="str">
        <f t="shared" si="16"/>
        <v>Winter</v>
      </c>
      <c r="O355" s="11" t="str">
        <f t="shared" si="17"/>
        <v>Weekend</v>
      </c>
      <c r="P355" s="11">
        <f>VLOOKUP(A355,[1]Sheet1!$A:$H,2, FALSE)</f>
        <v>0.28789999999999999</v>
      </c>
      <c r="Q355" s="40">
        <f>Table1[[#This Row],[A_Temperature]]*41</f>
        <v>11.803899999999999</v>
      </c>
      <c r="R355" s="11">
        <f>VLOOKUP(A355,[1]Sheet1!$A:$G,3,FALSE)</f>
        <v>0.56000000000000005</v>
      </c>
      <c r="S355" s="11">
        <f>VLOOKUP(A355,[1]Sheet1!$A:$G,4,FALSE)</f>
        <v>8.9599999999999999E-2</v>
      </c>
      <c r="T355" s="11">
        <f>VLOOKUP(A355,[1]Sheet1!$A:$G,5,FALSE)</f>
        <v>3</v>
      </c>
      <c r="U355" s="11">
        <f>VLOOKUP(A355,[1]Sheet1!$A:$G,6,FALSE)</f>
        <v>13</v>
      </c>
      <c r="V355" s="18">
        <f>VLOOKUP(A355,[1]Sheet1!$A:$G,7,FALSE)</f>
        <v>16</v>
      </c>
    </row>
    <row r="356" spans="1:22" s="13" customFormat="1" ht="30" customHeight="1">
      <c r="A356" s="17">
        <v>352</v>
      </c>
      <c r="B356" s="14">
        <v>40559</v>
      </c>
      <c r="C356" s="8" t="str">
        <f t="shared" si="18"/>
        <v>Sunday</v>
      </c>
      <c r="D356" s="9">
        <v>1</v>
      </c>
      <c r="E356" s="9">
        <v>0</v>
      </c>
      <c r="F356" s="9">
        <v>1</v>
      </c>
      <c r="G356" s="7">
        <v>3</v>
      </c>
      <c r="H356" s="9" t="b">
        <v>0</v>
      </c>
      <c r="I356" s="9">
        <v>0</v>
      </c>
      <c r="J356" s="38" t="str">
        <f>CHOOSE(Table1[[#This Row],[Weekday]]+1,"Sunday","Monday","Tuesday","Wednesday","Thursday","Friday","Saturday")</f>
        <v>Sunday</v>
      </c>
      <c r="K356" s="9">
        <v>1</v>
      </c>
      <c r="L356" s="38" t="str">
        <f>IF(Table1[[#This Row],[Weather_code]]=1,"Clear",IF(Table1[[#This Row],[Weather_code]]=2,"Cloudy",IF(Table1[[#This Row],[Weather_code]]=3,"Light Rain",IF(Table1[[#This Row],[Weather_code]]=4,"Heavy Rain"))))</f>
        <v>Clear</v>
      </c>
      <c r="M356" s="10">
        <v>0.22</v>
      </c>
      <c r="N356" s="11" t="str">
        <f t="shared" si="16"/>
        <v>Winter</v>
      </c>
      <c r="O356" s="11" t="str">
        <f t="shared" si="17"/>
        <v>Weekend</v>
      </c>
      <c r="P356" s="11">
        <f>VLOOKUP(A356,[1]Sheet1!$A:$H,2, FALSE)</f>
        <v>0.2727</v>
      </c>
      <c r="Q356" s="40">
        <f>Table1[[#This Row],[A_Temperature]]*41</f>
        <v>11.1807</v>
      </c>
      <c r="R356" s="11">
        <f>VLOOKUP(A356,[1]Sheet1!$A:$G,3,FALSE)</f>
        <v>0.69</v>
      </c>
      <c r="S356" s="11">
        <f>VLOOKUP(A356,[1]Sheet1!$A:$G,4,FALSE)</f>
        <v>0</v>
      </c>
      <c r="T356" s="11">
        <f>VLOOKUP(A356,[1]Sheet1!$A:$G,5,FALSE)</f>
        <v>9</v>
      </c>
      <c r="U356" s="11">
        <f>VLOOKUP(A356,[1]Sheet1!$A:$G,6,FALSE)</f>
        <v>6</v>
      </c>
      <c r="V356" s="18">
        <f>VLOOKUP(A356,[1]Sheet1!$A:$G,7,FALSE)</f>
        <v>15</v>
      </c>
    </row>
    <row r="357" spans="1:22" s="13" customFormat="1" ht="30" customHeight="1">
      <c r="A357" s="17">
        <v>353</v>
      </c>
      <c r="B357" s="14">
        <v>40559</v>
      </c>
      <c r="C357" s="8" t="str">
        <f t="shared" si="18"/>
        <v>Sunday</v>
      </c>
      <c r="D357" s="9">
        <v>1</v>
      </c>
      <c r="E357" s="9">
        <v>0</v>
      </c>
      <c r="F357" s="9">
        <v>1</v>
      </c>
      <c r="G357" s="7">
        <v>4</v>
      </c>
      <c r="H357" s="9" t="b">
        <v>0</v>
      </c>
      <c r="I357" s="9">
        <v>0</v>
      </c>
      <c r="J357" s="38" t="str">
        <f>CHOOSE(Table1[[#This Row],[Weekday]]+1,"Sunday","Monday","Tuesday","Wednesday","Thursday","Friday","Saturday")</f>
        <v>Sunday</v>
      </c>
      <c r="K357" s="9">
        <v>1</v>
      </c>
      <c r="L357" s="38" t="str">
        <f>IF(Table1[[#This Row],[Weather_code]]=1,"Clear",IF(Table1[[#This Row],[Weather_code]]=2,"Cloudy",IF(Table1[[#This Row],[Weather_code]]=3,"Light Rain",IF(Table1[[#This Row],[Weather_code]]=4,"Heavy Rain"))))</f>
        <v>Clear</v>
      </c>
      <c r="M357" s="10">
        <v>0.26</v>
      </c>
      <c r="N357" s="11" t="str">
        <f t="shared" si="16"/>
        <v>Winter</v>
      </c>
      <c r="O357" s="11" t="str">
        <f t="shared" si="17"/>
        <v>Weekend</v>
      </c>
      <c r="P357" s="11">
        <f>VLOOKUP(A357,[1]Sheet1!$A:$H,2, FALSE)</f>
        <v>0.2576</v>
      </c>
      <c r="Q357" s="40">
        <f>Table1[[#This Row],[A_Temperature]]*41</f>
        <v>10.5616</v>
      </c>
      <c r="R357" s="11">
        <f>VLOOKUP(A357,[1]Sheet1!$A:$G,3,FALSE)</f>
        <v>0.56000000000000005</v>
      </c>
      <c r="S357" s="11">
        <f>VLOOKUP(A357,[1]Sheet1!$A:$G,4,FALSE)</f>
        <v>0.16420000000000001</v>
      </c>
      <c r="T357" s="11">
        <f>VLOOKUP(A357,[1]Sheet1!$A:$G,5,FALSE)</f>
        <v>0</v>
      </c>
      <c r="U357" s="11">
        <f>VLOOKUP(A357,[1]Sheet1!$A:$G,6,FALSE)</f>
        <v>1</v>
      </c>
      <c r="V357" s="18">
        <f>VLOOKUP(A357,[1]Sheet1!$A:$G,7,FALSE)</f>
        <v>1</v>
      </c>
    </row>
    <row r="358" spans="1:22" s="13" customFormat="1" ht="30" customHeight="1">
      <c r="A358" s="17">
        <v>354</v>
      </c>
      <c r="B358" s="14">
        <v>40559</v>
      </c>
      <c r="C358" s="8" t="str">
        <f t="shared" si="18"/>
        <v>Sunday</v>
      </c>
      <c r="D358" s="9">
        <v>1</v>
      </c>
      <c r="E358" s="9">
        <v>0</v>
      </c>
      <c r="F358" s="9">
        <v>1</v>
      </c>
      <c r="G358" s="7">
        <v>5</v>
      </c>
      <c r="H358" s="9" t="b">
        <v>0</v>
      </c>
      <c r="I358" s="9">
        <v>0</v>
      </c>
      <c r="J358" s="38" t="str">
        <f>CHOOSE(Table1[[#This Row],[Weekday]]+1,"Sunday","Monday","Tuesday","Wednesday","Thursday","Friday","Saturday")</f>
        <v>Sunday</v>
      </c>
      <c r="K358" s="9">
        <v>2</v>
      </c>
      <c r="L358" s="38" t="str">
        <f>IF(Table1[[#This Row],[Weather_code]]=1,"Clear",IF(Table1[[#This Row],[Weather_code]]=2,"Cloudy",IF(Table1[[#This Row],[Weather_code]]=3,"Light Rain",IF(Table1[[#This Row],[Weather_code]]=4,"Heavy Rain"))))</f>
        <v>Cloudy</v>
      </c>
      <c r="M358" s="10">
        <v>0.26</v>
      </c>
      <c r="N358" s="11" t="str">
        <f t="shared" si="16"/>
        <v>Winter</v>
      </c>
      <c r="O358" s="11" t="str">
        <f t="shared" si="17"/>
        <v>Weekend</v>
      </c>
      <c r="P358" s="11">
        <f>VLOOKUP(A358,[1]Sheet1!$A:$H,2, FALSE)</f>
        <v>0.2576</v>
      </c>
      <c r="Q358" s="40">
        <f>Table1[[#This Row],[A_Temperature]]*41</f>
        <v>10.5616</v>
      </c>
      <c r="R358" s="11">
        <f>VLOOKUP(A358,[1]Sheet1!$A:$G,3,FALSE)</f>
        <v>0.56000000000000005</v>
      </c>
      <c r="S358" s="11">
        <f>VLOOKUP(A358,[1]Sheet1!$A:$G,4,FALSE)</f>
        <v>0.16420000000000001</v>
      </c>
      <c r="T358" s="11">
        <f>VLOOKUP(A358,[1]Sheet1!$A:$G,5,FALSE)</f>
        <v>1</v>
      </c>
      <c r="U358" s="11">
        <f>VLOOKUP(A358,[1]Sheet1!$A:$G,6,FALSE)</f>
        <v>1</v>
      </c>
      <c r="V358" s="18">
        <f>VLOOKUP(A358,[1]Sheet1!$A:$G,7,FALSE)</f>
        <v>2</v>
      </c>
    </row>
    <row r="359" spans="1:22" s="13" customFormat="1" ht="30" customHeight="1">
      <c r="A359" s="17">
        <v>355</v>
      </c>
      <c r="B359" s="14">
        <v>40559</v>
      </c>
      <c r="C359" s="8" t="str">
        <f t="shared" si="18"/>
        <v>Sunday</v>
      </c>
      <c r="D359" s="9">
        <v>1</v>
      </c>
      <c r="E359" s="9">
        <v>0</v>
      </c>
      <c r="F359" s="9">
        <v>1</v>
      </c>
      <c r="G359" s="7">
        <v>6</v>
      </c>
      <c r="H359" s="9" t="b">
        <v>0</v>
      </c>
      <c r="I359" s="9">
        <v>0</v>
      </c>
      <c r="J359" s="38" t="str">
        <f>CHOOSE(Table1[[#This Row],[Weekday]]+1,"Sunday","Monday","Tuesday","Wednesday","Thursday","Friday","Saturday")</f>
        <v>Sunday</v>
      </c>
      <c r="K359" s="9">
        <v>2</v>
      </c>
      <c r="L359" s="38" t="str">
        <f>IF(Table1[[#This Row],[Weather_code]]=1,"Clear",IF(Table1[[#This Row],[Weather_code]]=2,"Cloudy",IF(Table1[[#This Row],[Weather_code]]=3,"Light Rain",IF(Table1[[#This Row],[Weather_code]]=4,"Heavy Rain"))))</f>
        <v>Cloudy</v>
      </c>
      <c r="M359" s="10">
        <v>0.26</v>
      </c>
      <c r="N359" s="11" t="str">
        <f t="shared" si="16"/>
        <v>Winter</v>
      </c>
      <c r="O359" s="11" t="str">
        <f t="shared" si="17"/>
        <v>Weekend</v>
      </c>
      <c r="P359" s="11">
        <f>VLOOKUP(A359,[1]Sheet1!$A:$H,2, FALSE)</f>
        <v>0.2576</v>
      </c>
      <c r="Q359" s="40">
        <f>Table1[[#This Row],[A_Temperature]]*41</f>
        <v>10.5616</v>
      </c>
      <c r="R359" s="11">
        <f>VLOOKUP(A359,[1]Sheet1!$A:$G,3,FALSE)</f>
        <v>0.56000000000000005</v>
      </c>
      <c r="S359" s="11">
        <f>VLOOKUP(A359,[1]Sheet1!$A:$G,4,FALSE)</f>
        <v>0.16420000000000001</v>
      </c>
      <c r="T359" s="11">
        <f>VLOOKUP(A359,[1]Sheet1!$A:$G,5,FALSE)</f>
        <v>0</v>
      </c>
      <c r="U359" s="11">
        <f>VLOOKUP(A359,[1]Sheet1!$A:$G,6,FALSE)</f>
        <v>1</v>
      </c>
      <c r="V359" s="18">
        <f>VLOOKUP(A359,[1]Sheet1!$A:$G,7,FALSE)</f>
        <v>1</v>
      </c>
    </row>
    <row r="360" spans="1:22" s="13" customFormat="1" ht="30" customHeight="1">
      <c r="A360" s="17">
        <v>356</v>
      </c>
      <c r="B360" s="14">
        <v>40559</v>
      </c>
      <c r="C360" s="8" t="str">
        <f t="shared" si="18"/>
        <v>Sunday</v>
      </c>
      <c r="D360" s="9">
        <v>1</v>
      </c>
      <c r="E360" s="9">
        <v>0</v>
      </c>
      <c r="F360" s="9">
        <v>1</v>
      </c>
      <c r="G360" s="7">
        <v>7</v>
      </c>
      <c r="H360" s="9" t="b">
        <v>0</v>
      </c>
      <c r="I360" s="9">
        <v>0</v>
      </c>
      <c r="J360" s="38" t="str">
        <f>CHOOSE(Table1[[#This Row],[Weekday]]+1,"Sunday","Monday","Tuesday","Wednesday","Thursday","Friday","Saturday")</f>
        <v>Sunday</v>
      </c>
      <c r="K360" s="9">
        <v>2</v>
      </c>
      <c r="L360" s="38" t="str">
        <f>IF(Table1[[#This Row],[Weather_code]]=1,"Clear",IF(Table1[[#This Row],[Weather_code]]=2,"Cloudy",IF(Table1[[#This Row],[Weather_code]]=3,"Light Rain",IF(Table1[[#This Row],[Weather_code]]=4,"Heavy Rain"))))</f>
        <v>Cloudy</v>
      </c>
      <c r="M360" s="10">
        <v>0.24</v>
      </c>
      <c r="N360" s="11" t="str">
        <f t="shared" si="16"/>
        <v>Winter</v>
      </c>
      <c r="O360" s="11" t="str">
        <f t="shared" si="17"/>
        <v>Weekend</v>
      </c>
      <c r="P360" s="11">
        <f>VLOOKUP(A360,[1]Sheet1!$A:$H,2, FALSE)</f>
        <v>0.21210000000000001</v>
      </c>
      <c r="Q360" s="40">
        <f>Table1[[#This Row],[A_Temperature]]*41</f>
        <v>8.6961000000000013</v>
      </c>
      <c r="R360" s="11">
        <f>VLOOKUP(A360,[1]Sheet1!$A:$G,3,FALSE)</f>
        <v>0.56000000000000005</v>
      </c>
      <c r="S360" s="11">
        <f>VLOOKUP(A360,[1]Sheet1!$A:$G,4,FALSE)</f>
        <v>0.29849999999999999</v>
      </c>
      <c r="T360" s="11">
        <f>VLOOKUP(A360,[1]Sheet1!$A:$G,5,FALSE)</f>
        <v>0</v>
      </c>
      <c r="U360" s="11">
        <f>VLOOKUP(A360,[1]Sheet1!$A:$G,6,FALSE)</f>
        <v>3</v>
      </c>
      <c r="V360" s="18">
        <f>VLOOKUP(A360,[1]Sheet1!$A:$G,7,FALSE)</f>
        <v>3</v>
      </c>
    </row>
    <row r="361" spans="1:22" s="13" customFormat="1" ht="30" customHeight="1">
      <c r="A361" s="17">
        <v>357</v>
      </c>
      <c r="B361" s="14">
        <v>40559</v>
      </c>
      <c r="C361" s="8" t="str">
        <f t="shared" si="18"/>
        <v>Sunday</v>
      </c>
      <c r="D361" s="9">
        <v>1</v>
      </c>
      <c r="E361" s="9">
        <v>0</v>
      </c>
      <c r="F361" s="9">
        <v>1</v>
      </c>
      <c r="G361" s="7">
        <v>8</v>
      </c>
      <c r="H361" s="9" t="b">
        <v>0</v>
      </c>
      <c r="I361" s="9">
        <v>0</v>
      </c>
      <c r="J361" s="38" t="str">
        <f>CHOOSE(Table1[[#This Row],[Weekday]]+1,"Sunday","Monday","Tuesday","Wednesday","Thursday","Friday","Saturday")</f>
        <v>Sunday</v>
      </c>
      <c r="K361" s="9">
        <v>1</v>
      </c>
      <c r="L361" s="38" t="str">
        <f>IF(Table1[[#This Row],[Weather_code]]=1,"Clear",IF(Table1[[#This Row],[Weather_code]]=2,"Cloudy",IF(Table1[[#This Row],[Weather_code]]=3,"Light Rain",IF(Table1[[#This Row],[Weather_code]]=4,"Heavy Rain"))))</f>
        <v>Clear</v>
      </c>
      <c r="M361" s="10">
        <v>0.22</v>
      </c>
      <c r="N361" s="11" t="str">
        <f t="shared" si="16"/>
        <v>Winter</v>
      </c>
      <c r="O361" s="11" t="str">
        <f t="shared" si="17"/>
        <v>Weekend</v>
      </c>
      <c r="P361" s="11">
        <f>VLOOKUP(A361,[1]Sheet1!$A:$H,2, FALSE)</f>
        <v>0.21210000000000001</v>
      </c>
      <c r="Q361" s="40">
        <f>Table1[[#This Row],[A_Temperature]]*41</f>
        <v>8.6961000000000013</v>
      </c>
      <c r="R361" s="11">
        <f>VLOOKUP(A361,[1]Sheet1!$A:$G,3,FALSE)</f>
        <v>0.55000000000000004</v>
      </c>
      <c r="S361" s="11">
        <f>VLOOKUP(A361,[1]Sheet1!$A:$G,4,FALSE)</f>
        <v>0.28360000000000002</v>
      </c>
      <c r="T361" s="11">
        <f>VLOOKUP(A361,[1]Sheet1!$A:$G,5,FALSE)</f>
        <v>0</v>
      </c>
      <c r="U361" s="11">
        <f>VLOOKUP(A361,[1]Sheet1!$A:$G,6,FALSE)</f>
        <v>18</v>
      </c>
      <c r="V361" s="18">
        <f>VLOOKUP(A361,[1]Sheet1!$A:$G,7,FALSE)</f>
        <v>18</v>
      </c>
    </row>
    <row r="362" spans="1:22" s="13" customFormat="1" ht="30" customHeight="1">
      <c r="A362" s="17">
        <v>358</v>
      </c>
      <c r="B362" s="14">
        <v>40559</v>
      </c>
      <c r="C362" s="8" t="str">
        <f t="shared" si="18"/>
        <v>Sunday</v>
      </c>
      <c r="D362" s="9">
        <v>1</v>
      </c>
      <c r="E362" s="9">
        <v>0</v>
      </c>
      <c r="F362" s="9">
        <v>1</v>
      </c>
      <c r="G362" s="7">
        <v>9</v>
      </c>
      <c r="H362" s="9" t="b">
        <v>0</v>
      </c>
      <c r="I362" s="9">
        <v>0</v>
      </c>
      <c r="J362" s="38" t="str">
        <f>CHOOSE(Table1[[#This Row],[Weekday]]+1,"Sunday","Monday","Tuesday","Wednesday","Thursday","Friday","Saturday")</f>
        <v>Sunday</v>
      </c>
      <c r="K362" s="9">
        <v>1</v>
      </c>
      <c r="L362" s="38" t="str">
        <f>IF(Table1[[#This Row],[Weather_code]]=1,"Clear",IF(Table1[[#This Row],[Weather_code]]=2,"Cloudy",IF(Table1[[#This Row],[Weather_code]]=3,"Light Rain",IF(Table1[[#This Row],[Weather_code]]=4,"Heavy Rain"))))</f>
        <v>Clear</v>
      </c>
      <c r="M362" s="10">
        <v>0.22</v>
      </c>
      <c r="N362" s="11" t="str">
        <f t="shared" si="16"/>
        <v>Winter</v>
      </c>
      <c r="O362" s="11" t="str">
        <f t="shared" si="17"/>
        <v>Weekend</v>
      </c>
      <c r="P362" s="11">
        <f>VLOOKUP(A362,[1]Sheet1!$A:$H,2, FALSE)</f>
        <v>0.21210000000000001</v>
      </c>
      <c r="Q362" s="40">
        <f>Table1[[#This Row],[A_Temperature]]*41</f>
        <v>8.6961000000000013</v>
      </c>
      <c r="R362" s="11">
        <f>VLOOKUP(A362,[1]Sheet1!$A:$G,3,FALSE)</f>
        <v>0.51</v>
      </c>
      <c r="S362" s="11">
        <f>VLOOKUP(A362,[1]Sheet1!$A:$G,4,FALSE)</f>
        <v>0.25369999999999998</v>
      </c>
      <c r="T362" s="11">
        <f>VLOOKUP(A362,[1]Sheet1!$A:$G,5,FALSE)</f>
        <v>3</v>
      </c>
      <c r="U362" s="11">
        <f>VLOOKUP(A362,[1]Sheet1!$A:$G,6,FALSE)</f>
        <v>29</v>
      </c>
      <c r="V362" s="18">
        <f>VLOOKUP(A362,[1]Sheet1!$A:$G,7,FALSE)</f>
        <v>32</v>
      </c>
    </row>
    <row r="363" spans="1:22" s="13" customFormat="1" ht="30" customHeight="1">
      <c r="A363" s="17">
        <v>359</v>
      </c>
      <c r="B363" s="14">
        <v>40559</v>
      </c>
      <c r="C363" s="8" t="str">
        <f t="shared" si="18"/>
        <v>Sunday</v>
      </c>
      <c r="D363" s="9">
        <v>1</v>
      </c>
      <c r="E363" s="9">
        <v>0</v>
      </c>
      <c r="F363" s="9">
        <v>1</v>
      </c>
      <c r="G363" s="7">
        <v>10</v>
      </c>
      <c r="H363" s="9" t="b">
        <v>0</v>
      </c>
      <c r="I363" s="9">
        <v>0</v>
      </c>
      <c r="J363" s="38" t="str">
        <f>CHOOSE(Table1[[#This Row],[Weekday]]+1,"Sunday","Monday","Tuesday","Wednesday","Thursday","Friday","Saturday")</f>
        <v>Sunday</v>
      </c>
      <c r="K363" s="9">
        <v>1</v>
      </c>
      <c r="L363" s="38" t="str">
        <f>IF(Table1[[#This Row],[Weather_code]]=1,"Clear",IF(Table1[[#This Row],[Weather_code]]=2,"Cloudy",IF(Table1[[#This Row],[Weather_code]]=3,"Light Rain",IF(Table1[[#This Row],[Weather_code]]=4,"Heavy Rain"))))</f>
        <v>Clear</v>
      </c>
      <c r="M363" s="10">
        <v>0.22</v>
      </c>
      <c r="N363" s="11" t="str">
        <f t="shared" si="16"/>
        <v>Winter</v>
      </c>
      <c r="O363" s="11" t="str">
        <f t="shared" si="17"/>
        <v>Weekend</v>
      </c>
      <c r="P363" s="11">
        <f>VLOOKUP(A363,[1]Sheet1!$A:$H,2, FALSE)</f>
        <v>0.21210000000000001</v>
      </c>
      <c r="Q363" s="40">
        <f>Table1[[#This Row],[A_Temperature]]*41</f>
        <v>8.6961000000000013</v>
      </c>
      <c r="R363" s="11">
        <f>VLOOKUP(A363,[1]Sheet1!$A:$G,3,FALSE)</f>
        <v>0.51</v>
      </c>
      <c r="S363" s="11">
        <f>VLOOKUP(A363,[1]Sheet1!$A:$G,4,FALSE)</f>
        <v>0.28360000000000002</v>
      </c>
      <c r="T363" s="11">
        <f>VLOOKUP(A363,[1]Sheet1!$A:$G,5,FALSE)</f>
        <v>8</v>
      </c>
      <c r="U363" s="11">
        <f>VLOOKUP(A363,[1]Sheet1!$A:$G,6,FALSE)</f>
        <v>71</v>
      </c>
      <c r="V363" s="18">
        <f>VLOOKUP(A363,[1]Sheet1!$A:$G,7,FALSE)</f>
        <v>79</v>
      </c>
    </row>
    <row r="364" spans="1:22" s="13" customFormat="1" ht="30" customHeight="1">
      <c r="A364" s="17">
        <v>360</v>
      </c>
      <c r="B364" s="14">
        <v>40559</v>
      </c>
      <c r="C364" s="8" t="str">
        <f t="shared" si="18"/>
        <v>Sunday</v>
      </c>
      <c r="D364" s="9">
        <v>1</v>
      </c>
      <c r="E364" s="9">
        <v>0</v>
      </c>
      <c r="F364" s="9">
        <v>1</v>
      </c>
      <c r="G364" s="7">
        <v>11</v>
      </c>
      <c r="H364" s="9" t="b">
        <v>0</v>
      </c>
      <c r="I364" s="9">
        <v>0</v>
      </c>
      <c r="J364" s="38" t="str">
        <f>CHOOSE(Table1[[#This Row],[Weekday]]+1,"Sunday","Monday","Tuesday","Wednesday","Thursday","Friday","Saturday")</f>
        <v>Sunday</v>
      </c>
      <c r="K364" s="9">
        <v>1</v>
      </c>
      <c r="L364" s="38" t="str">
        <f>IF(Table1[[#This Row],[Weather_code]]=1,"Clear",IF(Table1[[#This Row],[Weather_code]]=2,"Cloudy",IF(Table1[[#This Row],[Weather_code]]=3,"Light Rain",IF(Table1[[#This Row],[Weather_code]]=4,"Heavy Rain"))))</f>
        <v>Clear</v>
      </c>
      <c r="M364" s="10">
        <v>0.24</v>
      </c>
      <c r="N364" s="11" t="str">
        <f t="shared" si="16"/>
        <v>Winter</v>
      </c>
      <c r="O364" s="11" t="str">
        <f t="shared" si="17"/>
        <v>Weekend</v>
      </c>
      <c r="P364" s="11">
        <f>VLOOKUP(A364,[1]Sheet1!$A:$H,2, FALSE)</f>
        <v>0.2273</v>
      </c>
      <c r="Q364" s="40">
        <f>Table1[[#This Row],[A_Temperature]]*41</f>
        <v>9.3193000000000001</v>
      </c>
      <c r="R364" s="11">
        <f>VLOOKUP(A364,[1]Sheet1!$A:$G,3,FALSE)</f>
        <v>0.44</v>
      </c>
      <c r="S364" s="11">
        <f>VLOOKUP(A364,[1]Sheet1!$A:$G,4,FALSE)</f>
        <v>0.25369999999999998</v>
      </c>
      <c r="T364" s="11">
        <f>VLOOKUP(A364,[1]Sheet1!$A:$G,5,FALSE)</f>
        <v>23</v>
      </c>
      <c r="U364" s="11">
        <f>VLOOKUP(A364,[1]Sheet1!$A:$G,6,FALSE)</f>
        <v>70</v>
      </c>
      <c r="V364" s="18">
        <f>VLOOKUP(A364,[1]Sheet1!$A:$G,7,FALSE)</f>
        <v>93</v>
      </c>
    </row>
    <row r="365" spans="1:22" s="13" customFormat="1" ht="30" customHeight="1">
      <c r="A365" s="17">
        <v>361</v>
      </c>
      <c r="B365" s="14">
        <v>40559</v>
      </c>
      <c r="C365" s="8" t="str">
        <f t="shared" si="18"/>
        <v>Sunday</v>
      </c>
      <c r="D365" s="9">
        <v>1</v>
      </c>
      <c r="E365" s="9">
        <v>0</v>
      </c>
      <c r="F365" s="9">
        <v>1</v>
      </c>
      <c r="G365" s="7">
        <v>12</v>
      </c>
      <c r="H365" s="9" t="b">
        <v>0</v>
      </c>
      <c r="I365" s="9">
        <v>0</v>
      </c>
      <c r="J365" s="38" t="str">
        <f>CHOOSE(Table1[[#This Row],[Weekday]]+1,"Sunday","Monday","Tuesday","Wednesday","Thursday","Friday","Saturday")</f>
        <v>Sunday</v>
      </c>
      <c r="K365" s="9">
        <v>1</v>
      </c>
      <c r="L365" s="38" t="str">
        <f>IF(Table1[[#This Row],[Weather_code]]=1,"Clear",IF(Table1[[#This Row],[Weather_code]]=2,"Cloudy",IF(Table1[[#This Row],[Weather_code]]=3,"Light Rain",IF(Table1[[#This Row],[Weather_code]]=4,"Heavy Rain"))))</f>
        <v>Clear</v>
      </c>
      <c r="M365" s="10">
        <v>0.24</v>
      </c>
      <c r="N365" s="11" t="str">
        <f t="shared" si="16"/>
        <v>Winter</v>
      </c>
      <c r="O365" s="11" t="str">
        <f t="shared" si="17"/>
        <v>Weekend</v>
      </c>
      <c r="P365" s="11">
        <f>VLOOKUP(A365,[1]Sheet1!$A:$H,2, FALSE)</f>
        <v>0.21210000000000001</v>
      </c>
      <c r="Q365" s="40">
        <f>Table1[[#This Row],[A_Temperature]]*41</f>
        <v>8.6961000000000013</v>
      </c>
      <c r="R365" s="11">
        <f>VLOOKUP(A365,[1]Sheet1!$A:$G,3,FALSE)</f>
        <v>0.41</v>
      </c>
      <c r="S365" s="11">
        <f>VLOOKUP(A365,[1]Sheet1!$A:$G,4,FALSE)</f>
        <v>0.28360000000000002</v>
      </c>
      <c r="T365" s="11">
        <f>VLOOKUP(A365,[1]Sheet1!$A:$G,5,FALSE)</f>
        <v>29</v>
      </c>
      <c r="U365" s="11">
        <f>VLOOKUP(A365,[1]Sheet1!$A:$G,6,FALSE)</f>
        <v>75</v>
      </c>
      <c r="V365" s="18">
        <f>VLOOKUP(A365,[1]Sheet1!$A:$G,7,FALSE)</f>
        <v>104</v>
      </c>
    </row>
    <row r="366" spans="1:22" s="13" customFormat="1" ht="30" customHeight="1">
      <c r="A366" s="17">
        <v>362</v>
      </c>
      <c r="B366" s="14">
        <v>40559</v>
      </c>
      <c r="C366" s="8" t="str">
        <f t="shared" si="18"/>
        <v>Sunday</v>
      </c>
      <c r="D366" s="9">
        <v>1</v>
      </c>
      <c r="E366" s="9">
        <v>0</v>
      </c>
      <c r="F366" s="9">
        <v>1</v>
      </c>
      <c r="G366" s="7">
        <v>13</v>
      </c>
      <c r="H366" s="9" t="b">
        <v>0</v>
      </c>
      <c r="I366" s="9">
        <v>0</v>
      </c>
      <c r="J366" s="38" t="str">
        <f>CHOOSE(Table1[[#This Row],[Weekday]]+1,"Sunday","Monday","Tuesday","Wednesday","Thursday","Friday","Saturday")</f>
        <v>Sunday</v>
      </c>
      <c r="K366" s="9">
        <v>1</v>
      </c>
      <c r="L366" s="38" t="str">
        <f>IF(Table1[[#This Row],[Weather_code]]=1,"Clear",IF(Table1[[#This Row],[Weather_code]]=2,"Cloudy",IF(Table1[[#This Row],[Weather_code]]=3,"Light Rain",IF(Table1[[#This Row],[Weather_code]]=4,"Heavy Rain"))))</f>
        <v>Clear</v>
      </c>
      <c r="M366" s="10">
        <v>0.26</v>
      </c>
      <c r="N366" s="11" t="str">
        <f t="shared" si="16"/>
        <v>Winter</v>
      </c>
      <c r="O366" s="11" t="str">
        <f t="shared" si="17"/>
        <v>Weekend</v>
      </c>
      <c r="P366" s="11">
        <f>VLOOKUP(A366,[1]Sheet1!$A:$H,2, FALSE)</f>
        <v>0.2273</v>
      </c>
      <c r="Q366" s="40">
        <f>Table1[[#This Row],[A_Temperature]]*41</f>
        <v>9.3193000000000001</v>
      </c>
      <c r="R366" s="11">
        <f>VLOOKUP(A366,[1]Sheet1!$A:$G,3,FALSE)</f>
        <v>0.35</v>
      </c>
      <c r="S366" s="11">
        <f>VLOOKUP(A366,[1]Sheet1!$A:$G,4,FALSE)</f>
        <v>0.29849999999999999</v>
      </c>
      <c r="T366" s="11">
        <f>VLOOKUP(A366,[1]Sheet1!$A:$G,5,FALSE)</f>
        <v>23</v>
      </c>
      <c r="U366" s="11">
        <f>VLOOKUP(A366,[1]Sheet1!$A:$G,6,FALSE)</f>
        <v>95</v>
      </c>
      <c r="V366" s="18">
        <f>VLOOKUP(A366,[1]Sheet1!$A:$G,7,FALSE)</f>
        <v>118</v>
      </c>
    </row>
    <row r="367" spans="1:22" s="13" customFormat="1" ht="30" customHeight="1">
      <c r="A367" s="17">
        <v>363</v>
      </c>
      <c r="B367" s="14">
        <v>40559</v>
      </c>
      <c r="C367" s="8" t="str">
        <f t="shared" si="18"/>
        <v>Sunday</v>
      </c>
      <c r="D367" s="9">
        <v>1</v>
      </c>
      <c r="E367" s="9">
        <v>0</v>
      </c>
      <c r="F367" s="9">
        <v>1</v>
      </c>
      <c r="G367" s="7">
        <v>14</v>
      </c>
      <c r="H367" s="9" t="b">
        <v>0</v>
      </c>
      <c r="I367" s="9">
        <v>0</v>
      </c>
      <c r="J367" s="38" t="str">
        <f>CHOOSE(Table1[[#This Row],[Weekday]]+1,"Sunday","Monday","Tuesday","Wednesday","Thursday","Friday","Saturday")</f>
        <v>Sunday</v>
      </c>
      <c r="K367" s="9">
        <v>1</v>
      </c>
      <c r="L367" s="38" t="str">
        <f>IF(Table1[[#This Row],[Weather_code]]=1,"Clear",IF(Table1[[#This Row],[Weather_code]]=2,"Cloudy",IF(Table1[[#This Row],[Weather_code]]=3,"Light Rain",IF(Table1[[#This Row],[Weather_code]]=4,"Heavy Rain"))))</f>
        <v>Clear</v>
      </c>
      <c r="M367" s="10">
        <v>0.28000000000000003</v>
      </c>
      <c r="N367" s="11" t="str">
        <f t="shared" si="16"/>
        <v>Winter</v>
      </c>
      <c r="O367" s="11" t="str">
        <f t="shared" si="17"/>
        <v>Weekend</v>
      </c>
      <c r="P367" s="11">
        <f>VLOOKUP(A367,[1]Sheet1!$A:$H,2, FALSE)</f>
        <v>0.2727</v>
      </c>
      <c r="Q367" s="40">
        <f>Table1[[#This Row],[A_Temperature]]*41</f>
        <v>11.1807</v>
      </c>
      <c r="R367" s="11">
        <f>VLOOKUP(A367,[1]Sheet1!$A:$G,3,FALSE)</f>
        <v>0.36</v>
      </c>
      <c r="S367" s="11">
        <f>VLOOKUP(A367,[1]Sheet1!$A:$G,4,FALSE)</f>
        <v>0.25369999999999998</v>
      </c>
      <c r="T367" s="11">
        <f>VLOOKUP(A367,[1]Sheet1!$A:$G,5,FALSE)</f>
        <v>22</v>
      </c>
      <c r="U367" s="11">
        <f>VLOOKUP(A367,[1]Sheet1!$A:$G,6,FALSE)</f>
        <v>69</v>
      </c>
      <c r="V367" s="18">
        <f>VLOOKUP(A367,[1]Sheet1!$A:$G,7,FALSE)</f>
        <v>91</v>
      </c>
    </row>
    <row r="368" spans="1:22" s="13" customFormat="1" ht="30" customHeight="1">
      <c r="A368" s="17">
        <v>364</v>
      </c>
      <c r="B368" s="14">
        <v>40559</v>
      </c>
      <c r="C368" s="8" t="str">
        <f t="shared" si="18"/>
        <v>Sunday</v>
      </c>
      <c r="D368" s="9">
        <v>1</v>
      </c>
      <c r="E368" s="9">
        <v>0</v>
      </c>
      <c r="F368" s="9">
        <v>1</v>
      </c>
      <c r="G368" s="7">
        <v>15</v>
      </c>
      <c r="H368" s="9" t="b">
        <v>0</v>
      </c>
      <c r="I368" s="9">
        <v>0</v>
      </c>
      <c r="J368" s="38" t="str">
        <f>CHOOSE(Table1[[#This Row],[Weekday]]+1,"Sunday","Monday","Tuesday","Wednesday","Thursday","Friday","Saturday")</f>
        <v>Sunday</v>
      </c>
      <c r="K368" s="9">
        <v>1</v>
      </c>
      <c r="L368" s="38" t="str">
        <f>IF(Table1[[#This Row],[Weather_code]]=1,"Clear",IF(Table1[[#This Row],[Weather_code]]=2,"Cloudy",IF(Table1[[#This Row],[Weather_code]]=3,"Light Rain",IF(Table1[[#This Row],[Weather_code]]=4,"Heavy Rain"))))</f>
        <v>Clear</v>
      </c>
      <c r="M368" s="10">
        <v>0.26</v>
      </c>
      <c r="N368" s="11" t="str">
        <f t="shared" si="16"/>
        <v>Winter</v>
      </c>
      <c r="O368" s="11" t="str">
        <f t="shared" si="17"/>
        <v>Weekend</v>
      </c>
      <c r="P368" s="11">
        <f>VLOOKUP(A368,[1]Sheet1!$A:$H,2, FALSE)</f>
        <v>0.2424</v>
      </c>
      <c r="Q368" s="40">
        <f>Table1[[#This Row],[A_Temperature]]*41</f>
        <v>9.9383999999999997</v>
      </c>
      <c r="R368" s="11">
        <f>VLOOKUP(A368,[1]Sheet1!$A:$G,3,FALSE)</f>
        <v>0.38</v>
      </c>
      <c r="S368" s="11">
        <f>VLOOKUP(A368,[1]Sheet1!$A:$G,4,FALSE)</f>
        <v>0.25369999999999998</v>
      </c>
      <c r="T368" s="11">
        <f>VLOOKUP(A368,[1]Sheet1!$A:$G,5,FALSE)</f>
        <v>35</v>
      </c>
      <c r="U368" s="11">
        <f>VLOOKUP(A368,[1]Sheet1!$A:$G,6,FALSE)</f>
        <v>78</v>
      </c>
      <c r="V368" s="18">
        <f>VLOOKUP(A368,[1]Sheet1!$A:$G,7,FALSE)</f>
        <v>113</v>
      </c>
    </row>
    <row r="369" spans="1:22" s="13" customFormat="1" ht="30" customHeight="1">
      <c r="A369" s="17">
        <v>365</v>
      </c>
      <c r="B369" s="14">
        <v>40559</v>
      </c>
      <c r="C369" s="8" t="str">
        <f t="shared" si="18"/>
        <v>Sunday</v>
      </c>
      <c r="D369" s="9">
        <v>1</v>
      </c>
      <c r="E369" s="9">
        <v>0</v>
      </c>
      <c r="F369" s="9">
        <v>1</v>
      </c>
      <c r="G369" s="7">
        <v>16</v>
      </c>
      <c r="H369" s="9" t="b">
        <v>0</v>
      </c>
      <c r="I369" s="9">
        <v>0</v>
      </c>
      <c r="J369" s="38" t="str">
        <f>CHOOSE(Table1[[#This Row],[Weekday]]+1,"Sunday","Monday","Tuesday","Wednesday","Thursday","Friday","Saturday")</f>
        <v>Sunday</v>
      </c>
      <c r="K369" s="9">
        <v>1</v>
      </c>
      <c r="L369" s="38" t="str">
        <f>IF(Table1[[#This Row],[Weather_code]]=1,"Clear",IF(Table1[[#This Row],[Weather_code]]=2,"Cloudy",IF(Table1[[#This Row],[Weather_code]]=3,"Light Rain",IF(Table1[[#This Row],[Weather_code]]=4,"Heavy Rain"))))</f>
        <v>Clear</v>
      </c>
      <c r="M369" s="10">
        <v>0.24</v>
      </c>
      <c r="N369" s="11" t="str">
        <f t="shared" si="16"/>
        <v>Winter</v>
      </c>
      <c r="O369" s="11" t="str">
        <f t="shared" si="17"/>
        <v>Weekend</v>
      </c>
      <c r="P369" s="11">
        <f>VLOOKUP(A369,[1]Sheet1!$A:$H,2, FALSE)</f>
        <v>0.2273</v>
      </c>
      <c r="Q369" s="40">
        <f>Table1[[#This Row],[A_Temperature]]*41</f>
        <v>9.3193000000000001</v>
      </c>
      <c r="R369" s="11">
        <f>VLOOKUP(A369,[1]Sheet1!$A:$G,3,FALSE)</f>
        <v>0.38</v>
      </c>
      <c r="S369" s="11">
        <f>VLOOKUP(A369,[1]Sheet1!$A:$G,4,FALSE)</f>
        <v>0.22389999999999999</v>
      </c>
      <c r="T369" s="11">
        <f>VLOOKUP(A369,[1]Sheet1!$A:$G,5,FALSE)</f>
        <v>22</v>
      </c>
      <c r="U369" s="11">
        <f>VLOOKUP(A369,[1]Sheet1!$A:$G,6,FALSE)</f>
        <v>77</v>
      </c>
      <c r="V369" s="18">
        <f>VLOOKUP(A369,[1]Sheet1!$A:$G,7,FALSE)</f>
        <v>99</v>
      </c>
    </row>
    <row r="370" spans="1:22" s="13" customFormat="1" ht="30" customHeight="1">
      <c r="A370" s="17">
        <v>366</v>
      </c>
      <c r="B370" s="14">
        <v>40559</v>
      </c>
      <c r="C370" s="8" t="str">
        <f t="shared" si="18"/>
        <v>Sunday</v>
      </c>
      <c r="D370" s="9">
        <v>1</v>
      </c>
      <c r="E370" s="9">
        <v>0</v>
      </c>
      <c r="F370" s="9">
        <v>1</v>
      </c>
      <c r="G370" s="7">
        <v>17</v>
      </c>
      <c r="H370" s="9" t="b">
        <v>0</v>
      </c>
      <c r="I370" s="9">
        <v>0</v>
      </c>
      <c r="J370" s="38" t="str">
        <f>CHOOSE(Table1[[#This Row],[Weekday]]+1,"Sunday","Monday","Tuesday","Wednesday","Thursday","Friday","Saturday")</f>
        <v>Sunday</v>
      </c>
      <c r="K370" s="9">
        <v>1</v>
      </c>
      <c r="L370" s="38" t="str">
        <f>IF(Table1[[#This Row],[Weather_code]]=1,"Clear",IF(Table1[[#This Row],[Weather_code]]=2,"Cloudy",IF(Table1[[#This Row],[Weather_code]]=3,"Light Rain",IF(Table1[[#This Row],[Weather_code]]=4,"Heavy Rain"))))</f>
        <v>Clear</v>
      </c>
      <c r="M370" s="10">
        <v>0.22</v>
      </c>
      <c r="N370" s="11" t="str">
        <f t="shared" si="16"/>
        <v>Winter</v>
      </c>
      <c r="O370" s="11" t="str">
        <f t="shared" si="17"/>
        <v>Weekend</v>
      </c>
      <c r="P370" s="11">
        <f>VLOOKUP(A370,[1]Sheet1!$A:$H,2, FALSE)</f>
        <v>0.21210000000000001</v>
      </c>
      <c r="Q370" s="40">
        <f>Table1[[#This Row],[A_Temperature]]*41</f>
        <v>8.6961000000000013</v>
      </c>
      <c r="R370" s="11">
        <f>VLOOKUP(A370,[1]Sheet1!$A:$G,3,FALSE)</f>
        <v>0.37</v>
      </c>
      <c r="S370" s="11">
        <f>VLOOKUP(A370,[1]Sheet1!$A:$G,4,FALSE)</f>
        <v>0.25369999999999998</v>
      </c>
      <c r="T370" s="11">
        <f>VLOOKUP(A370,[1]Sheet1!$A:$G,5,FALSE)</f>
        <v>23</v>
      </c>
      <c r="U370" s="11">
        <f>VLOOKUP(A370,[1]Sheet1!$A:$G,6,FALSE)</f>
        <v>82</v>
      </c>
      <c r="V370" s="18">
        <f>VLOOKUP(A370,[1]Sheet1!$A:$G,7,FALSE)</f>
        <v>105</v>
      </c>
    </row>
    <row r="371" spans="1:22" s="13" customFormat="1" ht="30" customHeight="1">
      <c r="A371" s="17">
        <v>367</v>
      </c>
      <c r="B371" s="14">
        <v>40559</v>
      </c>
      <c r="C371" s="8" t="str">
        <f t="shared" si="18"/>
        <v>Sunday</v>
      </c>
      <c r="D371" s="9">
        <v>1</v>
      </c>
      <c r="E371" s="9">
        <v>0</v>
      </c>
      <c r="F371" s="9">
        <v>1</v>
      </c>
      <c r="G371" s="7">
        <v>18</v>
      </c>
      <c r="H371" s="9" t="b">
        <v>0</v>
      </c>
      <c r="I371" s="9">
        <v>0</v>
      </c>
      <c r="J371" s="38" t="str">
        <f>CHOOSE(Table1[[#This Row],[Weekday]]+1,"Sunday","Monday","Tuesday","Wednesday","Thursday","Friday","Saturday")</f>
        <v>Sunday</v>
      </c>
      <c r="K371" s="9">
        <v>1</v>
      </c>
      <c r="L371" s="38" t="str">
        <f>IF(Table1[[#This Row],[Weather_code]]=1,"Clear",IF(Table1[[#This Row],[Weather_code]]=2,"Cloudy",IF(Table1[[#This Row],[Weather_code]]=3,"Light Rain",IF(Table1[[#This Row],[Weather_code]]=4,"Heavy Rain"))))</f>
        <v>Clear</v>
      </c>
      <c r="M371" s="10">
        <v>0.2</v>
      </c>
      <c r="N371" s="11" t="str">
        <f t="shared" si="16"/>
        <v>Winter</v>
      </c>
      <c r="O371" s="11" t="str">
        <f t="shared" si="17"/>
        <v>Weekend</v>
      </c>
      <c r="P371" s="11">
        <f>VLOOKUP(A371,[1]Sheet1!$A:$H,2, FALSE)</f>
        <v>0.21210000000000001</v>
      </c>
      <c r="Q371" s="40">
        <f>Table1[[#This Row],[A_Temperature]]*41</f>
        <v>8.6961000000000013</v>
      </c>
      <c r="R371" s="11">
        <f>VLOOKUP(A371,[1]Sheet1!$A:$G,3,FALSE)</f>
        <v>0.4</v>
      </c>
      <c r="S371" s="11">
        <f>VLOOKUP(A371,[1]Sheet1!$A:$G,4,FALSE)</f>
        <v>0.16420000000000001</v>
      </c>
      <c r="T371" s="11">
        <f>VLOOKUP(A371,[1]Sheet1!$A:$G,5,FALSE)</f>
        <v>11</v>
      </c>
      <c r="U371" s="11">
        <f>VLOOKUP(A371,[1]Sheet1!$A:$G,6,FALSE)</f>
        <v>56</v>
      </c>
      <c r="V371" s="18">
        <f>VLOOKUP(A371,[1]Sheet1!$A:$G,7,FALSE)</f>
        <v>67</v>
      </c>
    </row>
    <row r="372" spans="1:22" s="13" customFormat="1" ht="30" customHeight="1">
      <c r="A372" s="17">
        <v>368</v>
      </c>
      <c r="B372" s="14">
        <v>40559</v>
      </c>
      <c r="C372" s="8" t="str">
        <f t="shared" si="18"/>
        <v>Sunday</v>
      </c>
      <c r="D372" s="9">
        <v>1</v>
      </c>
      <c r="E372" s="9">
        <v>0</v>
      </c>
      <c r="F372" s="9">
        <v>1</v>
      </c>
      <c r="G372" s="7">
        <v>19</v>
      </c>
      <c r="H372" s="9" t="b">
        <v>0</v>
      </c>
      <c r="I372" s="9">
        <v>0</v>
      </c>
      <c r="J372" s="38" t="str">
        <f>CHOOSE(Table1[[#This Row],[Weekday]]+1,"Sunday","Monday","Tuesday","Wednesday","Thursday","Friday","Saturday")</f>
        <v>Sunday</v>
      </c>
      <c r="K372" s="9">
        <v>1</v>
      </c>
      <c r="L372" s="38" t="str">
        <f>IF(Table1[[#This Row],[Weather_code]]=1,"Clear",IF(Table1[[#This Row],[Weather_code]]=2,"Cloudy",IF(Table1[[#This Row],[Weather_code]]=3,"Light Rain",IF(Table1[[#This Row],[Weather_code]]=4,"Heavy Rain"))))</f>
        <v>Clear</v>
      </c>
      <c r="M372" s="10">
        <v>0.18</v>
      </c>
      <c r="N372" s="11" t="str">
        <f t="shared" si="16"/>
        <v>Winter</v>
      </c>
      <c r="O372" s="11" t="str">
        <f t="shared" si="17"/>
        <v>Weekend</v>
      </c>
      <c r="P372" s="11">
        <f>VLOOKUP(A372,[1]Sheet1!$A:$H,2, FALSE)</f>
        <v>0.19700000000000001</v>
      </c>
      <c r="Q372" s="40">
        <f>Table1[[#This Row],[A_Temperature]]*41</f>
        <v>8.077</v>
      </c>
      <c r="R372" s="11">
        <f>VLOOKUP(A372,[1]Sheet1!$A:$G,3,FALSE)</f>
        <v>0.47</v>
      </c>
      <c r="S372" s="11">
        <f>VLOOKUP(A372,[1]Sheet1!$A:$G,4,FALSE)</f>
        <v>0.1343</v>
      </c>
      <c r="T372" s="11">
        <f>VLOOKUP(A372,[1]Sheet1!$A:$G,5,FALSE)</f>
        <v>14</v>
      </c>
      <c r="U372" s="11">
        <f>VLOOKUP(A372,[1]Sheet1!$A:$G,6,FALSE)</f>
        <v>47</v>
      </c>
      <c r="V372" s="18">
        <f>VLOOKUP(A372,[1]Sheet1!$A:$G,7,FALSE)</f>
        <v>61</v>
      </c>
    </row>
    <row r="373" spans="1:22" s="13" customFormat="1" ht="30" customHeight="1">
      <c r="A373" s="17">
        <v>369</v>
      </c>
      <c r="B373" s="14">
        <v>40559</v>
      </c>
      <c r="C373" s="8" t="str">
        <f t="shared" si="18"/>
        <v>Sunday</v>
      </c>
      <c r="D373" s="9">
        <v>1</v>
      </c>
      <c r="E373" s="9">
        <v>0</v>
      </c>
      <c r="F373" s="9">
        <v>1</v>
      </c>
      <c r="G373" s="7">
        <v>20</v>
      </c>
      <c r="H373" s="9" t="b">
        <v>0</v>
      </c>
      <c r="I373" s="9">
        <v>0</v>
      </c>
      <c r="J373" s="38" t="str">
        <f>CHOOSE(Table1[[#This Row],[Weekday]]+1,"Sunday","Monday","Tuesday","Wednesday","Thursday","Friday","Saturday")</f>
        <v>Sunday</v>
      </c>
      <c r="K373" s="9">
        <v>1</v>
      </c>
      <c r="L373" s="38" t="str">
        <f>IF(Table1[[#This Row],[Weather_code]]=1,"Clear",IF(Table1[[#This Row],[Weather_code]]=2,"Cloudy",IF(Table1[[#This Row],[Weather_code]]=3,"Light Rain",IF(Table1[[#This Row],[Weather_code]]=4,"Heavy Rain"))))</f>
        <v>Clear</v>
      </c>
      <c r="M373" s="10">
        <v>0.18</v>
      </c>
      <c r="N373" s="11" t="str">
        <f t="shared" si="16"/>
        <v>Winter</v>
      </c>
      <c r="O373" s="11" t="str">
        <f t="shared" si="17"/>
        <v>Weekend</v>
      </c>
      <c r="P373" s="11">
        <f>VLOOKUP(A373,[1]Sheet1!$A:$H,2, FALSE)</f>
        <v>0.19700000000000001</v>
      </c>
      <c r="Q373" s="40">
        <f>Table1[[#This Row],[A_Temperature]]*41</f>
        <v>8.077</v>
      </c>
      <c r="R373" s="11">
        <f>VLOOKUP(A373,[1]Sheet1!$A:$G,3,FALSE)</f>
        <v>0.47</v>
      </c>
      <c r="S373" s="11">
        <f>VLOOKUP(A373,[1]Sheet1!$A:$G,4,FALSE)</f>
        <v>0.16420000000000001</v>
      </c>
      <c r="T373" s="11">
        <f>VLOOKUP(A373,[1]Sheet1!$A:$G,5,FALSE)</f>
        <v>7</v>
      </c>
      <c r="U373" s="11">
        <f>VLOOKUP(A373,[1]Sheet1!$A:$G,6,FALSE)</f>
        <v>50</v>
      </c>
      <c r="V373" s="18">
        <f>VLOOKUP(A373,[1]Sheet1!$A:$G,7,FALSE)</f>
        <v>57</v>
      </c>
    </row>
    <row r="374" spans="1:22" s="13" customFormat="1" ht="30" customHeight="1">
      <c r="A374" s="17">
        <v>370</v>
      </c>
      <c r="B374" s="14">
        <v>40559</v>
      </c>
      <c r="C374" s="8" t="str">
        <f t="shared" si="18"/>
        <v>Sunday</v>
      </c>
      <c r="D374" s="9">
        <v>1</v>
      </c>
      <c r="E374" s="9">
        <v>0</v>
      </c>
      <c r="F374" s="9">
        <v>1</v>
      </c>
      <c r="G374" s="7">
        <v>21</v>
      </c>
      <c r="H374" s="9" t="b">
        <v>0</v>
      </c>
      <c r="I374" s="9">
        <v>0</v>
      </c>
      <c r="J374" s="38" t="str">
        <f>CHOOSE(Table1[[#This Row],[Weekday]]+1,"Sunday","Monday","Tuesday","Wednesday","Thursday","Friday","Saturday")</f>
        <v>Sunday</v>
      </c>
      <c r="K374" s="9">
        <v>1</v>
      </c>
      <c r="L374" s="38" t="str">
        <f>IF(Table1[[#This Row],[Weather_code]]=1,"Clear",IF(Table1[[#This Row],[Weather_code]]=2,"Cloudy",IF(Table1[[#This Row],[Weather_code]]=3,"Light Rain",IF(Table1[[#This Row],[Weather_code]]=4,"Heavy Rain"))))</f>
        <v>Clear</v>
      </c>
      <c r="M374" s="10">
        <v>0.18</v>
      </c>
      <c r="N374" s="11" t="str">
        <f t="shared" si="16"/>
        <v>Winter</v>
      </c>
      <c r="O374" s="11" t="str">
        <f t="shared" si="17"/>
        <v>Weekend</v>
      </c>
      <c r="P374" s="11">
        <f>VLOOKUP(A374,[1]Sheet1!$A:$H,2, FALSE)</f>
        <v>0.19700000000000001</v>
      </c>
      <c r="Q374" s="40">
        <f>Table1[[#This Row],[A_Temperature]]*41</f>
        <v>8.077</v>
      </c>
      <c r="R374" s="11">
        <f>VLOOKUP(A374,[1]Sheet1!$A:$G,3,FALSE)</f>
        <v>0.51</v>
      </c>
      <c r="S374" s="11">
        <f>VLOOKUP(A374,[1]Sheet1!$A:$G,4,FALSE)</f>
        <v>0.16420000000000001</v>
      </c>
      <c r="T374" s="11">
        <f>VLOOKUP(A374,[1]Sheet1!$A:$G,5,FALSE)</f>
        <v>6</v>
      </c>
      <c r="U374" s="11">
        <f>VLOOKUP(A374,[1]Sheet1!$A:$G,6,FALSE)</f>
        <v>22</v>
      </c>
      <c r="V374" s="18">
        <f>VLOOKUP(A374,[1]Sheet1!$A:$G,7,FALSE)</f>
        <v>28</v>
      </c>
    </row>
    <row r="375" spans="1:22" s="13" customFormat="1" ht="30" customHeight="1">
      <c r="A375" s="17">
        <v>371</v>
      </c>
      <c r="B375" s="14">
        <v>40559</v>
      </c>
      <c r="C375" s="8" t="str">
        <f t="shared" si="18"/>
        <v>Sunday</v>
      </c>
      <c r="D375" s="9">
        <v>1</v>
      </c>
      <c r="E375" s="9">
        <v>0</v>
      </c>
      <c r="F375" s="9">
        <v>1</v>
      </c>
      <c r="G375" s="7">
        <v>22</v>
      </c>
      <c r="H375" s="9" t="b">
        <v>0</v>
      </c>
      <c r="I375" s="9">
        <v>0</v>
      </c>
      <c r="J375" s="38" t="str">
        <f>CHOOSE(Table1[[#This Row],[Weekday]]+1,"Sunday","Monday","Tuesday","Wednesday","Thursday","Friday","Saturday")</f>
        <v>Sunday</v>
      </c>
      <c r="K375" s="9">
        <v>2</v>
      </c>
      <c r="L375" s="38" t="str">
        <f>IF(Table1[[#This Row],[Weather_code]]=1,"Clear",IF(Table1[[#This Row],[Weather_code]]=2,"Cloudy",IF(Table1[[#This Row],[Weather_code]]=3,"Light Rain",IF(Table1[[#This Row],[Weather_code]]=4,"Heavy Rain"))))</f>
        <v>Cloudy</v>
      </c>
      <c r="M375" s="10">
        <v>0.2</v>
      </c>
      <c r="N375" s="11" t="str">
        <f t="shared" si="16"/>
        <v>Winter</v>
      </c>
      <c r="O375" s="11" t="str">
        <f t="shared" si="17"/>
        <v>Weekend</v>
      </c>
      <c r="P375" s="11">
        <f>VLOOKUP(A375,[1]Sheet1!$A:$H,2, FALSE)</f>
        <v>0.21210000000000001</v>
      </c>
      <c r="Q375" s="40">
        <f>Table1[[#This Row],[A_Temperature]]*41</f>
        <v>8.6961000000000013</v>
      </c>
      <c r="R375" s="11">
        <f>VLOOKUP(A375,[1]Sheet1!$A:$G,3,FALSE)</f>
        <v>0.49</v>
      </c>
      <c r="S375" s="11">
        <f>VLOOKUP(A375,[1]Sheet1!$A:$G,4,FALSE)</f>
        <v>0.1343</v>
      </c>
      <c r="T375" s="11">
        <f>VLOOKUP(A375,[1]Sheet1!$A:$G,5,FALSE)</f>
        <v>2</v>
      </c>
      <c r="U375" s="11">
        <f>VLOOKUP(A375,[1]Sheet1!$A:$G,6,FALSE)</f>
        <v>19</v>
      </c>
      <c r="V375" s="18">
        <f>VLOOKUP(A375,[1]Sheet1!$A:$G,7,FALSE)</f>
        <v>21</v>
      </c>
    </row>
    <row r="376" spans="1:22" s="13" customFormat="1" ht="30" customHeight="1">
      <c r="A376" s="17">
        <v>372</v>
      </c>
      <c r="B376" s="14">
        <v>40559</v>
      </c>
      <c r="C376" s="8" t="str">
        <f t="shared" si="18"/>
        <v>Sunday</v>
      </c>
      <c r="D376" s="9">
        <v>1</v>
      </c>
      <c r="E376" s="9">
        <v>0</v>
      </c>
      <c r="F376" s="9">
        <v>1</v>
      </c>
      <c r="G376" s="7">
        <v>23</v>
      </c>
      <c r="H376" s="9" t="b">
        <v>0</v>
      </c>
      <c r="I376" s="9">
        <v>0</v>
      </c>
      <c r="J376" s="38" t="str">
        <f>CHOOSE(Table1[[#This Row],[Weekday]]+1,"Sunday","Monday","Tuesday","Wednesday","Thursday","Friday","Saturday")</f>
        <v>Sunday</v>
      </c>
      <c r="K376" s="9">
        <v>2</v>
      </c>
      <c r="L376" s="38" t="str">
        <f>IF(Table1[[#This Row],[Weather_code]]=1,"Clear",IF(Table1[[#This Row],[Weather_code]]=2,"Cloudy",IF(Table1[[#This Row],[Weather_code]]=3,"Light Rain",IF(Table1[[#This Row],[Weather_code]]=4,"Heavy Rain"))))</f>
        <v>Cloudy</v>
      </c>
      <c r="M376" s="10">
        <v>0.2</v>
      </c>
      <c r="N376" s="11" t="str">
        <f t="shared" si="16"/>
        <v>Winter</v>
      </c>
      <c r="O376" s="11" t="str">
        <f t="shared" si="17"/>
        <v>Weekend</v>
      </c>
      <c r="P376" s="11">
        <f>VLOOKUP(A376,[1]Sheet1!$A:$H,2, FALSE)</f>
        <v>0.2273</v>
      </c>
      <c r="Q376" s="40">
        <f>Table1[[#This Row],[A_Temperature]]*41</f>
        <v>9.3193000000000001</v>
      </c>
      <c r="R376" s="11">
        <f>VLOOKUP(A376,[1]Sheet1!$A:$G,3,FALSE)</f>
        <v>0.4</v>
      </c>
      <c r="S376" s="11">
        <f>VLOOKUP(A376,[1]Sheet1!$A:$G,4,FALSE)</f>
        <v>0.1045</v>
      </c>
      <c r="T376" s="11">
        <f>VLOOKUP(A376,[1]Sheet1!$A:$G,5,FALSE)</f>
        <v>0</v>
      </c>
      <c r="U376" s="11">
        <f>VLOOKUP(A376,[1]Sheet1!$A:$G,6,FALSE)</f>
        <v>18</v>
      </c>
      <c r="V376" s="18">
        <f>VLOOKUP(A376,[1]Sheet1!$A:$G,7,FALSE)</f>
        <v>18</v>
      </c>
    </row>
    <row r="377" spans="1:22" s="13" customFormat="1" ht="30" customHeight="1">
      <c r="A377" s="17">
        <v>373</v>
      </c>
      <c r="B377" s="14">
        <v>40560</v>
      </c>
      <c r="C377" s="8" t="str">
        <f t="shared" si="18"/>
        <v>Monday</v>
      </c>
      <c r="D377" s="9">
        <v>1</v>
      </c>
      <c r="E377" s="9">
        <v>0</v>
      </c>
      <c r="F377" s="9">
        <v>1</v>
      </c>
      <c r="G377" s="7">
        <v>0</v>
      </c>
      <c r="H377" s="9" t="b">
        <v>1</v>
      </c>
      <c r="I377" s="9">
        <v>1</v>
      </c>
      <c r="J377" s="38" t="str">
        <f>CHOOSE(Table1[[#This Row],[Weekday]]+1,"Sunday","Monday","Tuesday","Wednesday","Thursday","Friday","Saturday")</f>
        <v>Monday</v>
      </c>
      <c r="K377" s="9">
        <v>2</v>
      </c>
      <c r="L377" s="38" t="str">
        <f>IF(Table1[[#This Row],[Weather_code]]=1,"Clear",IF(Table1[[#This Row],[Weather_code]]=2,"Cloudy",IF(Table1[[#This Row],[Weather_code]]=3,"Light Rain",IF(Table1[[#This Row],[Weather_code]]=4,"Heavy Rain"))))</f>
        <v>Cloudy</v>
      </c>
      <c r="M377" s="10">
        <v>0.2</v>
      </c>
      <c r="N377" s="11" t="str">
        <f t="shared" si="16"/>
        <v>Winter</v>
      </c>
      <c r="O377" s="11" t="str">
        <f t="shared" si="17"/>
        <v>Weekday</v>
      </c>
      <c r="P377" s="11">
        <f>VLOOKUP(A377,[1]Sheet1!$A:$H,2, FALSE)</f>
        <v>0.19700000000000001</v>
      </c>
      <c r="Q377" s="40">
        <f>Table1[[#This Row],[A_Temperature]]*41</f>
        <v>8.077</v>
      </c>
      <c r="R377" s="11">
        <f>VLOOKUP(A377,[1]Sheet1!$A:$G,3,FALSE)</f>
        <v>0.47</v>
      </c>
      <c r="S377" s="11">
        <f>VLOOKUP(A377,[1]Sheet1!$A:$G,4,FALSE)</f>
        <v>0.22389999999999999</v>
      </c>
      <c r="T377" s="11">
        <f>VLOOKUP(A377,[1]Sheet1!$A:$G,5,FALSE)</f>
        <v>1</v>
      </c>
      <c r="U377" s="11">
        <f>VLOOKUP(A377,[1]Sheet1!$A:$G,6,FALSE)</f>
        <v>16</v>
      </c>
      <c r="V377" s="18">
        <f>VLOOKUP(A377,[1]Sheet1!$A:$G,7,FALSE)</f>
        <v>17</v>
      </c>
    </row>
    <row r="378" spans="1:22" s="13" customFormat="1" ht="30" customHeight="1">
      <c r="A378" s="17">
        <v>374</v>
      </c>
      <c r="B378" s="14">
        <v>40560</v>
      </c>
      <c r="C378" s="8" t="str">
        <f t="shared" si="18"/>
        <v>Monday</v>
      </c>
      <c r="D378" s="9">
        <v>1</v>
      </c>
      <c r="E378" s="9">
        <v>0</v>
      </c>
      <c r="F378" s="9">
        <v>1</v>
      </c>
      <c r="G378" s="7">
        <v>1</v>
      </c>
      <c r="H378" s="9" t="b">
        <v>1</v>
      </c>
      <c r="I378" s="9">
        <v>1</v>
      </c>
      <c r="J378" s="38" t="str">
        <f>CHOOSE(Table1[[#This Row],[Weekday]]+1,"Sunday","Monday","Tuesday","Wednesday","Thursday","Friday","Saturday")</f>
        <v>Monday</v>
      </c>
      <c r="K378" s="9">
        <v>2</v>
      </c>
      <c r="L378" s="38" t="str">
        <f>IF(Table1[[#This Row],[Weather_code]]=1,"Clear",IF(Table1[[#This Row],[Weather_code]]=2,"Cloudy",IF(Table1[[#This Row],[Weather_code]]=3,"Light Rain",IF(Table1[[#This Row],[Weather_code]]=4,"Heavy Rain"))))</f>
        <v>Cloudy</v>
      </c>
      <c r="M378" s="10">
        <v>0.2</v>
      </c>
      <c r="N378" s="11" t="str">
        <f t="shared" si="16"/>
        <v>Winter</v>
      </c>
      <c r="O378" s="11" t="str">
        <f t="shared" si="17"/>
        <v>Weekday</v>
      </c>
      <c r="P378" s="11">
        <f>VLOOKUP(A378,[1]Sheet1!$A:$H,2, FALSE)</f>
        <v>0.19700000000000001</v>
      </c>
      <c r="Q378" s="40">
        <f>Table1[[#This Row],[A_Temperature]]*41</f>
        <v>8.077</v>
      </c>
      <c r="R378" s="11">
        <f>VLOOKUP(A378,[1]Sheet1!$A:$G,3,FALSE)</f>
        <v>0.44</v>
      </c>
      <c r="S378" s="11">
        <f>VLOOKUP(A378,[1]Sheet1!$A:$G,4,FALSE)</f>
        <v>0.19400000000000001</v>
      </c>
      <c r="T378" s="11">
        <f>VLOOKUP(A378,[1]Sheet1!$A:$G,5,FALSE)</f>
        <v>1</v>
      </c>
      <c r="U378" s="11">
        <f>VLOOKUP(A378,[1]Sheet1!$A:$G,6,FALSE)</f>
        <v>15</v>
      </c>
      <c r="V378" s="18">
        <f>VLOOKUP(A378,[1]Sheet1!$A:$G,7,FALSE)</f>
        <v>16</v>
      </c>
    </row>
    <row r="379" spans="1:22" s="13" customFormat="1" ht="30" customHeight="1">
      <c r="A379" s="17">
        <v>375</v>
      </c>
      <c r="B379" s="14">
        <v>40560</v>
      </c>
      <c r="C379" s="8" t="str">
        <f t="shared" si="18"/>
        <v>Monday</v>
      </c>
      <c r="D379" s="9">
        <v>1</v>
      </c>
      <c r="E379" s="9">
        <v>0</v>
      </c>
      <c r="F379" s="9">
        <v>1</v>
      </c>
      <c r="G379" s="7">
        <v>2</v>
      </c>
      <c r="H379" s="9" t="b">
        <v>1</v>
      </c>
      <c r="I379" s="9">
        <v>1</v>
      </c>
      <c r="J379" s="38" t="str">
        <f>CHOOSE(Table1[[#This Row],[Weekday]]+1,"Sunday","Monday","Tuesday","Wednesday","Thursday","Friday","Saturday")</f>
        <v>Monday</v>
      </c>
      <c r="K379" s="9">
        <v>2</v>
      </c>
      <c r="L379" s="38" t="str">
        <f>IF(Table1[[#This Row],[Weather_code]]=1,"Clear",IF(Table1[[#This Row],[Weather_code]]=2,"Cloudy",IF(Table1[[#This Row],[Weather_code]]=3,"Light Rain",IF(Table1[[#This Row],[Weather_code]]=4,"Heavy Rain"))))</f>
        <v>Cloudy</v>
      </c>
      <c r="M379" s="10">
        <v>0.18</v>
      </c>
      <c r="N379" s="11" t="str">
        <f t="shared" si="16"/>
        <v>Winter</v>
      </c>
      <c r="O379" s="11" t="str">
        <f t="shared" si="17"/>
        <v>Weekday</v>
      </c>
      <c r="P379" s="11">
        <f>VLOOKUP(A379,[1]Sheet1!$A:$H,2, FALSE)</f>
        <v>0.16669999999999999</v>
      </c>
      <c r="Q379" s="40">
        <f>Table1[[#This Row],[A_Temperature]]*41</f>
        <v>6.8346999999999998</v>
      </c>
      <c r="R379" s="11">
        <f>VLOOKUP(A379,[1]Sheet1!$A:$G,3,FALSE)</f>
        <v>0.43</v>
      </c>
      <c r="S379" s="11">
        <f>VLOOKUP(A379,[1]Sheet1!$A:$G,4,FALSE)</f>
        <v>0.25369999999999998</v>
      </c>
      <c r="T379" s="11">
        <f>VLOOKUP(A379,[1]Sheet1!$A:$G,5,FALSE)</f>
        <v>0</v>
      </c>
      <c r="U379" s="11">
        <f>VLOOKUP(A379,[1]Sheet1!$A:$G,6,FALSE)</f>
        <v>8</v>
      </c>
      <c r="V379" s="18">
        <f>VLOOKUP(A379,[1]Sheet1!$A:$G,7,FALSE)</f>
        <v>8</v>
      </c>
    </row>
    <row r="380" spans="1:22" s="13" customFormat="1" ht="30" customHeight="1">
      <c r="A380" s="17">
        <v>376</v>
      </c>
      <c r="B380" s="14">
        <v>40560</v>
      </c>
      <c r="C380" s="8" t="str">
        <f t="shared" si="18"/>
        <v>Monday</v>
      </c>
      <c r="D380" s="9">
        <v>1</v>
      </c>
      <c r="E380" s="9">
        <v>0</v>
      </c>
      <c r="F380" s="9">
        <v>1</v>
      </c>
      <c r="G380" s="7">
        <v>3</v>
      </c>
      <c r="H380" s="9" t="b">
        <v>1</v>
      </c>
      <c r="I380" s="9">
        <v>1</v>
      </c>
      <c r="J380" s="38" t="str">
        <f>CHOOSE(Table1[[#This Row],[Weekday]]+1,"Sunday","Monday","Tuesday","Wednesday","Thursday","Friday","Saturday")</f>
        <v>Monday</v>
      </c>
      <c r="K380" s="9">
        <v>2</v>
      </c>
      <c r="L380" s="38" t="str">
        <f>IF(Table1[[#This Row],[Weather_code]]=1,"Clear",IF(Table1[[#This Row],[Weather_code]]=2,"Cloudy",IF(Table1[[#This Row],[Weather_code]]=3,"Light Rain",IF(Table1[[#This Row],[Weather_code]]=4,"Heavy Rain"))))</f>
        <v>Cloudy</v>
      </c>
      <c r="M380" s="10">
        <v>0.18</v>
      </c>
      <c r="N380" s="11" t="str">
        <f t="shared" si="16"/>
        <v>Winter</v>
      </c>
      <c r="O380" s="11" t="str">
        <f t="shared" si="17"/>
        <v>Weekday</v>
      </c>
      <c r="P380" s="11">
        <f>VLOOKUP(A380,[1]Sheet1!$A:$H,2, FALSE)</f>
        <v>0.18179999999999999</v>
      </c>
      <c r="Q380" s="40">
        <f>Table1[[#This Row],[A_Temperature]]*41</f>
        <v>7.4537999999999993</v>
      </c>
      <c r="R380" s="11">
        <f>VLOOKUP(A380,[1]Sheet1!$A:$G,3,FALSE)</f>
        <v>0.43</v>
      </c>
      <c r="S380" s="11">
        <f>VLOOKUP(A380,[1]Sheet1!$A:$G,4,FALSE)</f>
        <v>0.19400000000000001</v>
      </c>
      <c r="T380" s="11">
        <f>VLOOKUP(A380,[1]Sheet1!$A:$G,5,FALSE)</f>
        <v>0</v>
      </c>
      <c r="U380" s="11">
        <f>VLOOKUP(A380,[1]Sheet1!$A:$G,6,FALSE)</f>
        <v>2</v>
      </c>
      <c r="V380" s="18">
        <f>VLOOKUP(A380,[1]Sheet1!$A:$G,7,FALSE)</f>
        <v>2</v>
      </c>
    </row>
    <row r="381" spans="1:22" s="13" customFormat="1" ht="30" customHeight="1">
      <c r="A381" s="17">
        <v>377</v>
      </c>
      <c r="B381" s="14">
        <v>40560</v>
      </c>
      <c r="C381" s="8" t="str">
        <f t="shared" si="18"/>
        <v>Monday</v>
      </c>
      <c r="D381" s="9">
        <v>1</v>
      </c>
      <c r="E381" s="9">
        <v>0</v>
      </c>
      <c r="F381" s="9">
        <v>1</v>
      </c>
      <c r="G381" s="7">
        <v>4</v>
      </c>
      <c r="H381" s="9" t="b">
        <v>1</v>
      </c>
      <c r="I381" s="9">
        <v>1</v>
      </c>
      <c r="J381" s="38" t="str">
        <f>CHOOSE(Table1[[#This Row],[Weekday]]+1,"Sunday","Monday","Tuesday","Wednesday","Thursday","Friday","Saturday")</f>
        <v>Monday</v>
      </c>
      <c r="K381" s="9">
        <v>2</v>
      </c>
      <c r="L381" s="38" t="str">
        <f>IF(Table1[[#This Row],[Weather_code]]=1,"Clear",IF(Table1[[#This Row],[Weather_code]]=2,"Cloudy",IF(Table1[[#This Row],[Weather_code]]=3,"Light Rain",IF(Table1[[#This Row],[Weather_code]]=4,"Heavy Rain"))))</f>
        <v>Cloudy</v>
      </c>
      <c r="M381" s="10">
        <v>0.18</v>
      </c>
      <c r="N381" s="11" t="str">
        <f t="shared" si="16"/>
        <v>Winter</v>
      </c>
      <c r="O381" s="11" t="str">
        <f t="shared" si="17"/>
        <v>Weekday</v>
      </c>
      <c r="P381" s="11">
        <f>VLOOKUP(A381,[1]Sheet1!$A:$H,2, FALSE)</f>
        <v>0.19700000000000001</v>
      </c>
      <c r="Q381" s="40">
        <f>Table1[[#This Row],[A_Temperature]]*41</f>
        <v>8.077</v>
      </c>
      <c r="R381" s="11">
        <f>VLOOKUP(A381,[1]Sheet1!$A:$G,3,FALSE)</f>
        <v>0.43</v>
      </c>
      <c r="S381" s="11">
        <f>VLOOKUP(A381,[1]Sheet1!$A:$G,4,FALSE)</f>
        <v>0.1343</v>
      </c>
      <c r="T381" s="11">
        <f>VLOOKUP(A381,[1]Sheet1!$A:$G,5,FALSE)</f>
        <v>1</v>
      </c>
      <c r="U381" s="11">
        <f>VLOOKUP(A381,[1]Sheet1!$A:$G,6,FALSE)</f>
        <v>2</v>
      </c>
      <c r="V381" s="18">
        <f>VLOOKUP(A381,[1]Sheet1!$A:$G,7,FALSE)</f>
        <v>3</v>
      </c>
    </row>
    <row r="382" spans="1:22" s="13" customFormat="1" ht="30" customHeight="1">
      <c r="A382" s="17">
        <v>378</v>
      </c>
      <c r="B382" s="14">
        <v>40560</v>
      </c>
      <c r="C382" s="8" t="str">
        <f t="shared" si="18"/>
        <v>Monday</v>
      </c>
      <c r="D382" s="9">
        <v>1</v>
      </c>
      <c r="E382" s="9">
        <v>0</v>
      </c>
      <c r="F382" s="9">
        <v>1</v>
      </c>
      <c r="G382" s="7">
        <v>5</v>
      </c>
      <c r="H382" s="9" t="b">
        <v>1</v>
      </c>
      <c r="I382" s="9">
        <v>1</v>
      </c>
      <c r="J382" s="38" t="str">
        <f>CHOOSE(Table1[[#This Row],[Weekday]]+1,"Sunday","Monday","Tuesday","Wednesday","Thursday","Friday","Saturday")</f>
        <v>Monday</v>
      </c>
      <c r="K382" s="9">
        <v>2</v>
      </c>
      <c r="L382" s="38" t="str">
        <f>IF(Table1[[#This Row],[Weather_code]]=1,"Clear",IF(Table1[[#This Row],[Weather_code]]=2,"Cloudy",IF(Table1[[#This Row],[Weather_code]]=3,"Light Rain",IF(Table1[[#This Row],[Weather_code]]=4,"Heavy Rain"))))</f>
        <v>Cloudy</v>
      </c>
      <c r="M382" s="10">
        <v>0.18</v>
      </c>
      <c r="N382" s="11" t="str">
        <f t="shared" si="16"/>
        <v>Winter</v>
      </c>
      <c r="O382" s="11" t="str">
        <f t="shared" si="17"/>
        <v>Weekday</v>
      </c>
      <c r="P382" s="11">
        <f>VLOOKUP(A382,[1]Sheet1!$A:$H,2, FALSE)</f>
        <v>0.19700000000000001</v>
      </c>
      <c r="Q382" s="40">
        <f>Table1[[#This Row],[A_Temperature]]*41</f>
        <v>8.077</v>
      </c>
      <c r="R382" s="11">
        <f>VLOOKUP(A382,[1]Sheet1!$A:$G,3,FALSE)</f>
        <v>0.43</v>
      </c>
      <c r="S382" s="11">
        <f>VLOOKUP(A382,[1]Sheet1!$A:$G,4,FALSE)</f>
        <v>0.16420000000000001</v>
      </c>
      <c r="T382" s="11">
        <f>VLOOKUP(A382,[1]Sheet1!$A:$G,5,FALSE)</f>
        <v>0</v>
      </c>
      <c r="U382" s="11">
        <f>VLOOKUP(A382,[1]Sheet1!$A:$G,6,FALSE)</f>
        <v>1</v>
      </c>
      <c r="V382" s="18">
        <f>VLOOKUP(A382,[1]Sheet1!$A:$G,7,FALSE)</f>
        <v>1</v>
      </c>
    </row>
    <row r="383" spans="1:22" s="13" customFormat="1" ht="30" customHeight="1">
      <c r="A383" s="17">
        <v>379</v>
      </c>
      <c r="B383" s="14">
        <v>40560</v>
      </c>
      <c r="C383" s="8" t="str">
        <f t="shared" si="18"/>
        <v>Monday</v>
      </c>
      <c r="D383" s="9">
        <v>1</v>
      </c>
      <c r="E383" s="9">
        <v>0</v>
      </c>
      <c r="F383" s="9">
        <v>1</v>
      </c>
      <c r="G383" s="7">
        <v>6</v>
      </c>
      <c r="H383" s="9" t="b">
        <v>1</v>
      </c>
      <c r="I383" s="9">
        <v>1</v>
      </c>
      <c r="J383" s="38" t="str">
        <f>CHOOSE(Table1[[#This Row],[Weekday]]+1,"Sunday","Monday","Tuesday","Wednesday","Thursday","Friday","Saturday")</f>
        <v>Monday</v>
      </c>
      <c r="K383" s="9">
        <v>2</v>
      </c>
      <c r="L383" s="38" t="str">
        <f>IF(Table1[[#This Row],[Weather_code]]=1,"Clear",IF(Table1[[#This Row],[Weather_code]]=2,"Cloudy",IF(Table1[[#This Row],[Weather_code]]=3,"Light Rain",IF(Table1[[#This Row],[Weather_code]]=4,"Heavy Rain"))))</f>
        <v>Cloudy</v>
      </c>
      <c r="M383" s="10">
        <v>0.18</v>
      </c>
      <c r="N383" s="11" t="str">
        <f t="shared" si="16"/>
        <v>Winter</v>
      </c>
      <c r="O383" s="11" t="str">
        <f t="shared" si="17"/>
        <v>Weekday</v>
      </c>
      <c r="P383" s="11">
        <f>VLOOKUP(A383,[1]Sheet1!$A:$H,2, FALSE)</f>
        <v>0.18179999999999999</v>
      </c>
      <c r="Q383" s="40">
        <f>Table1[[#This Row],[A_Temperature]]*41</f>
        <v>7.4537999999999993</v>
      </c>
      <c r="R383" s="11">
        <f>VLOOKUP(A383,[1]Sheet1!$A:$G,3,FALSE)</f>
        <v>0.43</v>
      </c>
      <c r="S383" s="11">
        <f>VLOOKUP(A383,[1]Sheet1!$A:$G,4,FALSE)</f>
        <v>0.19400000000000001</v>
      </c>
      <c r="T383" s="11">
        <f>VLOOKUP(A383,[1]Sheet1!$A:$G,5,FALSE)</f>
        <v>0</v>
      </c>
      <c r="U383" s="11">
        <f>VLOOKUP(A383,[1]Sheet1!$A:$G,6,FALSE)</f>
        <v>5</v>
      </c>
      <c r="V383" s="18">
        <f>VLOOKUP(A383,[1]Sheet1!$A:$G,7,FALSE)</f>
        <v>5</v>
      </c>
    </row>
    <row r="384" spans="1:22" s="13" customFormat="1" ht="30" customHeight="1">
      <c r="A384" s="17">
        <v>380</v>
      </c>
      <c r="B384" s="14">
        <v>40560</v>
      </c>
      <c r="C384" s="8" t="str">
        <f t="shared" si="18"/>
        <v>Monday</v>
      </c>
      <c r="D384" s="9">
        <v>1</v>
      </c>
      <c r="E384" s="9">
        <v>0</v>
      </c>
      <c r="F384" s="9">
        <v>1</v>
      </c>
      <c r="G384" s="7">
        <v>7</v>
      </c>
      <c r="H384" s="9" t="b">
        <v>1</v>
      </c>
      <c r="I384" s="9">
        <v>1</v>
      </c>
      <c r="J384" s="38" t="str">
        <f>CHOOSE(Table1[[#This Row],[Weekday]]+1,"Sunday","Monday","Tuesday","Wednesday","Thursday","Friday","Saturday")</f>
        <v>Monday</v>
      </c>
      <c r="K384" s="9">
        <v>2</v>
      </c>
      <c r="L384" s="38" t="str">
        <f>IF(Table1[[#This Row],[Weather_code]]=1,"Clear",IF(Table1[[#This Row],[Weather_code]]=2,"Cloudy",IF(Table1[[#This Row],[Weather_code]]=3,"Light Rain",IF(Table1[[#This Row],[Weather_code]]=4,"Heavy Rain"))))</f>
        <v>Cloudy</v>
      </c>
      <c r="M384" s="10">
        <v>0.16</v>
      </c>
      <c r="N384" s="11" t="str">
        <f t="shared" si="16"/>
        <v>Winter</v>
      </c>
      <c r="O384" s="11" t="str">
        <f t="shared" si="17"/>
        <v>Weekday</v>
      </c>
      <c r="P384" s="11">
        <f>VLOOKUP(A384,[1]Sheet1!$A:$H,2, FALSE)</f>
        <v>0.18179999999999999</v>
      </c>
      <c r="Q384" s="40">
        <f>Table1[[#This Row],[A_Temperature]]*41</f>
        <v>7.4537999999999993</v>
      </c>
      <c r="R384" s="11">
        <f>VLOOKUP(A384,[1]Sheet1!$A:$G,3,FALSE)</f>
        <v>0.5</v>
      </c>
      <c r="S384" s="11">
        <f>VLOOKUP(A384,[1]Sheet1!$A:$G,4,FALSE)</f>
        <v>0.1343</v>
      </c>
      <c r="T384" s="11">
        <f>VLOOKUP(A384,[1]Sheet1!$A:$G,5,FALSE)</f>
        <v>4</v>
      </c>
      <c r="U384" s="11">
        <f>VLOOKUP(A384,[1]Sheet1!$A:$G,6,FALSE)</f>
        <v>9</v>
      </c>
      <c r="V384" s="18">
        <f>VLOOKUP(A384,[1]Sheet1!$A:$G,7,FALSE)</f>
        <v>13</v>
      </c>
    </row>
    <row r="385" spans="1:22" s="13" customFormat="1" ht="30" customHeight="1">
      <c r="A385" s="17">
        <v>381</v>
      </c>
      <c r="B385" s="14">
        <v>40560</v>
      </c>
      <c r="C385" s="8" t="str">
        <f t="shared" si="18"/>
        <v>Monday</v>
      </c>
      <c r="D385" s="9">
        <v>1</v>
      </c>
      <c r="E385" s="9">
        <v>0</v>
      </c>
      <c r="F385" s="9">
        <v>1</v>
      </c>
      <c r="G385" s="7">
        <v>8</v>
      </c>
      <c r="H385" s="9" t="b">
        <v>1</v>
      </c>
      <c r="I385" s="9">
        <v>1</v>
      </c>
      <c r="J385" s="38" t="str">
        <f>CHOOSE(Table1[[#This Row],[Weekday]]+1,"Sunday","Monday","Tuesday","Wednesday","Thursday","Friday","Saturday")</f>
        <v>Monday</v>
      </c>
      <c r="K385" s="9">
        <v>2</v>
      </c>
      <c r="L385" s="38" t="str">
        <f>IF(Table1[[#This Row],[Weather_code]]=1,"Clear",IF(Table1[[#This Row],[Weather_code]]=2,"Cloudy",IF(Table1[[#This Row],[Weather_code]]=3,"Light Rain",IF(Table1[[#This Row],[Weather_code]]=4,"Heavy Rain"))))</f>
        <v>Cloudy</v>
      </c>
      <c r="M385" s="10">
        <v>0.16</v>
      </c>
      <c r="N385" s="11" t="str">
        <f t="shared" si="16"/>
        <v>Winter</v>
      </c>
      <c r="O385" s="11" t="str">
        <f t="shared" si="17"/>
        <v>Weekday</v>
      </c>
      <c r="P385" s="11">
        <f>VLOOKUP(A385,[1]Sheet1!$A:$H,2, FALSE)</f>
        <v>0.1515</v>
      </c>
      <c r="Q385" s="40">
        <f>Table1[[#This Row],[A_Temperature]]*41</f>
        <v>6.2115</v>
      </c>
      <c r="R385" s="11">
        <f>VLOOKUP(A385,[1]Sheet1!$A:$G,3,FALSE)</f>
        <v>0.47</v>
      </c>
      <c r="S385" s="11">
        <f>VLOOKUP(A385,[1]Sheet1!$A:$G,4,FALSE)</f>
        <v>0.22389999999999999</v>
      </c>
      <c r="T385" s="11">
        <f>VLOOKUP(A385,[1]Sheet1!$A:$G,5,FALSE)</f>
        <v>3</v>
      </c>
      <c r="U385" s="11">
        <f>VLOOKUP(A385,[1]Sheet1!$A:$G,6,FALSE)</f>
        <v>30</v>
      </c>
      <c r="V385" s="18">
        <f>VLOOKUP(A385,[1]Sheet1!$A:$G,7,FALSE)</f>
        <v>33</v>
      </c>
    </row>
    <row r="386" spans="1:22" s="13" customFormat="1" ht="30" customHeight="1">
      <c r="A386" s="17">
        <v>382</v>
      </c>
      <c r="B386" s="14">
        <v>40560</v>
      </c>
      <c r="C386" s="8" t="str">
        <f t="shared" si="18"/>
        <v>Monday</v>
      </c>
      <c r="D386" s="9">
        <v>1</v>
      </c>
      <c r="E386" s="9">
        <v>0</v>
      </c>
      <c r="F386" s="9">
        <v>1</v>
      </c>
      <c r="G386" s="7">
        <v>9</v>
      </c>
      <c r="H386" s="9" t="b">
        <v>1</v>
      </c>
      <c r="I386" s="9">
        <v>1</v>
      </c>
      <c r="J386" s="38" t="str">
        <f>CHOOSE(Table1[[#This Row],[Weekday]]+1,"Sunday","Monday","Tuesday","Wednesday","Thursday","Friday","Saturday")</f>
        <v>Monday</v>
      </c>
      <c r="K386" s="9">
        <v>2</v>
      </c>
      <c r="L386" s="38" t="str">
        <f>IF(Table1[[#This Row],[Weather_code]]=1,"Clear",IF(Table1[[#This Row],[Weather_code]]=2,"Cloudy",IF(Table1[[#This Row],[Weather_code]]=3,"Light Rain",IF(Table1[[#This Row],[Weather_code]]=4,"Heavy Rain"))))</f>
        <v>Cloudy</v>
      </c>
      <c r="M386" s="10">
        <v>0.16</v>
      </c>
      <c r="N386" s="11" t="str">
        <f t="shared" si="16"/>
        <v>Winter</v>
      </c>
      <c r="O386" s="11" t="str">
        <f t="shared" si="17"/>
        <v>Weekday</v>
      </c>
      <c r="P386" s="11">
        <f>VLOOKUP(A386,[1]Sheet1!$A:$H,2, FALSE)</f>
        <v>0.1515</v>
      </c>
      <c r="Q386" s="40">
        <f>Table1[[#This Row],[A_Temperature]]*41</f>
        <v>6.2115</v>
      </c>
      <c r="R386" s="11">
        <f>VLOOKUP(A386,[1]Sheet1!$A:$G,3,FALSE)</f>
        <v>0.47</v>
      </c>
      <c r="S386" s="11">
        <f>VLOOKUP(A386,[1]Sheet1!$A:$G,4,FALSE)</f>
        <v>0.22389999999999999</v>
      </c>
      <c r="T386" s="11">
        <f>VLOOKUP(A386,[1]Sheet1!$A:$G,5,FALSE)</f>
        <v>8</v>
      </c>
      <c r="U386" s="11">
        <f>VLOOKUP(A386,[1]Sheet1!$A:$G,6,FALSE)</f>
        <v>39</v>
      </c>
      <c r="V386" s="18">
        <f>VLOOKUP(A386,[1]Sheet1!$A:$G,7,FALSE)</f>
        <v>47</v>
      </c>
    </row>
    <row r="387" spans="1:22" s="13" customFormat="1" ht="30" customHeight="1">
      <c r="A387" s="17">
        <v>383</v>
      </c>
      <c r="B387" s="14">
        <v>40560</v>
      </c>
      <c r="C387" s="8" t="str">
        <f t="shared" si="18"/>
        <v>Monday</v>
      </c>
      <c r="D387" s="9">
        <v>1</v>
      </c>
      <c r="E387" s="9">
        <v>0</v>
      </c>
      <c r="F387" s="9">
        <v>1</v>
      </c>
      <c r="G387" s="7">
        <v>10</v>
      </c>
      <c r="H387" s="9" t="b">
        <v>1</v>
      </c>
      <c r="I387" s="9">
        <v>1</v>
      </c>
      <c r="J387" s="38" t="str">
        <f>CHOOSE(Table1[[#This Row],[Weekday]]+1,"Sunday","Monday","Tuesday","Wednesday","Thursday","Friday","Saturday")</f>
        <v>Monday</v>
      </c>
      <c r="K387" s="9">
        <v>2</v>
      </c>
      <c r="L387" s="38" t="str">
        <f>IF(Table1[[#This Row],[Weather_code]]=1,"Clear",IF(Table1[[#This Row],[Weather_code]]=2,"Cloudy",IF(Table1[[#This Row],[Weather_code]]=3,"Light Rain",IF(Table1[[#This Row],[Weather_code]]=4,"Heavy Rain"))))</f>
        <v>Cloudy</v>
      </c>
      <c r="M387" s="10">
        <v>0.16</v>
      </c>
      <c r="N387" s="11" t="str">
        <f t="shared" si="16"/>
        <v>Winter</v>
      </c>
      <c r="O387" s="11" t="str">
        <f t="shared" si="17"/>
        <v>Weekday</v>
      </c>
      <c r="P387" s="11">
        <f>VLOOKUP(A387,[1]Sheet1!$A:$H,2, FALSE)</f>
        <v>0.1515</v>
      </c>
      <c r="Q387" s="40">
        <f>Table1[[#This Row],[A_Temperature]]*41</f>
        <v>6.2115</v>
      </c>
      <c r="R387" s="11">
        <f>VLOOKUP(A387,[1]Sheet1!$A:$G,3,FALSE)</f>
        <v>0.5</v>
      </c>
      <c r="S387" s="11">
        <f>VLOOKUP(A387,[1]Sheet1!$A:$G,4,FALSE)</f>
        <v>0.25369999999999998</v>
      </c>
      <c r="T387" s="11">
        <f>VLOOKUP(A387,[1]Sheet1!$A:$G,5,FALSE)</f>
        <v>7</v>
      </c>
      <c r="U387" s="11">
        <f>VLOOKUP(A387,[1]Sheet1!$A:$G,6,FALSE)</f>
        <v>50</v>
      </c>
      <c r="V387" s="18">
        <f>VLOOKUP(A387,[1]Sheet1!$A:$G,7,FALSE)</f>
        <v>57</v>
      </c>
    </row>
    <row r="388" spans="1:22" s="13" customFormat="1" ht="30" customHeight="1">
      <c r="A388" s="17">
        <v>384</v>
      </c>
      <c r="B388" s="14">
        <v>40560</v>
      </c>
      <c r="C388" s="8" t="str">
        <f t="shared" si="18"/>
        <v>Monday</v>
      </c>
      <c r="D388" s="9">
        <v>1</v>
      </c>
      <c r="E388" s="9">
        <v>0</v>
      </c>
      <c r="F388" s="9">
        <v>1</v>
      </c>
      <c r="G388" s="7">
        <v>11</v>
      </c>
      <c r="H388" s="9" t="b">
        <v>1</v>
      </c>
      <c r="I388" s="9">
        <v>1</v>
      </c>
      <c r="J388" s="38" t="str">
        <f>CHOOSE(Table1[[#This Row],[Weekday]]+1,"Sunday","Monday","Tuesday","Wednesday","Thursday","Friday","Saturday")</f>
        <v>Monday</v>
      </c>
      <c r="K388" s="9">
        <v>2</v>
      </c>
      <c r="L388" s="38" t="str">
        <f>IF(Table1[[#This Row],[Weather_code]]=1,"Clear",IF(Table1[[#This Row],[Weather_code]]=2,"Cloudy",IF(Table1[[#This Row],[Weather_code]]=3,"Light Rain",IF(Table1[[#This Row],[Weather_code]]=4,"Heavy Rain"))))</f>
        <v>Cloudy</v>
      </c>
      <c r="M388" s="10">
        <v>0.16</v>
      </c>
      <c r="N388" s="11" t="str">
        <f t="shared" si="16"/>
        <v>Winter</v>
      </c>
      <c r="O388" s="11" t="str">
        <f t="shared" si="17"/>
        <v>Weekday</v>
      </c>
      <c r="P388" s="11">
        <f>VLOOKUP(A388,[1]Sheet1!$A:$H,2, FALSE)</f>
        <v>0.1515</v>
      </c>
      <c r="Q388" s="40">
        <f>Table1[[#This Row],[A_Temperature]]*41</f>
        <v>6.2115</v>
      </c>
      <c r="R388" s="11">
        <f>VLOOKUP(A388,[1]Sheet1!$A:$G,3,FALSE)</f>
        <v>0.55000000000000004</v>
      </c>
      <c r="S388" s="11">
        <f>VLOOKUP(A388,[1]Sheet1!$A:$G,4,FALSE)</f>
        <v>0.19400000000000001</v>
      </c>
      <c r="T388" s="11">
        <f>VLOOKUP(A388,[1]Sheet1!$A:$G,5,FALSE)</f>
        <v>9</v>
      </c>
      <c r="U388" s="11">
        <f>VLOOKUP(A388,[1]Sheet1!$A:$G,6,FALSE)</f>
        <v>55</v>
      </c>
      <c r="V388" s="18">
        <f>VLOOKUP(A388,[1]Sheet1!$A:$G,7,FALSE)</f>
        <v>64</v>
      </c>
    </row>
    <row r="389" spans="1:22" s="13" customFormat="1" ht="30" customHeight="1">
      <c r="A389" s="17">
        <v>385</v>
      </c>
      <c r="B389" s="14">
        <v>40560</v>
      </c>
      <c r="C389" s="8" t="str">
        <f t="shared" si="18"/>
        <v>Monday</v>
      </c>
      <c r="D389" s="9">
        <v>1</v>
      </c>
      <c r="E389" s="9">
        <v>0</v>
      </c>
      <c r="F389" s="9">
        <v>1</v>
      </c>
      <c r="G389" s="7">
        <v>12</v>
      </c>
      <c r="H389" s="9" t="b">
        <v>1</v>
      </c>
      <c r="I389" s="9">
        <v>1</v>
      </c>
      <c r="J389" s="38" t="str">
        <f>CHOOSE(Table1[[#This Row],[Weekday]]+1,"Sunday","Monday","Tuesday","Wednesday","Thursday","Friday","Saturday")</f>
        <v>Monday</v>
      </c>
      <c r="K389" s="9">
        <v>2</v>
      </c>
      <c r="L389" s="38" t="str">
        <f>IF(Table1[[#This Row],[Weather_code]]=1,"Clear",IF(Table1[[#This Row],[Weather_code]]=2,"Cloudy",IF(Table1[[#This Row],[Weather_code]]=3,"Light Rain",IF(Table1[[#This Row],[Weather_code]]=4,"Heavy Rain"))))</f>
        <v>Cloudy</v>
      </c>
      <c r="M389" s="10">
        <v>0.18</v>
      </c>
      <c r="N389" s="11" t="str">
        <f t="shared" si="16"/>
        <v>Winter</v>
      </c>
      <c r="O389" s="11" t="str">
        <f t="shared" si="17"/>
        <v>Weekday</v>
      </c>
      <c r="P389" s="11">
        <f>VLOOKUP(A389,[1]Sheet1!$A:$H,2, FALSE)</f>
        <v>0.19700000000000001</v>
      </c>
      <c r="Q389" s="40">
        <f>Table1[[#This Row],[A_Temperature]]*41</f>
        <v>8.077</v>
      </c>
      <c r="R389" s="11">
        <f>VLOOKUP(A389,[1]Sheet1!$A:$G,3,FALSE)</f>
        <v>0.47</v>
      </c>
      <c r="S389" s="11">
        <f>VLOOKUP(A389,[1]Sheet1!$A:$G,4,FALSE)</f>
        <v>0.1343</v>
      </c>
      <c r="T389" s="11">
        <f>VLOOKUP(A389,[1]Sheet1!$A:$G,5,FALSE)</f>
        <v>10</v>
      </c>
      <c r="U389" s="11">
        <f>VLOOKUP(A389,[1]Sheet1!$A:$G,6,FALSE)</f>
        <v>70</v>
      </c>
      <c r="V389" s="18">
        <f>VLOOKUP(A389,[1]Sheet1!$A:$G,7,FALSE)</f>
        <v>80</v>
      </c>
    </row>
    <row r="390" spans="1:22" s="13" customFormat="1" ht="30" customHeight="1">
      <c r="A390" s="17">
        <v>386</v>
      </c>
      <c r="B390" s="14">
        <v>40560</v>
      </c>
      <c r="C390" s="8" t="str">
        <f t="shared" si="18"/>
        <v>Monday</v>
      </c>
      <c r="D390" s="9">
        <v>1</v>
      </c>
      <c r="E390" s="9">
        <v>0</v>
      </c>
      <c r="F390" s="9">
        <v>1</v>
      </c>
      <c r="G390" s="7">
        <v>13</v>
      </c>
      <c r="H390" s="9" t="b">
        <v>1</v>
      </c>
      <c r="I390" s="9">
        <v>1</v>
      </c>
      <c r="J390" s="38" t="str">
        <f>CHOOSE(Table1[[#This Row],[Weekday]]+1,"Sunday","Monday","Tuesday","Wednesday","Thursday","Friday","Saturday")</f>
        <v>Monday</v>
      </c>
      <c r="K390" s="9">
        <v>2</v>
      </c>
      <c r="L390" s="38" t="str">
        <f>IF(Table1[[#This Row],[Weather_code]]=1,"Clear",IF(Table1[[#This Row],[Weather_code]]=2,"Cloudy",IF(Table1[[#This Row],[Weather_code]]=3,"Light Rain",IF(Table1[[#This Row],[Weather_code]]=4,"Heavy Rain"))))</f>
        <v>Cloudy</v>
      </c>
      <c r="M390" s="10">
        <v>0.18</v>
      </c>
      <c r="N390" s="11" t="str">
        <f t="shared" ref="N390:N453" si="19">CHOOSE(D390,"Winter","Spring","Summer","Fall")</f>
        <v>Winter</v>
      </c>
      <c r="O390" s="11" t="str">
        <f t="shared" ref="O390:O453" si="20">IF(OR(WEEKDAY(B390,2)=6,WEEKDAY(B390,2)=7),"Weekend","Weekday")</f>
        <v>Weekday</v>
      </c>
      <c r="P390" s="11">
        <f>VLOOKUP(A390,[1]Sheet1!$A:$H,2, FALSE)</f>
        <v>0.19700000000000001</v>
      </c>
      <c r="Q390" s="40">
        <f>Table1[[#This Row],[A_Temperature]]*41</f>
        <v>8.077</v>
      </c>
      <c r="R390" s="11">
        <f>VLOOKUP(A390,[1]Sheet1!$A:$G,3,FALSE)</f>
        <v>0.47</v>
      </c>
      <c r="S390" s="11">
        <f>VLOOKUP(A390,[1]Sheet1!$A:$G,4,FALSE)</f>
        <v>0.1343</v>
      </c>
      <c r="T390" s="11">
        <f>VLOOKUP(A390,[1]Sheet1!$A:$G,5,FALSE)</f>
        <v>13</v>
      </c>
      <c r="U390" s="11">
        <f>VLOOKUP(A390,[1]Sheet1!$A:$G,6,FALSE)</f>
        <v>80</v>
      </c>
      <c r="V390" s="18">
        <f>VLOOKUP(A390,[1]Sheet1!$A:$G,7,FALSE)</f>
        <v>93</v>
      </c>
    </row>
    <row r="391" spans="1:22" s="13" customFormat="1" ht="30" customHeight="1">
      <c r="A391" s="17">
        <v>387</v>
      </c>
      <c r="B391" s="14">
        <v>40560</v>
      </c>
      <c r="C391" s="8" t="str">
        <f t="shared" si="18"/>
        <v>Monday</v>
      </c>
      <c r="D391" s="9">
        <v>1</v>
      </c>
      <c r="E391" s="9">
        <v>0</v>
      </c>
      <c r="F391" s="9">
        <v>1</v>
      </c>
      <c r="G391" s="7">
        <v>14</v>
      </c>
      <c r="H391" s="9" t="b">
        <v>1</v>
      </c>
      <c r="I391" s="9">
        <v>1</v>
      </c>
      <c r="J391" s="38" t="str">
        <f>CHOOSE(Table1[[#This Row],[Weekday]]+1,"Sunday","Monday","Tuesday","Wednesday","Thursday","Friday","Saturday")</f>
        <v>Monday</v>
      </c>
      <c r="K391" s="9">
        <v>2</v>
      </c>
      <c r="L391" s="38" t="str">
        <f>IF(Table1[[#This Row],[Weather_code]]=1,"Clear",IF(Table1[[#This Row],[Weather_code]]=2,"Cloudy",IF(Table1[[#This Row],[Weather_code]]=3,"Light Rain",IF(Table1[[#This Row],[Weather_code]]=4,"Heavy Rain"))))</f>
        <v>Cloudy</v>
      </c>
      <c r="M391" s="10">
        <v>0.18</v>
      </c>
      <c r="N391" s="11" t="str">
        <f t="shared" si="19"/>
        <v>Winter</v>
      </c>
      <c r="O391" s="11" t="str">
        <f t="shared" si="20"/>
        <v>Weekday</v>
      </c>
      <c r="P391" s="11">
        <f>VLOOKUP(A391,[1]Sheet1!$A:$H,2, FALSE)</f>
        <v>0.21210000000000001</v>
      </c>
      <c r="Q391" s="40">
        <f>Table1[[#This Row],[A_Temperature]]*41</f>
        <v>8.6961000000000013</v>
      </c>
      <c r="R391" s="11">
        <f>VLOOKUP(A391,[1]Sheet1!$A:$G,3,FALSE)</f>
        <v>0.43</v>
      </c>
      <c r="S391" s="11">
        <f>VLOOKUP(A391,[1]Sheet1!$A:$G,4,FALSE)</f>
        <v>0.1045</v>
      </c>
      <c r="T391" s="11">
        <f>VLOOKUP(A391,[1]Sheet1!$A:$G,5,FALSE)</f>
        <v>12</v>
      </c>
      <c r="U391" s="11">
        <f>VLOOKUP(A391,[1]Sheet1!$A:$G,6,FALSE)</f>
        <v>74</v>
      </c>
      <c r="V391" s="18">
        <f>VLOOKUP(A391,[1]Sheet1!$A:$G,7,FALSE)</f>
        <v>86</v>
      </c>
    </row>
    <row r="392" spans="1:22" s="13" customFormat="1" ht="30" customHeight="1">
      <c r="A392" s="17">
        <v>388</v>
      </c>
      <c r="B392" s="14">
        <v>40560</v>
      </c>
      <c r="C392" s="8" t="str">
        <f t="shared" si="18"/>
        <v>Monday</v>
      </c>
      <c r="D392" s="9">
        <v>1</v>
      </c>
      <c r="E392" s="9">
        <v>0</v>
      </c>
      <c r="F392" s="9">
        <v>1</v>
      </c>
      <c r="G392" s="7">
        <v>15</v>
      </c>
      <c r="H392" s="9" t="b">
        <v>1</v>
      </c>
      <c r="I392" s="9">
        <v>1</v>
      </c>
      <c r="J392" s="38" t="str">
        <f>CHOOSE(Table1[[#This Row],[Weekday]]+1,"Sunday","Monday","Tuesday","Wednesday","Thursday","Friday","Saturday")</f>
        <v>Monday</v>
      </c>
      <c r="K392" s="9">
        <v>2</v>
      </c>
      <c r="L392" s="38" t="str">
        <f>IF(Table1[[#This Row],[Weather_code]]=1,"Clear",IF(Table1[[#This Row],[Weather_code]]=2,"Cloudy",IF(Table1[[#This Row],[Weather_code]]=3,"Light Rain",IF(Table1[[#This Row],[Weather_code]]=4,"Heavy Rain"))))</f>
        <v>Cloudy</v>
      </c>
      <c r="M392" s="10">
        <v>0.2</v>
      </c>
      <c r="N392" s="11" t="str">
        <f t="shared" si="19"/>
        <v>Winter</v>
      </c>
      <c r="O392" s="11" t="str">
        <f t="shared" si="20"/>
        <v>Weekday</v>
      </c>
      <c r="P392" s="11">
        <f>VLOOKUP(A392,[1]Sheet1!$A:$H,2, FALSE)</f>
        <v>0.21210000000000001</v>
      </c>
      <c r="Q392" s="40">
        <f>Table1[[#This Row],[A_Temperature]]*41</f>
        <v>8.6961000000000013</v>
      </c>
      <c r="R392" s="11">
        <f>VLOOKUP(A392,[1]Sheet1!$A:$G,3,FALSE)</f>
        <v>0.47</v>
      </c>
      <c r="S392" s="11">
        <f>VLOOKUP(A392,[1]Sheet1!$A:$G,4,FALSE)</f>
        <v>0.16420000000000001</v>
      </c>
      <c r="T392" s="11">
        <f>VLOOKUP(A392,[1]Sheet1!$A:$G,5,FALSE)</f>
        <v>21</v>
      </c>
      <c r="U392" s="11">
        <f>VLOOKUP(A392,[1]Sheet1!$A:$G,6,FALSE)</f>
        <v>72</v>
      </c>
      <c r="V392" s="18">
        <f>VLOOKUP(A392,[1]Sheet1!$A:$G,7,FALSE)</f>
        <v>93</v>
      </c>
    </row>
    <row r="393" spans="1:22" s="13" customFormat="1" ht="30" customHeight="1">
      <c r="A393" s="17">
        <v>389</v>
      </c>
      <c r="B393" s="14">
        <v>40560</v>
      </c>
      <c r="C393" s="8" t="str">
        <f t="shared" si="18"/>
        <v>Monday</v>
      </c>
      <c r="D393" s="9">
        <v>1</v>
      </c>
      <c r="E393" s="9">
        <v>0</v>
      </c>
      <c r="F393" s="9">
        <v>1</v>
      </c>
      <c r="G393" s="7">
        <v>16</v>
      </c>
      <c r="H393" s="9" t="b">
        <v>1</v>
      </c>
      <c r="I393" s="9">
        <v>1</v>
      </c>
      <c r="J393" s="38" t="str">
        <f>CHOOSE(Table1[[#This Row],[Weekday]]+1,"Sunday","Monday","Tuesday","Wednesday","Thursday","Friday","Saturday")</f>
        <v>Monday</v>
      </c>
      <c r="K393" s="9">
        <v>2</v>
      </c>
      <c r="L393" s="38" t="str">
        <f>IF(Table1[[#This Row],[Weather_code]]=1,"Clear",IF(Table1[[#This Row],[Weather_code]]=2,"Cloudy",IF(Table1[[#This Row],[Weather_code]]=3,"Light Rain",IF(Table1[[#This Row],[Weather_code]]=4,"Heavy Rain"))))</f>
        <v>Cloudy</v>
      </c>
      <c r="M393" s="10">
        <v>0.2</v>
      </c>
      <c r="N393" s="11" t="str">
        <f t="shared" si="19"/>
        <v>Winter</v>
      </c>
      <c r="O393" s="11" t="str">
        <f t="shared" si="20"/>
        <v>Weekday</v>
      </c>
      <c r="P393" s="11">
        <f>VLOOKUP(A393,[1]Sheet1!$A:$H,2, FALSE)</f>
        <v>0.21210000000000001</v>
      </c>
      <c r="Q393" s="40">
        <f>Table1[[#This Row],[A_Temperature]]*41</f>
        <v>8.6961000000000013</v>
      </c>
      <c r="R393" s="11">
        <f>VLOOKUP(A393,[1]Sheet1!$A:$G,3,FALSE)</f>
        <v>0.47</v>
      </c>
      <c r="S393" s="11">
        <f>VLOOKUP(A393,[1]Sheet1!$A:$G,4,FALSE)</f>
        <v>0.16420000000000001</v>
      </c>
      <c r="T393" s="11">
        <f>VLOOKUP(A393,[1]Sheet1!$A:$G,5,FALSE)</f>
        <v>6</v>
      </c>
      <c r="U393" s="11">
        <f>VLOOKUP(A393,[1]Sheet1!$A:$G,6,FALSE)</f>
        <v>76</v>
      </c>
      <c r="V393" s="18">
        <f>VLOOKUP(A393,[1]Sheet1!$A:$G,7,FALSE)</f>
        <v>82</v>
      </c>
    </row>
    <row r="394" spans="1:22" s="13" customFormat="1" ht="30" customHeight="1">
      <c r="A394" s="17">
        <v>390</v>
      </c>
      <c r="B394" s="14">
        <v>40560</v>
      </c>
      <c r="C394" s="8" t="str">
        <f t="shared" si="18"/>
        <v>Monday</v>
      </c>
      <c r="D394" s="9">
        <v>1</v>
      </c>
      <c r="E394" s="9">
        <v>0</v>
      </c>
      <c r="F394" s="9">
        <v>1</v>
      </c>
      <c r="G394" s="7">
        <v>17</v>
      </c>
      <c r="H394" s="9" t="b">
        <v>1</v>
      </c>
      <c r="I394" s="9">
        <v>1</v>
      </c>
      <c r="J394" s="38" t="str">
        <f>CHOOSE(Table1[[#This Row],[Weekday]]+1,"Sunday","Monday","Tuesday","Wednesday","Thursday","Friday","Saturday")</f>
        <v>Monday</v>
      </c>
      <c r="K394" s="9">
        <v>1</v>
      </c>
      <c r="L394" s="38" t="str">
        <f>IF(Table1[[#This Row],[Weather_code]]=1,"Clear",IF(Table1[[#This Row],[Weather_code]]=2,"Cloudy",IF(Table1[[#This Row],[Weather_code]]=3,"Light Rain",IF(Table1[[#This Row],[Weather_code]]=4,"Heavy Rain"))))</f>
        <v>Clear</v>
      </c>
      <c r="M394" s="10">
        <v>0.2</v>
      </c>
      <c r="N394" s="11" t="str">
        <f t="shared" si="19"/>
        <v>Winter</v>
      </c>
      <c r="O394" s="11" t="str">
        <f t="shared" si="20"/>
        <v>Weekday</v>
      </c>
      <c r="P394" s="11">
        <f>VLOOKUP(A394,[1]Sheet1!$A:$H,2, FALSE)</f>
        <v>0.19700000000000001</v>
      </c>
      <c r="Q394" s="40">
        <f>Table1[[#This Row],[A_Temperature]]*41</f>
        <v>8.077</v>
      </c>
      <c r="R394" s="11">
        <f>VLOOKUP(A394,[1]Sheet1!$A:$G,3,FALSE)</f>
        <v>0.51</v>
      </c>
      <c r="S394" s="11">
        <f>VLOOKUP(A394,[1]Sheet1!$A:$G,4,FALSE)</f>
        <v>0.19400000000000001</v>
      </c>
      <c r="T394" s="11">
        <f>VLOOKUP(A394,[1]Sheet1!$A:$G,5,FALSE)</f>
        <v>4</v>
      </c>
      <c r="U394" s="11">
        <f>VLOOKUP(A394,[1]Sheet1!$A:$G,6,FALSE)</f>
        <v>67</v>
      </c>
      <c r="V394" s="18">
        <f>VLOOKUP(A394,[1]Sheet1!$A:$G,7,FALSE)</f>
        <v>71</v>
      </c>
    </row>
    <row r="395" spans="1:22" s="13" customFormat="1" ht="30" customHeight="1">
      <c r="A395" s="17">
        <v>391</v>
      </c>
      <c r="B395" s="14">
        <v>40560</v>
      </c>
      <c r="C395" s="8" t="str">
        <f t="shared" si="18"/>
        <v>Monday</v>
      </c>
      <c r="D395" s="9">
        <v>1</v>
      </c>
      <c r="E395" s="9">
        <v>0</v>
      </c>
      <c r="F395" s="9">
        <v>1</v>
      </c>
      <c r="G395" s="7">
        <v>18</v>
      </c>
      <c r="H395" s="9" t="b">
        <v>1</v>
      </c>
      <c r="I395" s="9">
        <v>1</v>
      </c>
      <c r="J395" s="38" t="str">
        <f>CHOOSE(Table1[[#This Row],[Weekday]]+1,"Sunday","Monday","Tuesday","Wednesday","Thursday","Friday","Saturday")</f>
        <v>Monday</v>
      </c>
      <c r="K395" s="9">
        <v>2</v>
      </c>
      <c r="L395" s="38" t="str">
        <f>IF(Table1[[#This Row],[Weather_code]]=1,"Clear",IF(Table1[[#This Row],[Weather_code]]=2,"Cloudy",IF(Table1[[#This Row],[Weather_code]]=3,"Light Rain",IF(Table1[[#This Row],[Weather_code]]=4,"Heavy Rain"))))</f>
        <v>Cloudy</v>
      </c>
      <c r="M395" s="10">
        <v>0.18</v>
      </c>
      <c r="N395" s="11" t="str">
        <f t="shared" si="19"/>
        <v>Winter</v>
      </c>
      <c r="O395" s="11" t="str">
        <f t="shared" si="20"/>
        <v>Weekday</v>
      </c>
      <c r="P395" s="11">
        <f>VLOOKUP(A395,[1]Sheet1!$A:$H,2, FALSE)</f>
        <v>0.16669999999999999</v>
      </c>
      <c r="Q395" s="40">
        <f>Table1[[#This Row],[A_Temperature]]*41</f>
        <v>6.8346999999999998</v>
      </c>
      <c r="R395" s="11">
        <f>VLOOKUP(A395,[1]Sheet1!$A:$G,3,FALSE)</f>
        <v>0.55000000000000004</v>
      </c>
      <c r="S395" s="11">
        <f>VLOOKUP(A395,[1]Sheet1!$A:$G,4,FALSE)</f>
        <v>0.25369999999999998</v>
      </c>
      <c r="T395" s="11">
        <f>VLOOKUP(A395,[1]Sheet1!$A:$G,5,FALSE)</f>
        <v>7</v>
      </c>
      <c r="U395" s="11">
        <f>VLOOKUP(A395,[1]Sheet1!$A:$G,6,FALSE)</f>
        <v>85</v>
      </c>
      <c r="V395" s="18">
        <f>VLOOKUP(A395,[1]Sheet1!$A:$G,7,FALSE)</f>
        <v>92</v>
      </c>
    </row>
    <row r="396" spans="1:22" s="13" customFormat="1" ht="30" customHeight="1">
      <c r="A396" s="17">
        <v>392</v>
      </c>
      <c r="B396" s="14">
        <v>40560</v>
      </c>
      <c r="C396" s="8" t="str">
        <f t="shared" si="18"/>
        <v>Monday</v>
      </c>
      <c r="D396" s="9">
        <v>1</v>
      </c>
      <c r="E396" s="9">
        <v>0</v>
      </c>
      <c r="F396" s="9">
        <v>1</v>
      </c>
      <c r="G396" s="7">
        <v>19</v>
      </c>
      <c r="H396" s="9" t="b">
        <v>1</v>
      </c>
      <c r="I396" s="9">
        <v>1</v>
      </c>
      <c r="J396" s="38" t="str">
        <f>CHOOSE(Table1[[#This Row],[Weekday]]+1,"Sunday","Monday","Tuesday","Wednesday","Thursday","Friday","Saturday")</f>
        <v>Monday</v>
      </c>
      <c r="K396" s="9">
        <v>3</v>
      </c>
      <c r="L396" s="38" t="str">
        <f>IF(Table1[[#This Row],[Weather_code]]=1,"Clear",IF(Table1[[#This Row],[Weather_code]]=2,"Cloudy",IF(Table1[[#This Row],[Weather_code]]=3,"Light Rain",IF(Table1[[#This Row],[Weather_code]]=4,"Heavy Rain"))))</f>
        <v>Light Rain</v>
      </c>
      <c r="M396" s="10">
        <v>0.18</v>
      </c>
      <c r="N396" s="11" t="str">
        <f t="shared" si="19"/>
        <v>Winter</v>
      </c>
      <c r="O396" s="11" t="str">
        <f t="shared" si="20"/>
        <v>Weekday</v>
      </c>
      <c r="P396" s="11">
        <f>VLOOKUP(A396,[1]Sheet1!$A:$H,2, FALSE)</f>
        <v>0.18179999999999999</v>
      </c>
      <c r="Q396" s="40">
        <f>Table1[[#This Row],[A_Temperature]]*41</f>
        <v>7.4537999999999993</v>
      </c>
      <c r="R396" s="11">
        <f>VLOOKUP(A396,[1]Sheet1!$A:$G,3,FALSE)</f>
        <v>0.59</v>
      </c>
      <c r="S396" s="11">
        <f>VLOOKUP(A396,[1]Sheet1!$A:$G,4,FALSE)</f>
        <v>0.19400000000000001</v>
      </c>
      <c r="T396" s="11">
        <f>VLOOKUP(A396,[1]Sheet1!$A:$G,5,FALSE)</f>
        <v>2</v>
      </c>
      <c r="U396" s="11">
        <f>VLOOKUP(A396,[1]Sheet1!$A:$G,6,FALSE)</f>
        <v>58</v>
      </c>
      <c r="V396" s="18">
        <f>VLOOKUP(A396,[1]Sheet1!$A:$G,7,FALSE)</f>
        <v>60</v>
      </c>
    </row>
    <row r="397" spans="1:22" s="13" customFormat="1" ht="30" customHeight="1">
      <c r="A397" s="17">
        <v>393</v>
      </c>
      <c r="B397" s="14">
        <v>40560</v>
      </c>
      <c r="C397" s="8" t="str">
        <f t="shared" si="18"/>
        <v>Monday</v>
      </c>
      <c r="D397" s="9">
        <v>1</v>
      </c>
      <c r="E397" s="9">
        <v>0</v>
      </c>
      <c r="F397" s="9">
        <v>1</v>
      </c>
      <c r="G397" s="7">
        <v>20</v>
      </c>
      <c r="H397" s="9" t="b">
        <v>1</v>
      </c>
      <c r="I397" s="9">
        <v>1</v>
      </c>
      <c r="J397" s="38" t="str">
        <f>CHOOSE(Table1[[#This Row],[Weekday]]+1,"Sunday","Monday","Tuesday","Wednesday","Thursday","Friday","Saturday")</f>
        <v>Monday</v>
      </c>
      <c r="K397" s="9">
        <v>3</v>
      </c>
      <c r="L397" s="38" t="str">
        <f>IF(Table1[[#This Row],[Weather_code]]=1,"Clear",IF(Table1[[#This Row],[Weather_code]]=2,"Cloudy",IF(Table1[[#This Row],[Weather_code]]=3,"Light Rain",IF(Table1[[#This Row],[Weather_code]]=4,"Heavy Rain"))))</f>
        <v>Light Rain</v>
      </c>
      <c r="M397" s="10">
        <v>0.16</v>
      </c>
      <c r="N397" s="11" t="str">
        <f t="shared" si="19"/>
        <v>Winter</v>
      </c>
      <c r="O397" s="11" t="str">
        <f t="shared" si="20"/>
        <v>Weekday</v>
      </c>
      <c r="P397" s="11">
        <f>VLOOKUP(A397,[1]Sheet1!$A:$H,2, FALSE)</f>
        <v>0.1515</v>
      </c>
      <c r="Q397" s="40">
        <f>Table1[[#This Row],[A_Temperature]]*41</f>
        <v>6.2115</v>
      </c>
      <c r="R397" s="11">
        <f>VLOOKUP(A397,[1]Sheet1!$A:$G,3,FALSE)</f>
        <v>0.8</v>
      </c>
      <c r="S397" s="11">
        <f>VLOOKUP(A397,[1]Sheet1!$A:$G,4,FALSE)</f>
        <v>0.19400000000000001</v>
      </c>
      <c r="T397" s="11">
        <f>VLOOKUP(A397,[1]Sheet1!$A:$G,5,FALSE)</f>
        <v>4</v>
      </c>
      <c r="U397" s="11">
        <f>VLOOKUP(A397,[1]Sheet1!$A:$G,6,FALSE)</f>
        <v>29</v>
      </c>
      <c r="V397" s="18">
        <f>VLOOKUP(A397,[1]Sheet1!$A:$G,7,FALSE)</f>
        <v>33</v>
      </c>
    </row>
    <row r="398" spans="1:22" s="13" customFormat="1" ht="30" customHeight="1">
      <c r="A398" s="17">
        <v>394</v>
      </c>
      <c r="B398" s="14">
        <v>40560</v>
      </c>
      <c r="C398" s="8" t="str">
        <f t="shared" si="18"/>
        <v>Monday</v>
      </c>
      <c r="D398" s="9">
        <v>1</v>
      </c>
      <c r="E398" s="9">
        <v>0</v>
      </c>
      <c r="F398" s="9">
        <v>1</v>
      </c>
      <c r="G398" s="7">
        <v>21</v>
      </c>
      <c r="H398" s="9" t="b">
        <v>1</v>
      </c>
      <c r="I398" s="9">
        <v>1</v>
      </c>
      <c r="J398" s="38" t="str">
        <f>CHOOSE(Table1[[#This Row],[Weekday]]+1,"Sunday","Monday","Tuesday","Wednesday","Thursday","Friday","Saturday")</f>
        <v>Monday</v>
      </c>
      <c r="K398" s="9">
        <v>3</v>
      </c>
      <c r="L398" s="38" t="str">
        <f>IF(Table1[[#This Row],[Weather_code]]=1,"Clear",IF(Table1[[#This Row],[Weather_code]]=2,"Cloudy",IF(Table1[[#This Row],[Weather_code]]=3,"Light Rain",IF(Table1[[#This Row],[Weather_code]]=4,"Heavy Rain"))))</f>
        <v>Light Rain</v>
      </c>
      <c r="M398" s="10">
        <v>0.16</v>
      </c>
      <c r="N398" s="11" t="str">
        <f t="shared" si="19"/>
        <v>Winter</v>
      </c>
      <c r="O398" s="11" t="str">
        <f t="shared" si="20"/>
        <v>Weekday</v>
      </c>
      <c r="P398" s="11">
        <f>VLOOKUP(A398,[1]Sheet1!$A:$H,2, FALSE)</f>
        <v>0.1515</v>
      </c>
      <c r="Q398" s="40">
        <f>Table1[[#This Row],[A_Temperature]]*41</f>
        <v>6.2115</v>
      </c>
      <c r="R398" s="11">
        <f>VLOOKUP(A398,[1]Sheet1!$A:$G,3,FALSE)</f>
        <v>0.8</v>
      </c>
      <c r="S398" s="11">
        <f>VLOOKUP(A398,[1]Sheet1!$A:$G,4,FALSE)</f>
        <v>0.19400000000000001</v>
      </c>
      <c r="T398" s="11">
        <f>VLOOKUP(A398,[1]Sheet1!$A:$G,5,FALSE)</f>
        <v>3</v>
      </c>
      <c r="U398" s="11">
        <f>VLOOKUP(A398,[1]Sheet1!$A:$G,6,FALSE)</f>
        <v>24</v>
      </c>
      <c r="V398" s="18">
        <f>VLOOKUP(A398,[1]Sheet1!$A:$G,7,FALSE)</f>
        <v>27</v>
      </c>
    </row>
    <row r="399" spans="1:22" s="13" customFormat="1" ht="30" customHeight="1">
      <c r="A399" s="17">
        <v>395</v>
      </c>
      <c r="B399" s="14">
        <v>40560</v>
      </c>
      <c r="C399" s="8" t="str">
        <f t="shared" si="18"/>
        <v>Monday</v>
      </c>
      <c r="D399" s="9">
        <v>1</v>
      </c>
      <c r="E399" s="9">
        <v>0</v>
      </c>
      <c r="F399" s="9">
        <v>1</v>
      </c>
      <c r="G399" s="7">
        <v>22</v>
      </c>
      <c r="H399" s="9" t="b">
        <v>1</v>
      </c>
      <c r="I399" s="9">
        <v>1</v>
      </c>
      <c r="J399" s="38" t="str">
        <f>CHOOSE(Table1[[#This Row],[Weekday]]+1,"Sunday","Monday","Tuesday","Wednesday","Thursday","Friday","Saturday")</f>
        <v>Monday</v>
      </c>
      <c r="K399" s="9">
        <v>3</v>
      </c>
      <c r="L399" s="38" t="str">
        <f>IF(Table1[[#This Row],[Weather_code]]=1,"Clear",IF(Table1[[#This Row],[Weather_code]]=2,"Cloudy",IF(Table1[[#This Row],[Weather_code]]=3,"Light Rain",IF(Table1[[#This Row],[Weather_code]]=4,"Heavy Rain"))))</f>
        <v>Light Rain</v>
      </c>
      <c r="M399" s="10">
        <v>0.14000000000000001</v>
      </c>
      <c r="N399" s="11" t="str">
        <f t="shared" si="19"/>
        <v>Winter</v>
      </c>
      <c r="O399" s="11" t="str">
        <f t="shared" si="20"/>
        <v>Weekday</v>
      </c>
      <c r="P399" s="11">
        <f>VLOOKUP(A399,[1]Sheet1!$A:$H,2, FALSE)</f>
        <v>0.1212</v>
      </c>
      <c r="Q399" s="40">
        <f>Table1[[#This Row],[A_Temperature]]*41</f>
        <v>4.9691999999999998</v>
      </c>
      <c r="R399" s="11">
        <f>VLOOKUP(A399,[1]Sheet1!$A:$G,3,FALSE)</f>
        <v>0.93</v>
      </c>
      <c r="S399" s="11">
        <f>VLOOKUP(A399,[1]Sheet1!$A:$G,4,FALSE)</f>
        <v>0.25369999999999998</v>
      </c>
      <c r="T399" s="11">
        <f>VLOOKUP(A399,[1]Sheet1!$A:$G,5,FALSE)</f>
        <v>0</v>
      </c>
      <c r="U399" s="11">
        <f>VLOOKUP(A399,[1]Sheet1!$A:$G,6,FALSE)</f>
        <v>13</v>
      </c>
      <c r="V399" s="18">
        <f>VLOOKUP(A399,[1]Sheet1!$A:$G,7,FALSE)</f>
        <v>13</v>
      </c>
    </row>
    <row r="400" spans="1:22" s="13" customFormat="1" ht="30" customHeight="1">
      <c r="A400" s="17">
        <v>396</v>
      </c>
      <c r="B400" s="14">
        <v>40560</v>
      </c>
      <c r="C400" s="8" t="str">
        <f t="shared" si="18"/>
        <v>Monday</v>
      </c>
      <c r="D400" s="9">
        <v>1</v>
      </c>
      <c r="E400" s="9">
        <v>0</v>
      </c>
      <c r="F400" s="9">
        <v>1</v>
      </c>
      <c r="G400" s="7">
        <v>23</v>
      </c>
      <c r="H400" s="9" t="b">
        <v>1</v>
      </c>
      <c r="I400" s="9">
        <v>1</v>
      </c>
      <c r="J400" s="38" t="str">
        <f>CHOOSE(Table1[[#This Row],[Weekday]]+1,"Sunday","Monday","Tuesday","Wednesday","Thursday","Friday","Saturday")</f>
        <v>Monday</v>
      </c>
      <c r="K400" s="9">
        <v>3</v>
      </c>
      <c r="L400" s="38" t="str">
        <f>IF(Table1[[#This Row],[Weather_code]]=1,"Clear",IF(Table1[[#This Row],[Weather_code]]=2,"Cloudy",IF(Table1[[#This Row],[Weather_code]]=3,"Light Rain",IF(Table1[[#This Row],[Weather_code]]=4,"Heavy Rain"))))</f>
        <v>Light Rain</v>
      </c>
      <c r="M400" s="10">
        <v>0.16</v>
      </c>
      <c r="N400" s="11" t="str">
        <f t="shared" si="19"/>
        <v>Winter</v>
      </c>
      <c r="O400" s="11" t="str">
        <f t="shared" si="20"/>
        <v>Weekday</v>
      </c>
      <c r="P400" s="11">
        <f>VLOOKUP(A400,[1]Sheet1!$A:$H,2, FALSE)</f>
        <v>0.13639999999999999</v>
      </c>
      <c r="Q400" s="40">
        <f>Table1[[#This Row],[A_Temperature]]*41</f>
        <v>5.5923999999999996</v>
      </c>
      <c r="R400" s="11">
        <f>VLOOKUP(A400,[1]Sheet1!$A:$G,3,FALSE)</f>
        <v>0.86</v>
      </c>
      <c r="S400" s="11">
        <f>VLOOKUP(A400,[1]Sheet1!$A:$G,4,FALSE)</f>
        <v>0.28360000000000002</v>
      </c>
      <c r="T400" s="11">
        <f>VLOOKUP(A400,[1]Sheet1!$A:$G,5,FALSE)</f>
        <v>1</v>
      </c>
      <c r="U400" s="11">
        <f>VLOOKUP(A400,[1]Sheet1!$A:$G,6,FALSE)</f>
        <v>3</v>
      </c>
      <c r="V400" s="18">
        <f>VLOOKUP(A400,[1]Sheet1!$A:$G,7,FALSE)</f>
        <v>4</v>
      </c>
    </row>
    <row r="401" spans="1:22" s="13" customFormat="1" ht="30" customHeight="1">
      <c r="A401" s="17">
        <v>397</v>
      </c>
      <c r="B401" s="14">
        <v>40561</v>
      </c>
      <c r="C401" s="8" t="str">
        <f t="shared" si="18"/>
        <v>Tuesday</v>
      </c>
      <c r="D401" s="9">
        <v>1</v>
      </c>
      <c r="E401" s="9">
        <v>0</v>
      </c>
      <c r="F401" s="9">
        <v>1</v>
      </c>
      <c r="G401" s="7">
        <v>12</v>
      </c>
      <c r="H401" s="9" t="b">
        <v>0</v>
      </c>
      <c r="I401" s="9">
        <v>2</v>
      </c>
      <c r="J401" s="38" t="str">
        <f>CHOOSE(Table1[[#This Row],[Weekday]]+1,"Sunday","Monday","Tuesday","Wednesday","Thursday","Friday","Saturday")</f>
        <v>Tuesday</v>
      </c>
      <c r="K401" s="9">
        <v>2</v>
      </c>
      <c r="L401" s="38" t="str">
        <f>IF(Table1[[#This Row],[Weather_code]]=1,"Clear",IF(Table1[[#This Row],[Weather_code]]=2,"Cloudy",IF(Table1[[#This Row],[Weather_code]]=3,"Light Rain",IF(Table1[[#This Row],[Weather_code]]=4,"Heavy Rain"))))</f>
        <v>Cloudy</v>
      </c>
      <c r="M401" s="10">
        <v>0.2</v>
      </c>
      <c r="N401" s="11" t="str">
        <f t="shared" si="19"/>
        <v>Winter</v>
      </c>
      <c r="O401" s="11" t="str">
        <f t="shared" si="20"/>
        <v>Weekday</v>
      </c>
      <c r="P401" s="11">
        <f>VLOOKUP(A401,[1]Sheet1!$A:$H,2, FALSE)</f>
        <v>0.18179999999999999</v>
      </c>
      <c r="Q401" s="40">
        <f>Table1[[#This Row],[A_Temperature]]*41</f>
        <v>7.4537999999999993</v>
      </c>
      <c r="R401" s="11">
        <f>VLOOKUP(A401,[1]Sheet1!$A:$G,3,FALSE)</f>
        <v>0.86</v>
      </c>
      <c r="S401" s="11">
        <f>VLOOKUP(A401,[1]Sheet1!$A:$G,4,FALSE)</f>
        <v>0.32840000000000003</v>
      </c>
      <c r="T401" s="11">
        <f>VLOOKUP(A401,[1]Sheet1!$A:$G,5,FALSE)</f>
        <v>0</v>
      </c>
      <c r="U401" s="11">
        <f>VLOOKUP(A401,[1]Sheet1!$A:$G,6,FALSE)</f>
        <v>3</v>
      </c>
      <c r="V401" s="18">
        <f>VLOOKUP(A401,[1]Sheet1!$A:$G,7,FALSE)</f>
        <v>3</v>
      </c>
    </row>
    <row r="402" spans="1:22" s="13" customFormat="1" ht="30" customHeight="1">
      <c r="A402" s="17">
        <v>398</v>
      </c>
      <c r="B402" s="14">
        <v>40561</v>
      </c>
      <c r="C402" s="8" t="str">
        <f t="shared" si="18"/>
        <v>Tuesday</v>
      </c>
      <c r="D402" s="9">
        <v>1</v>
      </c>
      <c r="E402" s="9">
        <v>0</v>
      </c>
      <c r="F402" s="9">
        <v>1</v>
      </c>
      <c r="G402" s="7">
        <v>13</v>
      </c>
      <c r="H402" s="9" t="b">
        <v>0</v>
      </c>
      <c r="I402" s="9">
        <v>2</v>
      </c>
      <c r="J402" s="38" t="str">
        <f>CHOOSE(Table1[[#This Row],[Weekday]]+1,"Sunday","Monday","Tuesday","Wednesday","Thursday","Friday","Saturday")</f>
        <v>Tuesday</v>
      </c>
      <c r="K402" s="9">
        <v>2</v>
      </c>
      <c r="L402" s="38" t="str">
        <f>IF(Table1[[#This Row],[Weather_code]]=1,"Clear",IF(Table1[[#This Row],[Weather_code]]=2,"Cloudy",IF(Table1[[#This Row],[Weather_code]]=3,"Light Rain",IF(Table1[[#This Row],[Weather_code]]=4,"Heavy Rain"))))</f>
        <v>Cloudy</v>
      </c>
      <c r="M402" s="10">
        <v>0.2</v>
      </c>
      <c r="N402" s="11" t="str">
        <f t="shared" si="19"/>
        <v>Winter</v>
      </c>
      <c r="O402" s="11" t="str">
        <f t="shared" si="20"/>
        <v>Weekday</v>
      </c>
      <c r="P402" s="11">
        <f>VLOOKUP(A402,[1]Sheet1!$A:$H,2, FALSE)</f>
        <v>0.19700000000000001</v>
      </c>
      <c r="Q402" s="40">
        <f>Table1[[#This Row],[A_Temperature]]*41</f>
        <v>8.077</v>
      </c>
      <c r="R402" s="11">
        <f>VLOOKUP(A402,[1]Sheet1!$A:$G,3,FALSE)</f>
        <v>0.86</v>
      </c>
      <c r="S402" s="11">
        <f>VLOOKUP(A402,[1]Sheet1!$A:$G,4,FALSE)</f>
        <v>0.22389999999999999</v>
      </c>
      <c r="T402" s="11">
        <f>VLOOKUP(A402,[1]Sheet1!$A:$G,5,FALSE)</f>
        <v>0</v>
      </c>
      <c r="U402" s="11">
        <f>VLOOKUP(A402,[1]Sheet1!$A:$G,6,FALSE)</f>
        <v>22</v>
      </c>
      <c r="V402" s="18">
        <f>VLOOKUP(A402,[1]Sheet1!$A:$G,7,FALSE)</f>
        <v>22</v>
      </c>
    </row>
    <row r="403" spans="1:22" s="13" customFormat="1" ht="30" customHeight="1">
      <c r="A403" s="17">
        <v>399</v>
      </c>
      <c r="B403" s="14">
        <v>40561</v>
      </c>
      <c r="C403" s="8" t="str">
        <f t="shared" si="18"/>
        <v>Tuesday</v>
      </c>
      <c r="D403" s="9">
        <v>1</v>
      </c>
      <c r="E403" s="9">
        <v>0</v>
      </c>
      <c r="F403" s="9">
        <v>1</v>
      </c>
      <c r="G403" s="7">
        <v>14</v>
      </c>
      <c r="H403" s="9" t="b">
        <v>0</v>
      </c>
      <c r="I403" s="9">
        <v>2</v>
      </c>
      <c r="J403" s="38" t="str">
        <f>CHOOSE(Table1[[#This Row],[Weekday]]+1,"Sunday","Monday","Tuesday","Wednesday","Thursday","Friday","Saturday")</f>
        <v>Tuesday</v>
      </c>
      <c r="K403" s="9">
        <v>2</v>
      </c>
      <c r="L403" s="38" t="str">
        <f>IF(Table1[[#This Row],[Weather_code]]=1,"Clear",IF(Table1[[#This Row],[Weather_code]]=2,"Cloudy",IF(Table1[[#This Row],[Weather_code]]=3,"Light Rain",IF(Table1[[#This Row],[Weather_code]]=4,"Heavy Rain"))))</f>
        <v>Cloudy</v>
      </c>
      <c r="M403" s="10">
        <v>0.22</v>
      </c>
      <c r="N403" s="11" t="str">
        <f t="shared" si="19"/>
        <v>Winter</v>
      </c>
      <c r="O403" s="11" t="str">
        <f t="shared" si="20"/>
        <v>Weekday</v>
      </c>
      <c r="P403" s="11">
        <f>VLOOKUP(A403,[1]Sheet1!$A:$H,2, FALSE)</f>
        <v>0.2273</v>
      </c>
      <c r="Q403" s="40">
        <f>Table1[[#This Row],[A_Temperature]]*41</f>
        <v>9.3193000000000001</v>
      </c>
      <c r="R403" s="11">
        <f>VLOOKUP(A403,[1]Sheet1!$A:$G,3,FALSE)</f>
        <v>0.8</v>
      </c>
      <c r="S403" s="11">
        <f>VLOOKUP(A403,[1]Sheet1!$A:$G,4,FALSE)</f>
        <v>0.16420000000000001</v>
      </c>
      <c r="T403" s="11">
        <f>VLOOKUP(A403,[1]Sheet1!$A:$G,5,FALSE)</f>
        <v>2</v>
      </c>
      <c r="U403" s="11">
        <f>VLOOKUP(A403,[1]Sheet1!$A:$G,6,FALSE)</f>
        <v>26</v>
      </c>
      <c r="V403" s="18">
        <f>VLOOKUP(A403,[1]Sheet1!$A:$G,7,FALSE)</f>
        <v>28</v>
      </c>
    </row>
    <row r="404" spans="1:22" s="13" customFormat="1" ht="30" customHeight="1">
      <c r="A404" s="17">
        <v>400</v>
      </c>
      <c r="B404" s="14">
        <v>40561</v>
      </c>
      <c r="C404" s="8" t="str">
        <f t="shared" si="18"/>
        <v>Tuesday</v>
      </c>
      <c r="D404" s="9">
        <v>1</v>
      </c>
      <c r="E404" s="9">
        <v>0</v>
      </c>
      <c r="F404" s="9">
        <v>1</v>
      </c>
      <c r="G404" s="7">
        <v>15</v>
      </c>
      <c r="H404" s="9" t="b">
        <v>0</v>
      </c>
      <c r="I404" s="9">
        <v>2</v>
      </c>
      <c r="J404" s="38" t="str">
        <f>CHOOSE(Table1[[#This Row],[Weekday]]+1,"Sunday","Monday","Tuesday","Wednesday","Thursday","Friday","Saturday")</f>
        <v>Tuesday</v>
      </c>
      <c r="K404" s="9">
        <v>2</v>
      </c>
      <c r="L404" s="38" t="str">
        <f>IF(Table1[[#This Row],[Weather_code]]=1,"Clear",IF(Table1[[#This Row],[Weather_code]]=2,"Cloudy",IF(Table1[[#This Row],[Weather_code]]=3,"Light Rain",IF(Table1[[#This Row],[Weather_code]]=4,"Heavy Rain"))))</f>
        <v>Cloudy</v>
      </c>
      <c r="M404" s="10">
        <v>0.22</v>
      </c>
      <c r="N404" s="11" t="str">
        <f t="shared" si="19"/>
        <v>Winter</v>
      </c>
      <c r="O404" s="11" t="str">
        <f t="shared" si="20"/>
        <v>Weekday</v>
      </c>
      <c r="P404" s="11">
        <f>VLOOKUP(A404,[1]Sheet1!$A:$H,2, FALSE)</f>
        <v>0.2273</v>
      </c>
      <c r="Q404" s="40">
        <f>Table1[[#This Row],[A_Temperature]]*41</f>
        <v>9.3193000000000001</v>
      </c>
      <c r="R404" s="11">
        <f>VLOOKUP(A404,[1]Sheet1!$A:$G,3,FALSE)</f>
        <v>0.87</v>
      </c>
      <c r="S404" s="11">
        <f>VLOOKUP(A404,[1]Sheet1!$A:$G,4,FALSE)</f>
        <v>0.16420000000000001</v>
      </c>
      <c r="T404" s="11">
        <f>VLOOKUP(A404,[1]Sheet1!$A:$G,5,FALSE)</f>
        <v>3</v>
      </c>
      <c r="U404" s="11">
        <f>VLOOKUP(A404,[1]Sheet1!$A:$G,6,FALSE)</f>
        <v>32</v>
      </c>
      <c r="V404" s="18">
        <f>VLOOKUP(A404,[1]Sheet1!$A:$G,7,FALSE)</f>
        <v>35</v>
      </c>
    </row>
    <row r="405" spans="1:22" s="13" customFormat="1" ht="30" customHeight="1">
      <c r="A405" s="17">
        <v>401</v>
      </c>
      <c r="B405" s="14">
        <v>40561</v>
      </c>
      <c r="C405" s="8" t="str">
        <f t="shared" si="18"/>
        <v>Tuesday</v>
      </c>
      <c r="D405" s="9">
        <v>1</v>
      </c>
      <c r="E405" s="9">
        <v>0</v>
      </c>
      <c r="F405" s="9">
        <v>1</v>
      </c>
      <c r="G405" s="7">
        <v>16</v>
      </c>
      <c r="H405" s="9" t="b">
        <v>0</v>
      </c>
      <c r="I405" s="9">
        <v>2</v>
      </c>
      <c r="J405" s="38" t="str">
        <f>CHOOSE(Table1[[#This Row],[Weekday]]+1,"Sunday","Monday","Tuesday","Wednesday","Thursday","Friday","Saturday")</f>
        <v>Tuesday</v>
      </c>
      <c r="K405" s="9">
        <v>2</v>
      </c>
      <c r="L405" s="38" t="str">
        <f>IF(Table1[[#This Row],[Weather_code]]=1,"Clear",IF(Table1[[#This Row],[Weather_code]]=2,"Cloudy",IF(Table1[[#This Row],[Weather_code]]=3,"Light Rain",IF(Table1[[#This Row],[Weather_code]]=4,"Heavy Rain"))))</f>
        <v>Cloudy</v>
      </c>
      <c r="M405" s="10">
        <v>0.22</v>
      </c>
      <c r="N405" s="11" t="str">
        <f t="shared" si="19"/>
        <v>Winter</v>
      </c>
      <c r="O405" s="11" t="str">
        <f t="shared" si="20"/>
        <v>Weekday</v>
      </c>
      <c r="P405" s="11">
        <f>VLOOKUP(A405,[1]Sheet1!$A:$H,2, FALSE)</f>
        <v>0.2273</v>
      </c>
      <c r="Q405" s="40">
        <f>Table1[[#This Row],[A_Temperature]]*41</f>
        <v>9.3193000000000001</v>
      </c>
      <c r="R405" s="11">
        <f>VLOOKUP(A405,[1]Sheet1!$A:$G,3,FALSE)</f>
        <v>0.87</v>
      </c>
      <c r="S405" s="11">
        <f>VLOOKUP(A405,[1]Sheet1!$A:$G,4,FALSE)</f>
        <v>0.19400000000000001</v>
      </c>
      <c r="T405" s="11">
        <f>VLOOKUP(A405,[1]Sheet1!$A:$G,5,FALSE)</f>
        <v>0</v>
      </c>
      <c r="U405" s="11">
        <f>VLOOKUP(A405,[1]Sheet1!$A:$G,6,FALSE)</f>
        <v>61</v>
      </c>
      <c r="V405" s="18">
        <f>VLOOKUP(A405,[1]Sheet1!$A:$G,7,FALSE)</f>
        <v>61</v>
      </c>
    </row>
    <row r="406" spans="1:22" s="13" customFormat="1" ht="30" customHeight="1">
      <c r="A406" s="17">
        <v>402</v>
      </c>
      <c r="B406" s="14">
        <v>40561</v>
      </c>
      <c r="C406" s="8" t="str">
        <f t="shared" si="18"/>
        <v>Tuesday</v>
      </c>
      <c r="D406" s="9">
        <v>1</v>
      </c>
      <c r="E406" s="9">
        <v>0</v>
      </c>
      <c r="F406" s="9">
        <v>1</v>
      </c>
      <c r="G406" s="7">
        <v>17</v>
      </c>
      <c r="H406" s="9" t="b">
        <v>0</v>
      </c>
      <c r="I406" s="9">
        <v>2</v>
      </c>
      <c r="J406" s="38" t="str">
        <f>CHOOSE(Table1[[#This Row],[Weekday]]+1,"Sunday","Monday","Tuesday","Wednesday","Thursday","Friday","Saturday")</f>
        <v>Tuesday</v>
      </c>
      <c r="K406" s="9">
        <v>2</v>
      </c>
      <c r="L406" s="38" t="str">
        <f>IF(Table1[[#This Row],[Weather_code]]=1,"Clear",IF(Table1[[#This Row],[Weather_code]]=2,"Cloudy",IF(Table1[[#This Row],[Weather_code]]=3,"Light Rain",IF(Table1[[#This Row],[Weather_code]]=4,"Heavy Rain"))))</f>
        <v>Cloudy</v>
      </c>
      <c r="M406" s="10">
        <v>0.22</v>
      </c>
      <c r="N406" s="11" t="str">
        <f t="shared" si="19"/>
        <v>Winter</v>
      </c>
      <c r="O406" s="11" t="str">
        <f t="shared" si="20"/>
        <v>Weekday</v>
      </c>
      <c r="P406" s="11">
        <f>VLOOKUP(A406,[1]Sheet1!$A:$H,2, FALSE)</f>
        <v>0.2273</v>
      </c>
      <c r="Q406" s="40">
        <f>Table1[[#This Row],[A_Temperature]]*41</f>
        <v>9.3193000000000001</v>
      </c>
      <c r="R406" s="11">
        <f>VLOOKUP(A406,[1]Sheet1!$A:$G,3,FALSE)</f>
        <v>0.82</v>
      </c>
      <c r="S406" s="11">
        <f>VLOOKUP(A406,[1]Sheet1!$A:$G,4,FALSE)</f>
        <v>0.19400000000000001</v>
      </c>
      <c r="T406" s="11">
        <f>VLOOKUP(A406,[1]Sheet1!$A:$G,5,FALSE)</f>
        <v>1</v>
      </c>
      <c r="U406" s="11">
        <f>VLOOKUP(A406,[1]Sheet1!$A:$G,6,FALSE)</f>
        <v>124</v>
      </c>
      <c r="V406" s="18">
        <f>VLOOKUP(A406,[1]Sheet1!$A:$G,7,FALSE)</f>
        <v>125</v>
      </c>
    </row>
    <row r="407" spans="1:22" s="13" customFormat="1" ht="30" customHeight="1">
      <c r="A407" s="17">
        <v>403</v>
      </c>
      <c r="B407" s="14">
        <v>40561</v>
      </c>
      <c r="C407" s="8" t="str">
        <f t="shared" si="18"/>
        <v>Tuesday</v>
      </c>
      <c r="D407" s="9">
        <v>1</v>
      </c>
      <c r="E407" s="9">
        <v>0</v>
      </c>
      <c r="F407" s="9">
        <v>1</v>
      </c>
      <c r="G407" s="7">
        <v>18</v>
      </c>
      <c r="H407" s="9" t="b">
        <v>0</v>
      </c>
      <c r="I407" s="9">
        <v>2</v>
      </c>
      <c r="J407" s="38" t="str">
        <f>CHOOSE(Table1[[#This Row],[Weekday]]+1,"Sunday","Monday","Tuesday","Wednesday","Thursday","Friday","Saturday")</f>
        <v>Tuesday</v>
      </c>
      <c r="K407" s="9">
        <v>2</v>
      </c>
      <c r="L407" s="38" t="str">
        <f>IF(Table1[[#This Row],[Weather_code]]=1,"Clear",IF(Table1[[#This Row],[Weather_code]]=2,"Cloudy",IF(Table1[[#This Row],[Weather_code]]=3,"Light Rain",IF(Table1[[#This Row],[Weather_code]]=4,"Heavy Rain"))))</f>
        <v>Cloudy</v>
      </c>
      <c r="M407" s="10">
        <v>0.22</v>
      </c>
      <c r="N407" s="11" t="str">
        <f t="shared" si="19"/>
        <v>Winter</v>
      </c>
      <c r="O407" s="11" t="str">
        <f t="shared" si="20"/>
        <v>Weekday</v>
      </c>
      <c r="P407" s="11">
        <f>VLOOKUP(A407,[1]Sheet1!$A:$H,2, FALSE)</f>
        <v>0.2273</v>
      </c>
      <c r="Q407" s="40">
        <f>Table1[[#This Row],[A_Temperature]]*41</f>
        <v>9.3193000000000001</v>
      </c>
      <c r="R407" s="11">
        <f>VLOOKUP(A407,[1]Sheet1!$A:$G,3,FALSE)</f>
        <v>0.8</v>
      </c>
      <c r="S407" s="11">
        <f>VLOOKUP(A407,[1]Sheet1!$A:$G,4,FALSE)</f>
        <v>0.16420000000000001</v>
      </c>
      <c r="T407" s="11">
        <f>VLOOKUP(A407,[1]Sheet1!$A:$G,5,FALSE)</f>
        <v>1</v>
      </c>
      <c r="U407" s="11">
        <f>VLOOKUP(A407,[1]Sheet1!$A:$G,6,FALSE)</f>
        <v>132</v>
      </c>
      <c r="V407" s="18">
        <f>VLOOKUP(A407,[1]Sheet1!$A:$G,7,FALSE)</f>
        <v>133</v>
      </c>
    </row>
    <row r="408" spans="1:22" s="13" customFormat="1" ht="30" customHeight="1">
      <c r="A408" s="17">
        <v>404</v>
      </c>
      <c r="B408" s="14">
        <v>40561</v>
      </c>
      <c r="C408" s="8" t="str">
        <f t="shared" si="18"/>
        <v>Tuesday</v>
      </c>
      <c r="D408" s="9">
        <v>1</v>
      </c>
      <c r="E408" s="9">
        <v>0</v>
      </c>
      <c r="F408" s="9">
        <v>1</v>
      </c>
      <c r="G408" s="7">
        <v>19</v>
      </c>
      <c r="H408" s="9" t="b">
        <v>0</v>
      </c>
      <c r="I408" s="9">
        <v>2</v>
      </c>
      <c r="J408" s="38" t="str">
        <f>CHOOSE(Table1[[#This Row],[Weekday]]+1,"Sunday","Monday","Tuesday","Wednesday","Thursday","Friday","Saturday")</f>
        <v>Tuesday</v>
      </c>
      <c r="K408" s="9">
        <v>2</v>
      </c>
      <c r="L408" s="38" t="str">
        <f>IF(Table1[[#This Row],[Weather_code]]=1,"Clear",IF(Table1[[#This Row],[Weather_code]]=2,"Cloudy",IF(Table1[[#This Row],[Weather_code]]=3,"Light Rain",IF(Table1[[#This Row],[Weather_code]]=4,"Heavy Rain"))))</f>
        <v>Cloudy</v>
      </c>
      <c r="M408" s="10">
        <v>0.22</v>
      </c>
      <c r="N408" s="11" t="str">
        <f t="shared" si="19"/>
        <v>Winter</v>
      </c>
      <c r="O408" s="11" t="str">
        <f t="shared" si="20"/>
        <v>Weekday</v>
      </c>
      <c r="P408" s="11">
        <f>VLOOKUP(A408,[1]Sheet1!$A:$H,2, FALSE)</f>
        <v>0.2273</v>
      </c>
      <c r="Q408" s="40">
        <f>Table1[[#This Row],[A_Temperature]]*41</f>
        <v>9.3193000000000001</v>
      </c>
      <c r="R408" s="11">
        <f>VLOOKUP(A408,[1]Sheet1!$A:$G,3,FALSE)</f>
        <v>0.8</v>
      </c>
      <c r="S408" s="11">
        <f>VLOOKUP(A408,[1]Sheet1!$A:$G,4,FALSE)</f>
        <v>0.1343</v>
      </c>
      <c r="T408" s="11">
        <f>VLOOKUP(A408,[1]Sheet1!$A:$G,5,FALSE)</f>
        <v>1</v>
      </c>
      <c r="U408" s="11">
        <f>VLOOKUP(A408,[1]Sheet1!$A:$G,6,FALSE)</f>
        <v>98</v>
      </c>
      <c r="V408" s="18">
        <f>VLOOKUP(A408,[1]Sheet1!$A:$G,7,FALSE)</f>
        <v>99</v>
      </c>
    </row>
    <row r="409" spans="1:22" s="13" customFormat="1" ht="30" customHeight="1">
      <c r="A409" s="17">
        <v>405</v>
      </c>
      <c r="B409" s="14">
        <v>40561</v>
      </c>
      <c r="C409" s="8" t="str">
        <f t="shared" si="18"/>
        <v>Tuesday</v>
      </c>
      <c r="D409" s="9">
        <v>1</v>
      </c>
      <c r="E409" s="9">
        <v>0</v>
      </c>
      <c r="F409" s="9">
        <v>1</v>
      </c>
      <c r="G409" s="7">
        <v>20</v>
      </c>
      <c r="H409" s="9" t="b">
        <v>0</v>
      </c>
      <c r="I409" s="9">
        <v>2</v>
      </c>
      <c r="J409" s="38" t="str">
        <f>CHOOSE(Table1[[#This Row],[Weekday]]+1,"Sunday","Monday","Tuesday","Wednesday","Thursday","Friday","Saturday")</f>
        <v>Tuesday</v>
      </c>
      <c r="K409" s="9">
        <v>2</v>
      </c>
      <c r="L409" s="38" t="str">
        <f>IF(Table1[[#This Row],[Weather_code]]=1,"Clear",IF(Table1[[#This Row],[Weather_code]]=2,"Cloudy",IF(Table1[[#This Row],[Weather_code]]=3,"Light Rain",IF(Table1[[#This Row],[Weather_code]]=4,"Heavy Rain"))))</f>
        <v>Cloudy</v>
      </c>
      <c r="M409" s="10">
        <v>0.22</v>
      </c>
      <c r="N409" s="11" t="str">
        <f t="shared" si="19"/>
        <v>Winter</v>
      </c>
      <c r="O409" s="11" t="str">
        <f t="shared" si="20"/>
        <v>Weekday</v>
      </c>
      <c r="P409" s="11">
        <f>VLOOKUP(A409,[1]Sheet1!$A:$H,2, FALSE)</f>
        <v>0.2727</v>
      </c>
      <c r="Q409" s="40">
        <f>Table1[[#This Row],[A_Temperature]]*41</f>
        <v>11.1807</v>
      </c>
      <c r="R409" s="11">
        <f>VLOOKUP(A409,[1]Sheet1!$A:$G,3,FALSE)</f>
        <v>0.87</v>
      </c>
      <c r="S409" s="11">
        <f>VLOOKUP(A409,[1]Sheet1!$A:$G,4,FALSE)</f>
        <v>0</v>
      </c>
      <c r="T409" s="11">
        <f>VLOOKUP(A409,[1]Sheet1!$A:$G,5,FALSE)</f>
        <v>0</v>
      </c>
      <c r="U409" s="11">
        <f>VLOOKUP(A409,[1]Sheet1!$A:$G,6,FALSE)</f>
        <v>83</v>
      </c>
      <c r="V409" s="18">
        <f>VLOOKUP(A409,[1]Sheet1!$A:$G,7,FALSE)</f>
        <v>83</v>
      </c>
    </row>
    <row r="410" spans="1:22" s="13" customFormat="1" ht="30" customHeight="1">
      <c r="A410" s="17">
        <v>406</v>
      </c>
      <c r="B410" s="14">
        <v>40561</v>
      </c>
      <c r="C410" s="8" t="str">
        <f t="shared" si="18"/>
        <v>Tuesday</v>
      </c>
      <c r="D410" s="9">
        <v>1</v>
      </c>
      <c r="E410" s="9">
        <v>0</v>
      </c>
      <c r="F410" s="9">
        <v>1</v>
      </c>
      <c r="G410" s="7">
        <v>21</v>
      </c>
      <c r="H410" s="9" t="b">
        <v>0</v>
      </c>
      <c r="I410" s="9">
        <v>2</v>
      </c>
      <c r="J410" s="38" t="str">
        <f>CHOOSE(Table1[[#This Row],[Weekday]]+1,"Sunday","Monday","Tuesday","Wednesday","Thursday","Friday","Saturday")</f>
        <v>Tuesday</v>
      </c>
      <c r="K410" s="9">
        <v>2</v>
      </c>
      <c r="L410" s="38" t="str">
        <f>IF(Table1[[#This Row],[Weather_code]]=1,"Clear",IF(Table1[[#This Row],[Weather_code]]=2,"Cloudy",IF(Table1[[#This Row],[Weather_code]]=3,"Light Rain",IF(Table1[[#This Row],[Weather_code]]=4,"Heavy Rain"))))</f>
        <v>Cloudy</v>
      </c>
      <c r="M410" s="10">
        <v>0.22</v>
      </c>
      <c r="N410" s="11" t="str">
        <f t="shared" si="19"/>
        <v>Winter</v>
      </c>
      <c r="O410" s="11" t="str">
        <f t="shared" si="20"/>
        <v>Weekday</v>
      </c>
      <c r="P410" s="11">
        <f>VLOOKUP(A410,[1]Sheet1!$A:$H,2, FALSE)</f>
        <v>0.2424</v>
      </c>
      <c r="Q410" s="40">
        <f>Table1[[#This Row],[A_Temperature]]*41</f>
        <v>9.9383999999999997</v>
      </c>
      <c r="R410" s="11">
        <f>VLOOKUP(A410,[1]Sheet1!$A:$G,3,FALSE)</f>
        <v>0.93</v>
      </c>
      <c r="S410" s="11">
        <f>VLOOKUP(A410,[1]Sheet1!$A:$G,4,FALSE)</f>
        <v>0.1045</v>
      </c>
      <c r="T410" s="11">
        <f>VLOOKUP(A410,[1]Sheet1!$A:$G,5,FALSE)</f>
        <v>0</v>
      </c>
      <c r="U410" s="11">
        <f>VLOOKUP(A410,[1]Sheet1!$A:$G,6,FALSE)</f>
        <v>41</v>
      </c>
      <c r="V410" s="18">
        <f>VLOOKUP(A410,[1]Sheet1!$A:$G,7,FALSE)</f>
        <v>41</v>
      </c>
    </row>
    <row r="411" spans="1:22" s="13" customFormat="1" ht="30" customHeight="1">
      <c r="A411" s="17">
        <v>407</v>
      </c>
      <c r="B411" s="14">
        <v>40561</v>
      </c>
      <c r="C411" s="8" t="str">
        <f t="shared" si="18"/>
        <v>Tuesday</v>
      </c>
      <c r="D411" s="9">
        <v>1</v>
      </c>
      <c r="E411" s="9">
        <v>0</v>
      </c>
      <c r="F411" s="9">
        <v>1</v>
      </c>
      <c r="G411" s="7">
        <v>22</v>
      </c>
      <c r="H411" s="9" t="b">
        <v>0</v>
      </c>
      <c r="I411" s="9">
        <v>2</v>
      </c>
      <c r="J411" s="38" t="str">
        <f>CHOOSE(Table1[[#This Row],[Weekday]]+1,"Sunday","Monday","Tuesday","Wednesday","Thursday","Friday","Saturday")</f>
        <v>Tuesday</v>
      </c>
      <c r="K411" s="9">
        <v>2</v>
      </c>
      <c r="L411" s="38" t="str">
        <f>IF(Table1[[#This Row],[Weather_code]]=1,"Clear",IF(Table1[[#This Row],[Weather_code]]=2,"Cloudy",IF(Table1[[#This Row],[Weather_code]]=3,"Light Rain",IF(Table1[[#This Row],[Weather_code]]=4,"Heavy Rain"))))</f>
        <v>Cloudy</v>
      </c>
      <c r="M411" s="10">
        <v>0.22</v>
      </c>
      <c r="N411" s="11" t="str">
        <f t="shared" si="19"/>
        <v>Winter</v>
      </c>
      <c r="O411" s="11" t="str">
        <f t="shared" si="20"/>
        <v>Weekday</v>
      </c>
      <c r="P411" s="11">
        <f>VLOOKUP(A411,[1]Sheet1!$A:$H,2, FALSE)</f>
        <v>0.2576</v>
      </c>
      <c r="Q411" s="40">
        <f>Table1[[#This Row],[A_Temperature]]*41</f>
        <v>10.5616</v>
      </c>
      <c r="R411" s="11">
        <f>VLOOKUP(A411,[1]Sheet1!$A:$G,3,FALSE)</f>
        <v>0.93</v>
      </c>
      <c r="S411" s="11">
        <f>VLOOKUP(A411,[1]Sheet1!$A:$G,4,FALSE)</f>
        <v>8.9599999999999999E-2</v>
      </c>
      <c r="T411" s="11">
        <f>VLOOKUP(A411,[1]Sheet1!$A:$G,5,FALSE)</f>
        <v>0</v>
      </c>
      <c r="U411" s="11">
        <f>VLOOKUP(A411,[1]Sheet1!$A:$G,6,FALSE)</f>
        <v>33</v>
      </c>
      <c r="V411" s="18">
        <f>VLOOKUP(A411,[1]Sheet1!$A:$G,7,FALSE)</f>
        <v>33</v>
      </c>
    </row>
    <row r="412" spans="1:22" s="13" customFormat="1" ht="30" customHeight="1">
      <c r="A412" s="17">
        <v>408</v>
      </c>
      <c r="B412" s="14">
        <v>40561</v>
      </c>
      <c r="C412" s="8" t="str">
        <f t="shared" si="18"/>
        <v>Tuesday</v>
      </c>
      <c r="D412" s="9">
        <v>1</v>
      </c>
      <c r="E412" s="9">
        <v>0</v>
      </c>
      <c r="F412" s="9">
        <v>1</v>
      </c>
      <c r="G412" s="7">
        <v>23</v>
      </c>
      <c r="H412" s="9" t="b">
        <v>0</v>
      </c>
      <c r="I412" s="9">
        <v>2</v>
      </c>
      <c r="J412" s="38" t="str">
        <f>CHOOSE(Table1[[#This Row],[Weekday]]+1,"Sunday","Monday","Tuesday","Wednesday","Thursday","Friday","Saturday")</f>
        <v>Tuesday</v>
      </c>
      <c r="K412" s="9">
        <v>2</v>
      </c>
      <c r="L412" s="38" t="str">
        <f>IF(Table1[[#This Row],[Weather_code]]=1,"Clear",IF(Table1[[#This Row],[Weather_code]]=2,"Cloudy",IF(Table1[[#This Row],[Weather_code]]=3,"Light Rain",IF(Table1[[#This Row],[Weather_code]]=4,"Heavy Rain"))))</f>
        <v>Cloudy</v>
      </c>
      <c r="M412" s="10">
        <v>0.22</v>
      </c>
      <c r="N412" s="11" t="str">
        <f t="shared" si="19"/>
        <v>Winter</v>
      </c>
      <c r="O412" s="11" t="str">
        <f t="shared" si="20"/>
        <v>Weekday</v>
      </c>
      <c r="P412" s="11">
        <f>VLOOKUP(A412,[1]Sheet1!$A:$H,2, FALSE)</f>
        <v>0.2727</v>
      </c>
      <c r="Q412" s="40">
        <f>Table1[[#This Row],[A_Temperature]]*41</f>
        <v>11.1807</v>
      </c>
      <c r="R412" s="11">
        <f>VLOOKUP(A412,[1]Sheet1!$A:$G,3,FALSE)</f>
        <v>0.93</v>
      </c>
      <c r="S412" s="11">
        <f>VLOOKUP(A412,[1]Sheet1!$A:$G,4,FALSE)</f>
        <v>0</v>
      </c>
      <c r="T412" s="11">
        <f>VLOOKUP(A412,[1]Sheet1!$A:$G,5,FALSE)</f>
        <v>1</v>
      </c>
      <c r="U412" s="11">
        <f>VLOOKUP(A412,[1]Sheet1!$A:$G,6,FALSE)</f>
        <v>19</v>
      </c>
      <c r="V412" s="18">
        <f>VLOOKUP(A412,[1]Sheet1!$A:$G,7,FALSE)</f>
        <v>20</v>
      </c>
    </row>
    <row r="413" spans="1:22" s="13" customFormat="1" ht="30" customHeight="1">
      <c r="A413" s="17">
        <v>409</v>
      </c>
      <c r="B413" s="14">
        <v>40562</v>
      </c>
      <c r="C413" s="8" t="str">
        <f t="shared" ref="C413:C476" si="21">TEXT(B413,"DDDD")</f>
        <v>Wednesday</v>
      </c>
      <c r="D413" s="9">
        <v>1</v>
      </c>
      <c r="E413" s="9">
        <v>0</v>
      </c>
      <c r="F413" s="9">
        <v>1</v>
      </c>
      <c r="G413" s="7">
        <v>0</v>
      </c>
      <c r="H413" s="9" t="b">
        <v>0</v>
      </c>
      <c r="I413" s="9">
        <v>3</v>
      </c>
      <c r="J413" s="38" t="str">
        <f>CHOOSE(Table1[[#This Row],[Weekday]]+1,"Sunday","Monday","Tuesday","Wednesday","Thursday","Friday","Saturday")</f>
        <v>Wednesday</v>
      </c>
      <c r="K413" s="9">
        <v>2</v>
      </c>
      <c r="L413" s="38" t="str">
        <f>IF(Table1[[#This Row],[Weather_code]]=1,"Clear",IF(Table1[[#This Row],[Weather_code]]=2,"Cloudy",IF(Table1[[#This Row],[Weather_code]]=3,"Light Rain",IF(Table1[[#This Row],[Weather_code]]=4,"Heavy Rain"))))</f>
        <v>Cloudy</v>
      </c>
      <c r="M413" s="10">
        <v>0.22</v>
      </c>
      <c r="N413" s="11" t="str">
        <f t="shared" si="19"/>
        <v>Winter</v>
      </c>
      <c r="O413" s="11" t="str">
        <f t="shared" si="20"/>
        <v>Weekday</v>
      </c>
      <c r="P413" s="11">
        <f>VLOOKUP(A413,[1]Sheet1!$A:$H,2, FALSE)</f>
        <v>0.2727</v>
      </c>
      <c r="Q413" s="40">
        <f>Table1[[#This Row],[A_Temperature]]*41</f>
        <v>11.1807</v>
      </c>
      <c r="R413" s="11">
        <f>VLOOKUP(A413,[1]Sheet1!$A:$G,3,FALSE)</f>
        <v>0.93</v>
      </c>
      <c r="S413" s="11">
        <f>VLOOKUP(A413,[1]Sheet1!$A:$G,4,FALSE)</f>
        <v>0</v>
      </c>
      <c r="T413" s="11">
        <f>VLOOKUP(A413,[1]Sheet1!$A:$G,5,FALSE)</f>
        <v>0</v>
      </c>
      <c r="U413" s="11">
        <f>VLOOKUP(A413,[1]Sheet1!$A:$G,6,FALSE)</f>
        <v>3</v>
      </c>
      <c r="V413" s="18">
        <f>VLOOKUP(A413,[1]Sheet1!$A:$G,7,FALSE)</f>
        <v>3</v>
      </c>
    </row>
    <row r="414" spans="1:22" s="13" customFormat="1" ht="30" customHeight="1">
      <c r="A414" s="17">
        <v>410</v>
      </c>
      <c r="B414" s="14">
        <v>40562</v>
      </c>
      <c r="C414" s="8" t="str">
        <f t="shared" si="21"/>
        <v>Wednesday</v>
      </c>
      <c r="D414" s="9">
        <v>1</v>
      </c>
      <c r="E414" s="9">
        <v>0</v>
      </c>
      <c r="F414" s="9">
        <v>1</v>
      </c>
      <c r="G414" s="7">
        <v>1</v>
      </c>
      <c r="H414" s="9" t="b">
        <v>0</v>
      </c>
      <c r="I414" s="9">
        <v>3</v>
      </c>
      <c r="J414" s="38" t="str">
        <f>CHOOSE(Table1[[#This Row],[Weekday]]+1,"Sunday","Monday","Tuesday","Wednesday","Thursday","Friday","Saturday")</f>
        <v>Wednesday</v>
      </c>
      <c r="K414" s="9">
        <v>3</v>
      </c>
      <c r="L414" s="38" t="str">
        <f>IF(Table1[[#This Row],[Weather_code]]=1,"Clear",IF(Table1[[#This Row],[Weather_code]]=2,"Cloudy",IF(Table1[[#This Row],[Weather_code]]=3,"Light Rain",IF(Table1[[#This Row],[Weather_code]]=4,"Heavy Rain"))))</f>
        <v>Light Rain</v>
      </c>
      <c r="M414" s="10">
        <v>0.22</v>
      </c>
      <c r="N414" s="11" t="str">
        <f t="shared" si="19"/>
        <v>Winter</v>
      </c>
      <c r="O414" s="11" t="str">
        <f t="shared" si="20"/>
        <v>Weekday</v>
      </c>
      <c r="P414" s="11">
        <f>VLOOKUP(A414,[1]Sheet1!$A:$H,2, FALSE)</f>
        <v>0.2273</v>
      </c>
      <c r="Q414" s="40">
        <f>Table1[[#This Row],[A_Temperature]]*41</f>
        <v>9.3193000000000001</v>
      </c>
      <c r="R414" s="11">
        <f>VLOOKUP(A414,[1]Sheet1!$A:$G,3,FALSE)</f>
        <v>0.93</v>
      </c>
      <c r="S414" s="11">
        <f>VLOOKUP(A414,[1]Sheet1!$A:$G,4,FALSE)</f>
        <v>0.1343</v>
      </c>
      <c r="T414" s="11">
        <f>VLOOKUP(A414,[1]Sheet1!$A:$G,5,FALSE)</f>
        <v>1</v>
      </c>
      <c r="U414" s="11">
        <f>VLOOKUP(A414,[1]Sheet1!$A:$G,6,FALSE)</f>
        <v>6</v>
      </c>
      <c r="V414" s="18">
        <f>VLOOKUP(A414,[1]Sheet1!$A:$G,7,FALSE)</f>
        <v>7</v>
      </c>
    </row>
    <row r="415" spans="1:22" s="13" customFormat="1" ht="30" customHeight="1">
      <c r="A415" s="17">
        <v>411</v>
      </c>
      <c r="B415" s="14">
        <v>40562</v>
      </c>
      <c r="C415" s="8" t="str">
        <f t="shared" si="21"/>
        <v>Wednesday</v>
      </c>
      <c r="D415" s="9">
        <v>1</v>
      </c>
      <c r="E415" s="9">
        <v>0</v>
      </c>
      <c r="F415" s="9">
        <v>1</v>
      </c>
      <c r="G415" s="7">
        <v>2</v>
      </c>
      <c r="H415" s="9" t="b">
        <v>0</v>
      </c>
      <c r="I415" s="9">
        <v>3</v>
      </c>
      <c r="J415" s="38" t="str">
        <f>CHOOSE(Table1[[#This Row],[Weekday]]+1,"Sunday","Monday","Tuesday","Wednesday","Thursday","Friday","Saturday")</f>
        <v>Wednesday</v>
      </c>
      <c r="K415" s="9">
        <v>3</v>
      </c>
      <c r="L415" s="38" t="str">
        <f>IF(Table1[[#This Row],[Weather_code]]=1,"Clear",IF(Table1[[#This Row],[Weather_code]]=2,"Cloudy",IF(Table1[[#This Row],[Weather_code]]=3,"Light Rain",IF(Table1[[#This Row],[Weather_code]]=4,"Heavy Rain"))))</f>
        <v>Light Rain</v>
      </c>
      <c r="M415" s="10">
        <v>0.22</v>
      </c>
      <c r="N415" s="11" t="str">
        <f t="shared" si="19"/>
        <v>Winter</v>
      </c>
      <c r="O415" s="11" t="str">
        <f t="shared" si="20"/>
        <v>Weekday</v>
      </c>
      <c r="P415" s="11">
        <f>VLOOKUP(A415,[1]Sheet1!$A:$H,2, FALSE)</f>
        <v>0.2273</v>
      </c>
      <c r="Q415" s="40">
        <f>Table1[[#This Row],[A_Temperature]]*41</f>
        <v>9.3193000000000001</v>
      </c>
      <c r="R415" s="11">
        <f>VLOOKUP(A415,[1]Sheet1!$A:$G,3,FALSE)</f>
        <v>0.93</v>
      </c>
      <c r="S415" s="11">
        <f>VLOOKUP(A415,[1]Sheet1!$A:$G,4,FALSE)</f>
        <v>0.1343</v>
      </c>
      <c r="T415" s="11">
        <f>VLOOKUP(A415,[1]Sheet1!$A:$G,5,FALSE)</f>
        <v>0</v>
      </c>
      <c r="U415" s="11">
        <f>VLOOKUP(A415,[1]Sheet1!$A:$G,6,FALSE)</f>
        <v>3</v>
      </c>
      <c r="V415" s="18">
        <f>VLOOKUP(A415,[1]Sheet1!$A:$G,7,FALSE)</f>
        <v>3</v>
      </c>
    </row>
    <row r="416" spans="1:22" s="13" customFormat="1" ht="30" customHeight="1">
      <c r="A416" s="17">
        <v>412</v>
      </c>
      <c r="B416" s="14">
        <v>40562</v>
      </c>
      <c r="C416" s="8" t="str">
        <f t="shared" si="21"/>
        <v>Wednesday</v>
      </c>
      <c r="D416" s="9">
        <v>1</v>
      </c>
      <c r="E416" s="9">
        <v>0</v>
      </c>
      <c r="F416" s="9">
        <v>1</v>
      </c>
      <c r="G416" s="7">
        <v>4</v>
      </c>
      <c r="H416" s="9" t="b">
        <v>0</v>
      </c>
      <c r="I416" s="9">
        <v>3</v>
      </c>
      <c r="J416" s="38" t="str">
        <f>CHOOSE(Table1[[#This Row],[Weekday]]+1,"Sunday","Monday","Tuesday","Wednesday","Thursday","Friday","Saturday")</f>
        <v>Wednesday</v>
      </c>
      <c r="K416" s="9">
        <v>3</v>
      </c>
      <c r="L416" s="38" t="str">
        <f>IF(Table1[[#This Row],[Weather_code]]=1,"Clear",IF(Table1[[#This Row],[Weather_code]]=2,"Cloudy",IF(Table1[[#This Row],[Weather_code]]=3,"Light Rain",IF(Table1[[#This Row],[Weather_code]]=4,"Heavy Rain"))))</f>
        <v>Light Rain</v>
      </c>
      <c r="M416" s="10">
        <v>0.22</v>
      </c>
      <c r="N416" s="11" t="str">
        <f t="shared" si="19"/>
        <v>Winter</v>
      </c>
      <c r="O416" s="11" t="str">
        <f t="shared" si="20"/>
        <v>Weekday</v>
      </c>
      <c r="P416" s="11">
        <f>VLOOKUP(A416,[1]Sheet1!$A:$H,2, FALSE)</f>
        <v>0.2273</v>
      </c>
      <c r="Q416" s="40">
        <f>Table1[[#This Row],[A_Temperature]]*41</f>
        <v>9.3193000000000001</v>
      </c>
      <c r="R416" s="11">
        <f>VLOOKUP(A416,[1]Sheet1!$A:$G,3,FALSE)</f>
        <v>0.93</v>
      </c>
      <c r="S416" s="11">
        <f>VLOOKUP(A416,[1]Sheet1!$A:$G,4,FALSE)</f>
        <v>0.1343</v>
      </c>
      <c r="T416" s="11">
        <f>VLOOKUP(A416,[1]Sheet1!$A:$G,5,FALSE)</f>
        <v>1</v>
      </c>
      <c r="U416" s="11">
        <f>VLOOKUP(A416,[1]Sheet1!$A:$G,6,FALSE)</f>
        <v>1</v>
      </c>
      <c r="V416" s="18">
        <f>VLOOKUP(A416,[1]Sheet1!$A:$G,7,FALSE)</f>
        <v>2</v>
      </c>
    </row>
    <row r="417" spans="1:22" s="13" customFormat="1" ht="30" customHeight="1">
      <c r="A417" s="17">
        <v>413</v>
      </c>
      <c r="B417" s="14">
        <v>40562</v>
      </c>
      <c r="C417" s="8" t="str">
        <f t="shared" si="21"/>
        <v>Wednesday</v>
      </c>
      <c r="D417" s="9">
        <v>1</v>
      </c>
      <c r="E417" s="9">
        <v>0</v>
      </c>
      <c r="F417" s="9">
        <v>1</v>
      </c>
      <c r="G417" s="7">
        <v>5</v>
      </c>
      <c r="H417" s="9" t="b">
        <v>0</v>
      </c>
      <c r="I417" s="9">
        <v>3</v>
      </c>
      <c r="J417" s="38" t="str">
        <f>CHOOSE(Table1[[#This Row],[Weekday]]+1,"Sunday","Monday","Tuesday","Wednesday","Thursday","Friday","Saturday")</f>
        <v>Wednesday</v>
      </c>
      <c r="K417" s="9">
        <v>2</v>
      </c>
      <c r="L417" s="38" t="str">
        <f>IF(Table1[[#This Row],[Weather_code]]=1,"Clear",IF(Table1[[#This Row],[Weather_code]]=2,"Cloudy",IF(Table1[[#This Row],[Weather_code]]=3,"Light Rain",IF(Table1[[#This Row],[Weather_code]]=4,"Heavy Rain"))))</f>
        <v>Cloudy</v>
      </c>
      <c r="M417" s="10">
        <v>0.22</v>
      </c>
      <c r="N417" s="11" t="str">
        <f t="shared" si="19"/>
        <v>Winter</v>
      </c>
      <c r="O417" s="11" t="str">
        <f t="shared" si="20"/>
        <v>Weekday</v>
      </c>
      <c r="P417" s="11">
        <f>VLOOKUP(A417,[1]Sheet1!$A:$H,2, FALSE)</f>
        <v>0.2576</v>
      </c>
      <c r="Q417" s="40">
        <f>Table1[[#This Row],[A_Temperature]]*41</f>
        <v>10.5616</v>
      </c>
      <c r="R417" s="11">
        <f>VLOOKUP(A417,[1]Sheet1!$A:$G,3,FALSE)</f>
        <v>0.93</v>
      </c>
      <c r="S417" s="11">
        <f>VLOOKUP(A417,[1]Sheet1!$A:$G,4,FALSE)</f>
        <v>8.9599999999999999E-2</v>
      </c>
      <c r="T417" s="11">
        <f>VLOOKUP(A417,[1]Sheet1!$A:$G,5,FALSE)</f>
        <v>0</v>
      </c>
      <c r="U417" s="11">
        <f>VLOOKUP(A417,[1]Sheet1!$A:$G,6,FALSE)</f>
        <v>7</v>
      </c>
      <c r="V417" s="18">
        <f>VLOOKUP(A417,[1]Sheet1!$A:$G,7,FALSE)</f>
        <v>7</v>
      </c>
    </row>
    <row r="418" spans="1:22" s="13" customFormat="1" ht="30" customHeight="1">
      <c r="A418" s="17">
        <v>414</v>
      </c>
      <c r="B418" s="14">
        <v>40562</v>
      </c>
      <c r="C418" s="8" t="str">
        <f t="shared" si="21"/>
        <v>Wednesday</v>
      </c>
      <c r="D418" s="9">
        <v>1</v>
      </c>
      <c r="E418" s="9">
        <v>0</v>
      </c>
      <c r="F418" s="9">
        <v>1</v>
      </c>
      <c r="G418" s="7">
        <v>6</v>
      </c>
      <c r="H418" s="9" t="b">
        <v>0</v>
      </c>
      <c r="I418" s="9">
        <v>3</v>
      </c>
      <c r="J418" s="38" t="str">
        <f>CHOOSE(Table1[[#This Row],[Weekday]]+1,"Sunday","Monday","Tuesday","Wednesday","Thursday","Friday","Saturday")</f>
        <v>Wednesday</v>
      </c>
      <c r="K418" s="9">
        <v>2</v>
      </c>
      <c r="L418" s="38" t="str">
        <f>IF(Table1[[#This Row],[Weather_code]]=1,"Clear",IF(Table1[[#This Row],[Weather_code]]=2,"Cloudy",IF(Table1[[#This Row],[Weather_code]]=3,"Light Rain",IF(Table1[[#This Row],[Weather_code]]=4,"Heavy Rain"))))</f>
        <v>Cloudy</v>
      </c>
      <c r="M418" s="10">
        <v>0.22</v>
      </c>
      <c r="N418" s="11" t="str">
        <f t="shared" si="19"/>
        <v>Winter</v>
      </c>
      <c r="O418" s="11" t="str">
        <f t="shared" si="20"/>
        <v>Weekday</v>
      </c>
      <c r="P418" s="11">
        <f>VLOOKUP(A418,[1]Sheet1!$A:$H,2, FALSE)</f>
        <v>0.2576</v>
      </c>
      <c r="Q418" s="40">
        <f>Table1[[#This Row],[A_Temperature]]*41</f>
        <v>10.5616</v>
      </c>
      <c r="R418" s="11">
        <f>VLOOKUP(A418,[1]Sheet1!$A:$G,3,FALSE)</f>
        <v>0.93</v>
      </c>
      <c r="S418" s="11">
        <f>VLOOKUP(A418,[1]Sheet1!$A:$G,4,FALSE)</f>
        <v>8.9599999999999999E-2</v>
      </c>
      <c r="T418" s="11">
        <f>VLOOKUP(A418,[1]Sheet1!$A:$G,5,FALSE)</f>
        <v>0</v>
      </c>
      <c r="U418" s="11">
        <f>VLOOKUP(A418,[1]Sheet1!$A:$G,6,FALSE)</f>
        <v>32</v>
      </c>
      <c r="V418" s="18">
        <f>VLOOKUP(A418,[1]Sheet1!$A:$G,7,FALSE)</f>
        <v>32</v>
      </c>
    </row>
    <row r="419" spans="1:22" s="13" customFormat="1" ht="30" customHeight="1">
      <c r="A419" s="17">
        <v>415</v>
      </c>
      <c r="B419" s="14">
        <v>40562</v>
      </c>
      <c r="C419" s="8" t="str">
        <f t="shared" si="21"/>
        <v>Wednesday</v>
      </c>
      <c r="D419" s="9">
        <v>1</v>
      </c>
      <c r="E419" s="9">
        <v>0</v>
      </c>
      <c r="F419" s="9">
        <v>1</v>
      </c>
      <c r="G419" s="7">
        <v>7</v>
      </c>
      <c r="H419" s="9" t="b">
        <v>0</v>
      </c>
      <c r="I419" s="9">
        <v>3</v>
      </c>
      <c r="J419" s="38" t="str">
        <f>CHOOSE(Table1[[#This Row],[Weekday]]+1,"Sunday","Monday","Tuesday","Wednesday","Thursday","Friday","Saturday")</f>
        <v>Wednesday</v>
      </c>
      <c r="K419" s="9">
        <v>2</v>
      </c>
      <c r="L419" s="38" t="str">
        <f>IF(Table1[[#This Row],[Weather_code]]=1,"Clear",IF(Table1[[#This Row],[Weather_code]]=2,"Cloudy",IF(Table1[[#This Row],[Weather_code]]=3,"Light Rain",IF(Table1[[#This Row],[Weather_code]]=4,"Heavy Rain"))))</f>
        <v>Cloudy</v>
      </c>
      <c r="M419" s="10">
        <v>0.24</v>
      </c>
      <c r="N419" s="11" t="str">
        <f t="shared" si="19"/>
        <v>Winter</v>
      </c>
      <c r="O419" s="11" t="str">
        <f t="shared" si="20"/>
        <v>Weekday</v>
      </c>
      <c r="P419" s="11">
        <f>VLOOKUP(A419,[1]Sheet1!$A:$H,2, FALSE)</f>
        <v>0.2576</v>
      </c>
      <c r="Q419" s="40">
        <f>Table1[[#This Row],[A_Temperature]]*41</f>
        <v>10.5616</v>
      </c>
      <c r="R419" s="11">
        <f>VLOOKUP(A419,[1]Sheet1!$A:$G,3,FALSE)</f>
        <v>0.92</v>
      </c>
      <c r="S419" s="11">
        <f>VLOOKUP(A419,[1]Sheet1!$A:$G,4,FALSE)</f>
        <v>0.1045</v>
      </c>
      <c r="T419" s="11">
        <f>VLOOKUP(A419,[1]Sheet1!$A:$G,5,FALSE)</f>
        <v>1</v>
      </c>
      <c r="U419" s="11">
        <f>VLOOKUP(A419,[1]Sheet1!$A:$G,6,FALSE)</f>
        <v>89</v>
      </c>
      <c r="V419" s="18">
        <f>VLOOKUP(A419,[1]Sheet1!$A:$G,7,FALSE)</f>
        <v>90</v>
      </c>
    </row>
    <row r="420" spans="1:22" s="13" customFormat="1" ht="30" customHeight="1">
      <c r="A420" s="17">
        <v>416</v>
      </c>
      <c r="B420" s="14">
        <v>40562</v>
      </c>
      <c r="C420" s="8" t="str">
        <f t="shared" si="21"/>
        <v>Wednesday</v>
      </c>
      <c r="D420" s="9">
        <v>1</v>
      </c>
      <c r="E420" s="9">
        <v>0</v>
      </c>
      <c r="F420" s="9">
        <v>1</v>
      </c>
      <c r="G420" s="7">
        <v>8</v>
      </c>
      <c r="H420" s="9" t="b">
        <v>0</v>
      </c>
      <c r="I420" s="9">
        <v>3</v>
      </c>
      <c r="J420" s="38" t="str">
        <f>CHOOSE(Table1[[#This Row],[Weekday]]+1,"Sunday","Monday","Tuesday","Wednesday","Thursday","Friday","Saturday")</f>
        <v>Wednesday</v>
      </c>
      <c r="K420" s="9">
        <v>2</v>
      </c>
      <c r="L420" s="38" t="str">
        <f>IF(Table1[[#This Row],[Weather_code]]=1,"Clear",IF(Table1[[#This Row],[Weather_code]]=2,"Cloudy",IF(Table1[[#This Row],[Weather_code]]=3,"Light Rain",IF(Table1[[#This Row],[Weather_code]]=4,"Heavy Rain"))))</f>
        <v>Cloudy</v>
      </c>
      <c r="M420" s="10">
        <v>0.24</v>
      </c>
      <c r="N420" s="11" t="str">
        <f t="shared" si="19"/>
        <v>Winter</v>
      </c>
      <c r="O420" s="11" t="str">
        <f t="shared" si="20"/>
        <v>Weekday</v>
      </c>
      <c r="P420" s="11">
        <f>VLOOKUP(A420,[1]Sheet1!$A:$H,2, FALSE)</f>
        <v>0.2576</v>
      </c>
      <c r="Q420" s="40">
        <f>Table1[[#This Row],[A_Temperature]]*41</f>
        <v>10.5616</v>
      </c>
      <c r="R420" s="11">
        <f>VLOOKUP(A420,[1]Sheet1!$A:$G,3,FALSE)</f>
        <v>0.93</v>
      </c>
      <c r="S420" s="11">
        <f>VLOOKUP(A420,[1]Sheet1!$A:$G,4,FALSE)</f>
        <v>0.1045</v>
      </c>
      <c r="T420" s="11">
        <f>VLOOKUP(A420,[1]Sheet1!$A:$G,5,FALSE)</f>
        <v>1</v>
      </c>
      <c r="U420" s="11">
        <f>VLOOKUP(A420,[1]Sheet1!$A:$G,6,FALSE)</f>
        <v>196</v>
      </c>
      <c r="V420" s="18">
        <f>VLOOKUP(A420,[1]Sheet1!$A:$G,7,FALSE)</f>
        <v>197</v>
      </c>
    </row>
    <row r="421" spans="1:22" s="13" customFormat="1" ht="30" customHeight="1">
      <c r="A421" s="17">
        <v>417</v>
      </c>
      <c r="B421" s="14">
        <v>40562</v>
      </c>
      <c r="C421" s="8" t="str">
        <f t="shared" si="21"/>
        <v>Wednesday</v>
      </c>
      <c r="D421" s="9">
        <v>1</v>
      </c>
      <c r="E421" s="9">
        <v>0</v>
      </c>
      <c r="F421" s="9">
        <v>1</v>
      </c>
      <c r="G421" s="7">
        <v>9</v>
      </c>
      <c r="H421" s="9" t="b">
        <v>0</v>
      </c>
      <c r="I421" s="9">
        <v>3</v>
      </c>
      <c r="J421" s="38" t="str">
        <f>CHOOSE(Table1[[#This Row],[Weekday]]+1,"Sunday","Monday","Tuesday","Wednesday","Thursday","Friday","Saturday")</f>
        <v>Wednesday</v>
      </c>
      <c r="K421" s="9">
        <v>2</v>
      </c>
      <c r="L421" s="38" t="str">
        <f>IF(Table1[[#This Row],[Weather_code]]=1,"Clear",IF(Table1[[#This Row],[Weather_code]]=2,"Cloudy",IF(Table1[[#This Row],[Weather_code]]=3,"Light Rain",IF(Table1[[#This Row],[Weather_code]]=4,"Heavy Rain"))))</f>
        <v>Cloudy</v>
      </c>
      <c r="M421" s="10">
        <v>0.24</v>
      </c>
      <c r="N421" s="11" t="str">
        <f t="shared" si="19"/>
        <v>Winter</v>
      </c>
      <c r="O421" s="11" t="str">
        <f t="shared" si="20"/>
        <v>Weekday</v>
      </c>
      <c r="P421" s="11">
        <f>VLOOKUP(A421,[1]Sheet1!$A:$H,2, FALSE)</f>
        <v>0.2576</v>
      </c>
      <c r="Q421" s="40">
        <f>Table1[[#This Row],[A_Temperature]]*41</f>
        <v>10.5616</v>
      </c>
      <c r="R421" s="11">
        <f>VLOOKUP(A421,[1]Sheet1!$A:$G,3,FALSE)</f>
        <v>0.93</v>
      </c>
      <c r="S421" s="11">
        <f>VLOOKUP(A421,[1]Sheet1!$A:$G,4,FALSE)</f>
        <v>0.1045</v>
      </c>
      <c r="T421" s="11">
        <f>VLOOKUP(A421,[1]Sheet1!$A:$G,5,FALSE)</f>
        <v>2</v>
      </c>
      <c r="U421" s="11">
        <f>VLOOKUP(A421,[1]Sheet1!$A:$G,6,FALSE)</f>
        <v>107</v>
      </c>
      <c r="V421" s="18">
        <f>VLOOKUP(A421,[1]Sheet1!$A:$G,7,FALSE)</f>
        <v>109</v>
      </c>
    </row>
    <row r="422" spans="1:22" s="13" customFormat="1" ht="30" customHeight="1">
      <c r="A422" s="17">
        <v>418</v>
      </c>
      <c r="B422" s="14">
        <v>40562</v>
      </c>
      <c r="C422" s="8" t="str">
        <f t="shared" si="21"/>
        <v>Wednesday</v>
      </c>
      <c r="D422" s="9">
        <v>1</v>
      </c>
      <c r="E422" s="9">
        <v>0</v>
      </c>
      <c r="F422" s="9">
        <v>1</v>
      </c>
      <c r="G422" s="7">
        <v>10</v>
      </c>
      <c r="H422" s="9" t="b">
        <v>0</v>
      </c>
      <c r="I422" s="9">
        <v>3</v>
      </c>
      <c r="J422" s="38" t="str">
        <f>CHOOSE(Table1[[#This Row],[Weekday]]+1,"Sunday","Monday","Tuesday","Wednesday","Thursday","Friday","Saturday")</f>
        <v>Wednesday</v>
      </c>
      <c r="K422" s="9">
        <v>2</v>
      </c>
      <c r="L422" s="38" t="str">
        <f>IF(Table1[[#This Row],[Weather_code]]=1,"Clear",IF(Table1[[#This Row],[Weather_code]]=2,"Cloudy",IF(Table1[[#This Row],[Weather_code]]=3,"Light Rain",IF(Table1[[#This Row],[Weather_code]]=4,"Heavy Rain"))))</f>
        <v>Cloudy</v>
      </c>
      <c r="M422" s="10">
        <v>0.26</v>
      </c>
      <c r="N422" s="11" t="str">
        <f t="shared" si="19"/>
        <v>Winter</v>
      </c>
      <c r="O422" s="11" t="str">
        <f t="shared" si="20"/>
        <v>Weekday</v>
      </c>
      <c r="P422" s="11">
        <f>VLOOKUP(A422,[1]Sheet1!$A:$H,2, FALSE)</f>
        <v>0.2727</v>
      </c>
      <c r="Q422" s="40">
        <f>Table1[[#This Row],[A_Temperature]]*41</f>
        <v>11.1807</v>
      </c>
      <c r="R422" s="11">
        <f>VLOOKUP(A422,[1]Sheet1!$A:$G,3,FALSE)</f>
        <v>0.93</v>
      </c>
      <c r="S422" s="11">
        <f>VLOOKUP(A422,[1]Sheet1!$A:$G,4,FALSE)</f>
        <v>0.1343</v>
      </c>
      <c r="T422" s="11">
        <f>VLOOKUP(A422,[1]Sheet1!$A:$G,5,FALSE)</f>
        <v>1</v>
      </c>
      <c r="U422" s="11">
        <f>VLOOKUP(A422,[1]Sheet1!$A:$G,6,FALSE)</f>
        <v>46</v>
      </c>
      <c r="V422" s="18">
        <f>VLOOKUP(A422,[1]Sheet1!$A:$G,7,FALSE)</f>
        <v>47</v>
      </c>
    </row>
    <row r="423" spans="1:22" s="13" customFormat="1" ht="30" customHeight="1">
      <c r="A423" s="17">
        <v>419</v>
      </c>
      <c r="B423" s="14">
        <v>40562</v>
      </c>
      <c r="C423" s="8" t="str">
        <f t="shared" si="21"/>
        <v>Wednesday</v>
      </c>
      <c r="D423" s="9">
        <v>1</v>
      </c>
      <c r="E423" s="9">
        <v>0</v>
      </c>
      <c r="F423" s="9">
        <v>1</v>
      </c>
      <c r="G423" s="7">
        <v>11</v>
      </c>
      <c r="H423" s="9" t="b">
        <v>0</v>
      </c>
      <c r="I423" s="9">
        <v>3</v>
      </c>
      <c r="J423" s="38" t="str">
        <f>CHOOSE(Table1[[#This Row],[Weekday]]+1,"Sunday","Monday","Tuesday","Wednesday","Thursday","Friday","Saturday")</f>
        <v>Wednesday</v>
      </c>
      <c r="K423" s="9">
        <v>2</v>
      </c>
      <c r="L423" s="38" t="str">
        <f>IF(Table1[[#This Row],[Weather_code]]=1,"Clear",IF(Table1[[#This Row],[Weather_code]]=2,"Cloudy",IF(Table1[[#This Row],[Weather_code]]=3,"Light Rain",IF(Table1[[#This Row],[Weather_code]]=4,"Heavy Rain"))))</f>
        <v>Cloudy</v>
      </c>
      <c r="M423" s="10">
        <v>0.28000000000000003</v>
      </c>
      <c r="N423" s="11" t="str">
        <f t="shared" si="19"/>
        <v>Winter</v>
      </c>
      <c r="O423" s="11" t="str">
        <f t="shared" si="20"/>
        <v>Weekday</v>
      </c>
      <c r="P423" s="11">
        <f>VLOOKUP(A423,[1]Sheet1!$A:$H,2, FALSE)</f>
        <v>0.30299999999999999</v>
      </c>
      <c r="Q423" s="40">
        <f>Table1[[#This Row],[A_Temperature]]*41</f>
        <v>12.423</v>
      </c>
      <c r="R423" s="11">
        <f>VLOOKUP(A423,[1]Sheet1!$A:$G,3,FALSE)</f>
        <v>0.87</v>
      </c>
      <c r="S423" s="11">
        <f>VLOOKUP(A423,[1]Sheet1!$A:$G,4,FALSE)</f>
        <v>8.9599999999999999E-2</v>
      </c>
      <c r="T423" s="11">
        <f>VLOOKUP(A423,[1]Sheet1!$A:$G,5,FALSE)</f>
        <v>5</v>
      </c>
      <c r="U423" s="11">
        <f>VLOOKUP(A423,[1]Sheet1!$A:$G,6,FALSE)</f>
        <v>47</v>
      </c>
      <c r="V423" s="18">
        <f>VLOOKUP(A423,[1]Sheet1!$A:$G,7,FALSE)</f>
        <v>52</v>
      </c>
    </row>
    <row r="424" spans="1:22" s="13" customFormat="1" ht="30" customHeight="1">
      <c r="A424" s="17">
        <v>420</v>
      </c>
      <c r="B424" s="14">
        <v>40562</v>
      </c>
      <c r="C424" s="8" t="str">
        <f t="shared" si="21"/>
        <v>Wednesday</v>
      </c>
      <c r="D424" s="9">
        <v>1</v>
      </c>
      <c r="E424" s="9">
        <v>0</v>
      </c>
      <c r="F424" s="9">
        <v>1</v>
      </c>
      <c r="G424" s="7">
        <v>12</v>
      </c>
      <c r="H424" s="9" t="b">
        <v>0</v>
      </c>
      <c r="I424" s="9">
        <v>3</v>
      </c>
      <c r="J424" s="38" t="str">
        <f>CHOOSE(Table1[[#This Row],[Weekday]]+1,"Sunday","Monday","Tuesday","Wednesday","Thursday","Friday","Saturday")</f>
        <v>Wednesday</v>
      </c>
      <c r="K424" s="9">
        <v>2</v>
      </c>
      <c r="L424" s="38" t="str">
        <f>IF(Table1[[#This Row],[Weather_code]]=1,"Clear",IF(Table1[[#This Row],[Weather_code]]=2,"Cloudy",IF(Table1[[#This Row],[Weather_code]]=3,"Light Rain",IF(Table1[[#This Row],[Weather_code]]=4,"Heavy Rain"))))</f>
        <v>Cloudy</v>
      </c>
      <c r="M424" s="10">
        <v>0.3</v>
      </c>
      <c r="N424" s="11" t="str">
        <f t="shared" si="19"/>
        <v>Winter</v>
      </c>
      <c r="O424" s="11" t="str">
        <f t="shared" si="20"/>
        <v>Weekday</v>
      </c>
      <c r="P424" s="11">
        <f>VLOOKUP(A424,[1]Sheet1!$A:$H,2, FALSE)</f>
        <v>0.31819999999999998</v>
      </c>
      <c r="Q424" s="40">
        <f>Table1[[#This Row],[A_Temperature]]*41</f>
        <v>13.046199999999999</v>
      </c>
      <c r="R424" s="11">
        <f>VLOOKUP(A424,[1]Sheet1!$A:$G,3,FALSE)</f>
        <v>0.81</v>
      </c>
      <c r="S424" s="11">
        <f>VLOOKUP(A424,[1]Sheet1!$A:$G,4,FALSE)</f>
        <v>8.9599999999999999E-2</v>
      </c>
      <c r="T424" s="11">
        <f>VLOOKUP(A424,[1]Sheet1!$A:$G,5,FALSE)</f>
        <v>5</v>
      </c>
      <c r="U424" s="11">
        <f>VLOOKUP(A424,[1]Sheet1!$A:$G,6,FALSE)</f>
        <v>65</v>
      </c>
      <c r="V424" s="18">
        <f>VLOOKUP(A424,[1]Sheet1!$A:$G,7,FALSE)</f>
        <v>70</v>
      </c>
    </row>
    <row r="425" spans="1:22" s="13" customFormat="1" ht="30" customHeight="1">
      <c r="A425" s="17">
        <v>421</v>
      </c>
      <c r="B425" s="14">
        <v>40562</v>
      </c>
      <c r="C425" s="8" t="str">
        <f t="shared" si="21"/>
        <v>Wednesday</v>
      </c>
      <c r="D425" s="9">
        <v>1</v>
      </c>
      <c r="E425" s="9">
        <v>0</v>
      </c>
      <c r="F425" s="9">
        <v>1</v>
      </c>
      <c r="G425" s="7">
        <v>13</v>
      </c>
      <c r="H425" s="9" t="b">
        <v>0</v>
      </c>
      <c r="I425" s="9">
        <v>3</v>
      </c>
      <c r="J425" s="38" t="str">
        <f>CHOOSE(Table1[[#This Row],[Weekday]]+1,"Sunday","Monday","Tuesday","Wednesday","Thursday","Friday","Saturday")</f>
        <v>Wednesday</v>
      </c>
      <c r="K425" s="9">
        <v>1</v>
      </c>
      <c r="L425" s="38" t="str">
        <f>IF(Table1[[#This Row],[Weather_code]]=1,"Clear",IF(Table1[[#This Row],[Weather_code]]=2,"Cloudy",IF(Table1[[#This Row],[Weather_code]]=3,"Light Rain",IF(Table1[[#This Row],[Weather_code]]=4,"Heavy Rain"))))</f>
        <v>Clear</v>
      </c>
      <c r="M425" s="10">
        <v>0.4</v>
      </c>
      <c r="N425" s="11" t="str">
        <f t="shared" si="19"/>
        <v>Winter</v>
      </c>
      <c r="O425" s="11" t="str">
        <f t="shared" si="20"/>
        <v>Weekday</v>
      </c>
      <c r="P425" s="11">
        <f>VLOOKUP(A425,[1]Sheet1!$A:$H,2, FALSE)</f>
        <v>0.40910000000000002</v>
      </c>
      <c r="Q425" s="40">
        <f>Table1[[#This Row],[A_Temperature]]*41</f>
        <v>16.773099999999999</v>
      </c>
      <c r="R425" s="11">
        <f>VLOOKUP(A425,[1]Sheet1!$A:$G,3,FALSE)</f>
        <v>0.62</v>
      </c>
      <c r="S425" s="11">
        <f>VLOOKUP(A425,[1]Sheet1!$A:$G,4,FALSE)</f>
        <v>0.28360000000000002</v>
      </c>
      <c r="T425" s="11">
        <f>VLOOKUP(A425,[1]Sheet1!$A:$G,5,FALSE)</f>
        <v>11</v>
      </c>
      <c r="U425" s="11">
        <f>VLOOKUP(A425,[1]Sheet1!$A:$G,6,FALSE)</f>
        <v>67</v>
      </c>
      <c r="V425" s="18">
        <f>VLOOKUP(A425,[1]Sheet1!$A:$G,7,FALSE)</f>
        <v>78</v>
      </c>
    </row>
    <row r="426" spans="1:22" s="13" customFormat="1" ht="30" customHeight="1">
      <c r="A426" s="17">
        <v>422</v>
      </c>
      <c r="B426" s="14">
        <v>40562</v>
      </c>
      <c r="C426" s="8" t="str">
        <f t="shared" si="21"/>
        <v>Wednesday</v>
      </c>
      <c r="D426" s="9">
        <v>1</v>
      </c>
      <c r="E426" s="9">
        <v>0</v>
      </c>
      <c r="F426" s="9">
        <v>1</v>
      </c>
      <c r="G426" s="7">
        <v>14</v>
      </c>
      <c r="H426" s="9" t="b">
        <v>0</v>
      </c>
      <c r="I426" s="9">
        <v>3</v>
      </c>
      <c r="J426" s="38" t="str">
        <f>CHOOSE(Table1[[#This Row],[Weekday]]+1,"Sunday","Monday","Tuesday","Wednesday","Thursday","Friday","Saturday")</f>
        <v>Wednesday</v>
      </c>
      <c r="K426" s="9">
        <v>1</v>
      </c>
      <c r="L426" s="38" t="str">
        <f>IF(Table1[[#This Row],[Weather_code]]=1,"Clear",IF(Table1[[#This Row],[Weather_code]]=2,"Cloudy",IF(Table1[[#This Row],[Weather_code]]=3,"Light Rain",IF(Table1[[#This Row],[Weather_code]]=4,"Heavy Rain"))))</f>
        <v>Clear</v>
      </c>
      <c r="M426" s="10">
        <v>0.4</v>
      </c>
      <c r="N426" s="11" t="str">
        <f t="shared" si="19"/>
        <v>Winter</v>
      </c>
      <c r="O426" s="11" t="str">
        <f t="shared" si="20"/>
        <v>Weekday</v>
      </c>
      <c r="P426" s="11">
        <f>VLOOKUP(A426,[1]Sheet1!$A:$H,2, FALSE)</f>
        <v>0.40910000000000002</v>
      </c>
      <c r="Q426" s="40">
        <f>Table1[[#This Row],[A_Temperature]]*41</f>
        <v>16.773099999999999</v>
      </c>
      <c r="R426" s="11">
        <f>VLOOKUP(A426,[1]Sheet1!$A:$G,3,FALSE)</f>
        <v>0.57999999999999996</v>
      </c>
      <c r="S426" s="11">
        <f>VLOOKUP(A426,[1]Sheet1!$A:$G,4,FALSE)</f>
        <v>0.25369999999999998</v>
      </c>
      <c r="T426" s="11">
        <f>VLOOKUP(A426,[1]Sheet1!$A:$G,5,FALSE)</f>
        <v>7</v>
      </c>
      <c r="U426" s="11">
        <f>VLOOKUP(A426,[1]Sheet1!$A:$G,6,FALSE)</f>
        <v>68</v>
      </c>
      <c r="V426" s="18">
        <f>VLOOKUP(A426,[1]Sheet1!$A:$G,7,FALSE)</f>
        <v>75</v>
      </c>
    </row>
    <row r="427" spans="1:22" s="13" customFormat="1" ht="30" customHeight="1">
      <c r="A427" s="17">
        <v>423</v>
      </c>
      <c r="B427" s="14">
        <v>40562</v>
      </c>
      <c r="C427" s="8" t="str">
        <f t="shared" si="21"/>
        <v>Wednesday</v>
      </c>
      <c r="D427" s="9">
        <v>1</v>
      </c>
      <c r="E427" s="9">
        <v>0</v>
      </c>
      <c r="F427" s="9">
        <v>1</v>
      </c>
      <c r="G427" s="7">
        <v>15</v>
      </c>
      <c r="H427" s="9" t="b">
        <v>0</v>
      </c>
      <c r="I427" s="9">
        <v>3</v>
      </c>
      <c r="J427" s="38" t="str">
        <f>CHOOSE(Table1[[#This Row],[Weekday]]+1,"Sunday","Monday","Tuesday","Wednesday","Thursday","Friday","Saturday")</f>
        <v>Wednesday</v>
      </c>
      <c r="K427" s="9">
        <v>1</v>
      </c>
      <c r="L427" s="38" t="str">
        <f>IF(Table1[[#This Row],[Weather_code]]=1,"Clear",IF(Table1[[#This Row],[Weather_code]]=2,"Cloudy",IF(Table1[[#This Row],[Weather_code]]=3,"Light Rain",IF(Table1[[#This Row],[Weather_code]]=4,"Heavy Rain"))))</f>
        <v>Clear</v>
      </c>
      <c r="M427" s="10">
        <v>0.4</v>
      </c>
      <c r="N427" s="11" t="str">
        <f t="shared" si="19"/>
        <v>Winter</v>
      </c>
      <c r="O427" s="11" t="str">
        <f t="shared" si="20"/>
        <v>Weekday</v>
      </c>
      <c r="P427" s="11">
        <f>VLOOKUP(A427,[1]Sheet1!$A:$H,2, FALSE)</f>
        <v>0.40910000000000002</v>
      </c>
      <c r="Q427" s="40">
        <f>Table1[[#This Row],[A_Temperature]]*41</f>
        <v>16.773099999999999</v>
      </c>
      <c r="R427" s="11">
        <f>VLOOKUP(A427,[1]Sheet1!$A:$G,3,FALSE)</f>
        <v>0.54</v>
      </c>
      <c r="S427" s="11">
        <f>VLOOKUP(A427,[1]Sheet1!$A:$G,4,FALSE)</f>
        <v>0.28360000000000002</v>
      </c>
      <c r="T427" s="11">
        <f>VLOOKUP(A427,[1]Sheet1!$A:$G,5,FALSE)</f>
        <v>4</v>
      </c>
      <c r="U427" s="11">
        <f>VLOOKUP(A427,[1]Sheet1!$A:$G,6,FALSE)</f>
        <v>78</v>
      </c>
      <c r="V427" s="18">
        <f>VLOOKUP(A427,[1]Sheet1!$A:$G,7,FALSE)</f>
        <v>82</v>
      </c>
    </row>
    <row r="428" spans="1:22" s="13" customFormat="1" ht="30" customHeight="1">
      <c r="A428" s="17">
        <v>424</v>
      </c>
      <c r="B428" s="14">
        <v>40562</v>
      </c>
      <c r="C428" s="8" t="str">
        <f t="shared" si="21"/>
        <v>Wednesday</v>
      </c>
      <c r="D428" s="9">
        <v>1</v>
      </c>
      <c r="E428" s="9">
        <v>0</v>
      </c>
      <c r="F428" s="9">
        <v>1</v>
      </c>
      <c r="G428" s="7">
        <v>16</v>
      </c>
      <c r="H428" s="9" t="b">
        <v>0</v>
      </c>
      <c r="I428" s="9">
        <v>3</v>
      </c>
      <c r="J428" s="38" t="str">
        <f>CHOOSE(Table1[[#This Row],[Weekday]]+1,"Sunday","Monday","Tuesday","Wednesday","Thursday","Friday","Saturday")</f>
        <v>Wednesday</v>
      </c>
      <c r="K428" s="9">
        <v>1</v>
      </c>
      <c r="L428" s="38" t="str">
        <f>IF(Table1[[#This Row],[Weather_code]]=1,"Clear",IF(Table1[[#This Row],[Weather_code]]=2,"Cloudy",IF(Table1[[#This Row],[Weather_code]]=3,"Light Rain",IF(Table1[[#This Row],[Weather_code]]=4,"Heavy Rain"))))</f>
        <v>Clear</v>
      </c>
      <c r="M428" s="10">
        <v>0.38</v>
      </c>
      <c r="N428" s="11" t="str">
        <f t="shared" si="19"/>
        <v>Winter</v>
      </c>
      <c r="O428" s="11" t="str">
        <f t="shared" si="20"/>
        <v>Weekday</v>
      </c>
      <c r="P428" s="11">
        <f>VLOOKUP(A428,[1]Sheet1!$A:$H,2, FALSE)</f>
        <v>0.39389999999999997</v>
      </c>
      <c r="Q428" s="40">
        <f>Table1[[#This Row],[A_Temperature]]*41</f>
        <v>16.149899999999999</v>
      </c>
      <c r="R428" s="11">
        <f>VLOOKUP(A428,[1]Sheet1!$A:$G,3,FALSE)</f>
        <v>0.57999999999999996</v>
      </c>
      <c r="S428" s="11">
        <f>VLOOKUP(A428,[1]Sheet1!$A:$G,4,FALSE)</f>
        <v>0.3881</v>
      </c>
      <c r="T428" s="11">
        <f>VLOOKUP(A428,[1]Sheet1!$A:$G,5,FALSE)</f>
        <v>10</v>
      </c>
      <c r="U428" s="11">
        <f>VLOOKUP(A428,[1]Sheet1!$A:$G,6,FALSE)</f>
        <v>94</v>
      </c>
      <c r="V428" s="18">
        <f>VLOOKUP(A428,[1]Sheet1!$A:$G,7,FALSE)</f>
        <v>104</v>
      </c>
    </row>
    <row r="429" spans="1:22" s="13" customFormat="1" ht="30" customHeight="1">
      <c r="A429" s="17">
        <v>425</v>
      </c>
      <c r="B429" s="14">
        <v>40562</v>
      </c>
      <c r="C429" s="8" t="str">
        <f t="shared" si="21"/>
        <v>Wednesday</v>
      </c>
      <c r="D429" s="9">
        <v>1</v>
      </c>
      <c r="E429" s="9">
        <v>0</v>
      </c>
      <c r="F429" s="9">
        <v>1</v>
      </c>
      <c r="G429" s="7">
        <v>17</v>
      </c>
      <c r="H429" s="9" t="b">
        <v>0</v>
      </c>
      <c r="I429" s="9">
        <v>3</v>
      </c>
      <c r="J429" s="38" t="str">
        <f>CHOOSE(Table1[[#This Row],[Weekday]]+1,"Sunday","Monday","Tuesday","Wednesday","Thursday","Friday","Saturday")</f>
        <v>Wednesday</v>
      </c>
      <c r="K429" s="9">
        <v>1</v>
      </c>
      <c r="L429" s="38" t="str">
        <f>IF(Table1[[#This Row],[Weather_code]]=1,"Clear",IF(Table1[[#This Row],[Weather_code]]=2,"Cloudy",IF(Table1[[#This Row],[Weather_code]]=3,"Light Rain",IF(Table1[[#This Row],[Weather_code]]=4,"Heavy Rain"))))</f>
        <v>Clear</v>
      </c>
      <c r="M429" s="10">
        <v>0.36</v>
      </c>
      <c r="N429" s="11" t="str">
        <f t="shared" si="19"/>
        <v>Winter</v>
      </c>
      <c r="O429" s="11" t="str">
        <f t="shared" si="20"/>
        <v>Weekday</v>
      </c>
      <c r="P429" s="11">
        <f>VLOOKUP(A429,[1]Sheet1!$A:$H,2, FALSE)</f>
        <v>0.33329999999999999</v>
      </c>
      <c r="Q429" s="40">
        <f>Table1[[#This Row],[A_Temperature]]*41</f>
        <v>13.6653</v>
      </c>
      <c r="R429" s="11">
        <f>VLOOKUP(A429,[1]Sheet1!$A:$G,3,FALSE)</f>
        <v>0.56999999999999995</v>
      </c>
      <c r="S429" s="11">
        <f>VLOOKUP(A429,[1]Sheet1!$A:$G,4,FALSE)</f>
        <v>0.32840000000000003</v>
      </c>
      <c r="T429" s="11">
        <f>VLOOKUP(A429,[1]Sheet1!$A:$G,5,FALSE)</f>
        <v>7</v>
      </c>
      <c r="U429" s="11">
        <f>VLOOKUP(A429,[1]Sheet1!$A:$G,6,FALSE)</f>
        <v>190</v>
      </c>
      <c r="V429" s="18">
        <f>VLOOKUP(A429,[1]Sheet1!$A:$G,7,FALSE)</f>
        <v>197</v>
      </c>
    </row>
    <row r="430" spans="1:22" s="13" customFormat="1" ht="30" customHeight="1">
      <c r="A430" s="17">
        <v>426</v>
      </c>
      <c r="B430" s="14">
        <v>40562</v>
      </c>
      <c r="C430" s="8" t="str">
        <f t="shared" si="21"/>
        <v>Wednesday</v>
      </c>
      <c r="D430" s="9">
        <v>1</v>
      </c>
      <c r="E430" s="9">
        <v>0</v>
      </c>
      <c r="F430" s="9">
        <v>1</v>
      </c>
      <c r="G430" s="7">
        <v>18</v>
      </c>
      <c r="H430" s="9" t="b">
        <v>0</v>
      </c>
      <c r="I430" s="9">
        <v>3</v>
      </c>
      <c r="J430" s="38" t="str">
        <f>CHOOSE(Table1[[#This Row],[Weekday]]+1,"Sunday","Monday","Tuesday","Wednesday","Thursday","Friday","Saturday")</f>
        <v>Wednesday</v>
      </c>
      <c r="K430" s="9">
        <v>1</v>
      </c>
      <c r="L430" s="38" t="str">
        <f>IF(Table1[[#This Row],[Weather_code]]=1,"Clear",IF(Table1[[#This Row],[Weather_code]]=2,"Cloudy",IF(Table1[[#This Row],[Weather_code]]=3,"Light Rain",IF(Table1[[#This Row],[Weather_code]]=4,"Heavy Rain"))))</f>
        <v>Clear</v>
      </c>
      <c r="M430" s="10">
        <v>0.34</v>
      </c>
      <c r="N430" s="11" t="str">
        <f t="shared" si="19"/>
        <v>Winter</v>
      </c>
      <c r="O430" s="11" t="str">
        <f t="shared" si="20"/>
        <v>Weekday</v>
      </c>
      <c r="P430" s="11">
        <f>VLOOKUP(A430,[1]Sheet1!$A:$H,2, FALSE)</f>
        <v>0.31819999999999998</v>
      </c>
      <c r="Q430" s="40">
        <f>Table1[[#This Row],[A_Temperature]]*41</f>
        <v>13.046199999999999</v>
      </c>
      <c r="R430" s="11">
        <f>VLOOKUP(A430,[1]Sheet1!$A:$G,3,FALSE)</f>
        <v>0.61</v>
      </c>
      <c r="S430" s="11">
        <f>VLOOKUP(A430,[1]Sheet1!$A:$G,4,FALSE)</f>
        <v>0.28360000000000002</v>
      </c>
      <c r="T430" s="11">
        <f>VLOOKUP(A430,[1]Sheet1!$A:$G,5,FALSE)</f>
        <v>5</v>
      </c>
      <c r="U430" s="11">
        <f>VLOOKUP(A430,[1]Sheet1!$A:$G,6,FALSE)</f>
        <v>156</v>
      </c>
      <c r="V430" s="18">
        <f>VLOOKUP(A430,[1]Sheet1!$A:$G,7,FALSE)</f>
        <v>161</v>
      </c>
    </row>
    <row r="431" spans="1:22" s="13" customFormat="1" ht="30" customHeight="1">
      <c r="A431" s="17">
        <v>427</v>
      </c>
      <c r="B431" s="14">
        <v>40562</v>
      </c>
      <c r="C431" s="8" t="str">
        <f t="shared" si="21"/>
        <v>Wednesday</v>
      </c>
      <c r="D431" s="9">
        <v>1</v>
      </c>
      <c r="E431" s="9">
        <v>0</v>
      </c>
      <c r="F431" s="9">
        <v>1</v>
      </c>
      <c r="G431" s="7">
        <v>19</v>
      </c>
      <c r="H431" s="9" t="b">
        <v>0</v>
      </c>
      <c r="I431" s="9">
        <v>3</v>
      </c>
      <c r="J431" s="38" t="str">
        <f>CHOOSE(Table1[[#This Row],[Weekday]]+1,"Sunday","Monday","Tuesday","Wednesday","Thursday","Friday","Saturday")</f>
        <v>Wednesday</v>
      </c>
      <c r="K431" s="9">
        <v>1</v>
      </c>
      <c r="L431" s="38" t="str">
        <f>IF(Table1[[#This Row],[Weather_code]]=1,"Clear",IF(Table1[[#This Row],[Weather_code]]=2,"Cloudy",IF(Table1[[#This Row],[Weather_code]]=3,"Light Rain",IF(Table1[[#This Row],[Weather_code]]=4,"Heavy Rain"))))</f>
        <v>Clear</v>
      </c>
      <c r="M431" s="10">
        <v>0.32</v>
      </c>
      <c r="N431" s="11" t="str">
        <f t="shared" si="19"/>
        <v>Winter</v>
      </c>
      <c r="O431" s="11" t="str">
        <f t="shared" si="20"/>
        <v>Weekday</v>
      </c>
      <c r="P431" s="11">
        <f>VLOOKUP(A431,[1]Sheet1!$A:$H,2, FALSE)</f>
        <v>0.28789999999999999</v>
      </c>
      <c r="Q431" s="40">
        <f>Table1[[#This Row],[A_Temperature]]*41</f>
        <v>11.803899999999999</v>
      </c>
      <c r="R431" s="11">
        <f>VLOOKUP(A431,[1]Sheet1!$A:$G,3,FALSE)</f>
        <v>0.56999999999999995</v>
      </c>
      <c r="S431" s="11">
        <f>VLOOKUP(A431,[1]Sheet1!$A:$G,4,FALSE)</f>
        <v>0.41789999999999999</v>
      </c>
      <c r="T431" s="11">
        <f>VLOOKUP(A431,[1]Sheet1!$A:$G,5,FALSE)</f>
        <v>4</v>
      </c>
      <c r="U431" s="11">
        <f>VLOOKUP(A431,[1]Sheet1!$A:$G,6,FALSE)</f>
        <v>108</v>
      </c>
      <c r="V431" s="18">
        <f>VLOOKUP(A431,[1]Sheet1!$A:$G,7,FALSE)</f>
        <v>112</v>
      </c>
    </row>
    <row r="432" spans="1:22" s="13" customFormat="1" ht="30" customHeight="1">
      <c r="A432" s="17">
        <v>428</v>
      </c>
      <c r="B432" s="14">
        <v>40562</v>
      </c>
      <c r="C432" s="8" t="str">
        <f t="shared" si="21"/>
        <v>Wednesday</v>
      </c>
      <c r="D432" s="9">
        <v>1</v>
      </c>
      <c r="E432" s="9">
        <v>0</v>
      </c>
      <c r="F432" s="9">
        <v>1</v>
      </c>
      <c r="G432" s="7">
        <v>20</v>
      </c>
      <c r="H432" s="9" t="b">
        <v>0</v>
      </c>
      <c r="I432" s="9">
        <v>3</v>
      </c>
      <c r="J432" s="38" t="str">
        <f>CHOOSE(Table1[[#This Row],[Weekday]]+1,"Sunday","Monday","Tuesday","Wednesday","Thursday","Friday","Saturday")</f>
        <v>Wednesday</v>
      </c>
      <c r="K432" s="9">
        <v>1</v>
      </c>
      <c r="L432" s="38" t="str">
        <f>IF(Table1[[#This Row],[Weather_code]]=1,"Clear",IF(Table1[[#This Row],[Weather_code]]=2,"Cloudy",IF(Table1[[#This Row],[Weather_code]]=3,"Light Rain",IF(Table1[[#This Row],[Weather_code]]=4,"Heavy Rain"))))</f>
        <v>Clear</v>
      </c>
      <c r="M432" s="10">
        <v>0.32</v>
      </c>
      <c r="N432" s="11" t="str">
        <f t="shared" si="19"/>
        <v>Winter</v>
      </c>
      <c r="O432" s="11" t="str">
        <f t="shared" si="20"/>
        <v>Weekday</v>
      </c>
      <c r="P432" s="11">
        <f>VLOOKUP(A432,[1]Sheet1!$A:$H,2, FALSE)</f>
        <v>0.30299999999999999</v>
      </c>
      <c r="Q432" s="40">
        <f>Table1[[#This Row],[A_Temperature]]*41</f>
        <v>12.423</v>
      </c>
      <c r="R432" s="11">
        <f>VLOOKUP(A432,[1]Sheet1!$A:$G,3,FALSE)</f>
        <v>0.49</v>
      </c>
      <c r="S432" s="11">
        <f>VLOOKUP(A432,[1]Sheet1!$A:$G,4,FALSE)</f>
        <v>0.29849999999999999</v>
      </c>
      <c r="T432" s="11">
        <f>VLOOKUP(A432,[1]Sheet1!$A:$G,5,FALSE)</f>
        <v>2</v>
      </c>
      <c r="U432" s="11">
        <f>VLOOKUP(A432,[1]Sheet1!$A:$G,6,FALSE)</f>
        <v>74</v>
      </c>
      <c r="V432" s="18">
        <f>VLOOKUP(A432,[1]Sheet1!$A:$G,7,FALSE)</f>
        <v>76</v>
      </c>
    </row>
    <row r="433" spans="1:22" s="13" customFormat="1" ht="30" customHeight="1">
      <c r="A433" s="17">
        <v>429</v>
      </c>
      <c r="B433" s="14">
        <v>40562</v>
      </c>
      <c r="C433" s="8" t="str">
        <f t="shared" si="21"/>
        <v>Wednesday</v>
      </c>
      <c r="D433" s="9">
        <v>1</v>
      </c>
      <c r="E433" s="9">
        <v>0</v>
      </c>
      <c r="F433" s="9">
        <v>1</v>
      </c>
      <c r="G433" s="7">
        <v>21</v>
      </c>
      <c r="H433" s="9" t="b">
        <v>0</v>
      </c>
      <c r="I433" s="9">
        <v>3</v>
      </c>
      <c r="J433" s="38" t="str">
        <f>CHOOSE(Table1[[#This Row],[Weekday]]+1,"Sunday","Monday","Tuesday","Wednesday","Thursday","Friday","Saturday")</f>
        <v>Wednesday</v>
      </c>
      <c r="K433" s="9">
        <v>1</v>
      </c>
      <c r="L433" s="38" t="str">
        <f>IF(Table1[[#This Row],[Weather_code]]=1,"Clear",IF(Table1[[#This Row],[Weather_code]]=2,"Cloudy",IF(Table1[[#This Row],[Weather_code]]=3,"Light Rain",IF(Table1[[#This Row],[Weather_code]]=4,"Heavy Rain"))))</f>
        <v>Clear</v>
      </c>
      <c r="M433" s="10">
        <v>0.32</v>
      </c>
      <c r="N433" s="11" t="str">
        <f t="shared" si="19"/>
        <v>Winter</v>
      </c>
      <c r="O433" s="11" t="str">
        <f t="shared" si="20"/>
        <v>Weekday</v>
      </c>
      <c r="P433" s="11">
        <f>VLOOKUP(A433,[1]Sheet1!$A:$H,2, FALSE)</f>
        <v>0.28789999999999999</v>
      </c>
      <c r="Q433" s="40">
        <f>Table1[[#This Row],[A_Temperature]]*41</f>
        <v>11.803899999999999</v>
      </c>
      <c r="R433" s="11">
        <f>VLOOKUP(A433,[1]Sheet1!$A:$G,3,FALSE)</f>
        <v>0.49</v>
      </c>
      <c r="S433" s="11">
        <f>VLOOKUP(A433,[1]Sheet1!$A:$G,4,FALSE)</f>
        <v>0.41789999999999999</v>
      </c>
      <c r="T433" s="11">
        <f>VLOOKUP(A433,[1]Sheet1!$A:$G,5,FALSE)</f>
        <v>4</v>
      </c>
      <c r="U433" s="11">
        <f>VLOOKUP(A433,[1]Sheet1!$A:$G,6,FALSE)</f>
        <v>55</v>
      </c>
      <c r="V433" s="18">
        <f>VLOOKUP(A433,[1]Sheet1!$A:$G,7,FALSE)</f>
        <v>59</v>
      </c>
    </row>
    <row r="434" spans="1:22" s="13" customFormat="1" ht="30" customHeight="1">
      <c r="A434" s="17">
        <v>430</v>
      </c>
      <c r="B434" s="14">
        <v>40562</v>
      </c>
      <c r="C434" s="8" t="str">
        <f t="shared" si="21"/>
        <v>Wednesday</v>
      </c>
      <c r="D434" s="9">
        <v>1</v>
      </c>
      <c r="E434" s="9">
        <v>0</v>
      </c>
      <c r="F434" s="9">
        <v>1</v>
      </c>
      <c r="G434" s="7">
        <v>22</v>
      </c>
      <c r="H434" s="9" t="b">
        <v>0</v>
      </c>
      <c r="I434" s="9">
        <v>3</v>
      </c>
      <c r="J434" s="38" t="str">
        <f>CHOOSE(Table1[[#This Row],[Weekday]]+1,"Sunday","Monday","Tuesday","Wednesday","Thursday","Friday","Saturday")</f>
        <v>Wednesday</v>
      </c>
      <c r="K434" s="9">
        <v>1</v>
      </c>
      <c r="L434" s="38" t="str">
        <f>IF(Table1[[#This Row],[Weather_code]]=1,"Clear",IF(Table1[[#This Row],[Weather_code]]=2,"Cloudy",IF(Table1[[#This Row],[Weather_code]]=3,"Light Rain",IF(Table1[[#This Row],[Weather_code]]=4,"Heavy Rain"))))</f>
        <v>Clear</v>
      </c>
      <c r="M434" s="10">
        <v>0.3</v>
      </c>
      <c r="N434" s="11" t="str">
        <f t="shared" si="19"/>
        <v>Winter</v>
      </c>
      <c r="O434" s="11" t="str">
        <f t="shared" si="20"/>
        <v>Weekday</v>
      </c>
      <c r="P434" s="11">
        <f>VLOOKUP(A434,[1]Sheet1!$A:$H,2, FALSE)</f>
        <v>0.30299999999999999</v>
      </c>
      <c r="Q434" s="40">
        <f>Table1[[#This Row],[A_Temperature]]*41</f>
        <v>12.423</v>
      </c>
      <c r="R434" s="11">
        <f>VLOOKUP(A434,[1]Sheet1!$A:$G,3,FALSE)</f>
        <v>0.52</v>
      </c>
      <c r="S434" s="11">
        <f>VLOOKUP(A434,[1]Sheet1!$A:$G,4,FALSE)</f>
        <v>0.16420000000000001</v>
      </c>
      <c r="T434" s="11">
        <f>VLOOKUP(A434,[1]Sheet1!$A:$G,5,FALSE)</f>
        <v>6</v>
      </c>
      <c r="U434" s="11">
        <f>VLOOKUP(A434,[1]Sheet1!$A:$G,6,FALSE)</f>
        <v>53</v>
      </c>
      <c r="V434" s="18">
        <f>VLOOKUP(A434,[1]Sheet1!$A:$G,7,FALSE)</f>
        <v>59</v>
      </c>
    </row>
    <row r="435" spans="1:22" s="13" customFormat="1" ht="30" customHeight="1">
      <c r="A435" s="17">
        <v>431</v>
      </c>
      <c r="B435" s="14">
        <v>40562</v>
      </c>
      <c r="C435" s="8" t="str">
        <f t="shared" si="21"/>
        <v>Wednesday</v>
      </c>
      <c r="D435" s="9">
        <v>1</v>
      </c>
      <c r="E435" s="9">
        <v>0</v>
      </c>
      <c r="F435" s="9">
        <v>1</v>
      </c>
      <c r="G435" s="7">
        <v>23</v>
      </c>
      <c r="H435" s="9" t="b">
        <v>0</v>
      </c>
      <c r="I435" s="9">
        <v>3</v>
      </c>
      <c r="J435" s="38" t="str">
        <f>CHOOSE(Table1[[#This Row],[Weekday]]+1,"Sunday","Monday","Tuesday","Wednesday","Thursday","Friday","Saturday")</f>
        <v>Wednesday</v>
      </c>
      <c r="K435" s="9">
        <v>1</v>
      </c>
      <c r="L435" s="38" t="str">
        <f>IF(Table1[[#This Row],[Weather_code]]=1,"Clear",IF(Table1[[#This Row],[Weather_code]]=2,"Cloudy",IF(Table1[[#This Row],[Weather_code]]=3,"Light Rain",IF(Table1[[#This Row],[Weather_code]]=4,"Heavy Rain"))))</f>
        <v>Clear</v>
      </c>
      <c r="M435" s="10">
        <v>0.3</v>
      </c>
      <c r="N435" s="11" t="str">
        <f t="shared" si="19"/>
        <v>Winter</v>
      </c>
      <c r="O435" s="11" t="str">
        <f t="shared" si="20"/>
        <v>Weekday</v>
      </c>
      <c r="P435" s="11">
        <f>VLOOKUP(A435,[1]Sheet1!$A:$H,2, FALSE)</f>
        <v>0.2727</v>
      </c>
      <c r="Q435" s="40">
        <f>Table1[[#This Row],[A_Temperature]]*41</f>
        <v>11.1807</v>
      </c>
      <c r="R435" s="11">
        <f>VLOOKUP(A435,[1]Sheet1!$A:$G,3,FALSE)</f>
        <v>0.52</v>
      </c>
      <c r="S435" s="11">
        <f>VLOOKUP(A435,[1]Sheet1!$A:$G,4,FALSE)</f>
        <v>0.4627</v>
      </c>
      <c r="T435" s="11">
        <f>VLOOKUP(A435,[1]Sheet1!$A:$G,5,FALSE)</f>
        <v>1</v>
      </c>
      <c r="U435" s="11">
        <f>VLOOKUP(A435,[1]Sheet1!$A:$G,6,FALSE)</f>
        <v>27</v>
      </c>
      <c r="V435" s="18">
        <f>VLOOKUP(A435,[1]Sheet1!$A:$G,7,FALSE)</f>
        <v>28</v>
      </c>
    </row>
    <row r="436" spans="1:22" s="13" customFormat="1" ht="30" customHeight="1">
      <c r="A436" s="17">
        <v>432</v>
      </c>
      <c r="B436" s="14">
        <v>40563</v>
      </c>
      <c r="C436" s="8" t="str">
        <f t="shared" si="21"/>
        <v>Thursday</v>
      </c>
      <c r="D436" s="9">
        <v>1</v>
      </c>
      <c r="E436" s="9">
        <v>0</v>
      </c>
      <c r="F436" s="9">
        <v>1</v>
      </c>
      <c r="G436" s="7">
        <v>0</v>
      </c>
      <c r="H436" s="9" t="b">
        <v>0</v>
      </c>
      <c r="I436" s="9">
        <v>4</v>
      </c>
      <c r="J436" s="38" t="str">
        <f>CHOOSE(Table1[[#This Row],[Weekday]]+1,"Sunday","Monday","Tuesday","Wednesday","Thursday","Friday","Saturday")</f>
        <v>Thursday</v>
      </c>
      <c r="K436" s="9">
        <v>1</v>
      </c>
      <c r="L436" s="38" t="str">
        <f>IF(Table1[[#This Row],[Weather_code]]=1,"Clear",IF(Table1[[#This Row],[Weather_code]]=2,"Cloudy",IF(Table1[[#This Row],[Weather_code]]=3,"Light Rain",IF(Table1[[#This Row],[Weather_code]]=4,"Heavy Rain"))))</f>
        <v>Clear</v>
      </c>
      <c r="M436" s="10">
        <v>0.26</v>
      </c>
      <c r="N436" s="11" t="str">
        <f t="shared" si="19"/>
        <v>Winter</v>
      </c>
      <c r="O436" s="11" t="str">
        <f t="shared" si="20"/>
        <v>Weekday</v>
      </c>
      <c r="P436" s="11">
        <f>VLOOKUP(A436,[1]Sheet1!$A:$H,2, FALSE)</f>
        <v>0.2273</v>
      </c>
      <c r="Q436" s="40">
        <f>Table1[[#This Row],[A_Temperature]]*41</f>
        <v>9.3193000000000001</v>
      </c>
      <c r="R436" s="11">
        <f>VLOOKUP(A436,[1]Sheet1!$A:$G,3,FALSE)</f>
        <v>0.56000000000000005</v>
      </c>
      <c r="S436" s="11">
        <f>VLOOKUP(A436,[1]Sheet1!$A:$G,4,FALSE)</f>
        <v>0.3881</v>
      </c>
      <c r="T436" s="11">
        <f>VLOOKUP(A436,[1]Sheet1!$A:$G,5,FALSE)</f>
        <v>5</v>
      </c>
      <c r="U436" s="11">
        <f>VLOOKUP(A436,[1]Sheet1!$A:$G,6,FALSE)</f>
        <v>8</v>
      </c>
      <c r="V436" s="18">
        <f>VLOOKUP(A436,[1]Sheet1!$A:$G,7,FALSE)</f>
        <v>13</v>
      </c>
    </row>
    <row r="437" spans="1:22" s="13" customFormat="1" ht="30" customHeight="1">
      <c r="A437" s="17">
        <v>433</v>
      </c>
      <c r="B437" s="14">
        <v>40563</v>
      </c>
      <c r="C437" s="8" t="str">
        <f t="shared" si="21"/>
        <v>Thursday</v>
      </c>
      <c r="D437" s="9">
        <v>1</v>
      </c>
      <c r="E437" s="9">
        <v>0</v>
      </c>
      <c r="F437" s="9">
        <v>1</v>
      </c>
      <c r="G437" s="7">
        <v>1</v>
      </c>
      <c r="H437" s="9" t="b">
        <v>0</v>
      </c>
      <c r="I437" s="9">
        <v>4</v>
      </c>
      <c r="J437" s="38" t="str">
        <f>CHOOSE(Table1[[#This Row],[Weekday]]+1,"Sunday","Monday","Tuesday","Wednesday","Thursday","Friday","Saturday")</f>
        <v>Thursday</v>
      </c>
      <c r="K437" s="9">
        <v>1</v>
      </c>
      <c r="L437" s="38" t="str">
        <f>IF(Table1[[#This Row],[Weather_code]]=1,"Clear",IF(Table1[[#This Row],[Weather_code]]=2,"Cloudy",IF(Table1[[#This Row],[Weather_code]]=3,"Light Rain",IF(Table1[[#This Row],[Weather_code]]=4,"Heavy Rain"))))</f>
        <v>Clear</v>
      </c>
      <c r="M437" s="10">
        <v>0.26</v>
      </c>
      <c r="N437" s="11" t="str">
        <f t="shared" si="19"/>
        <v>Winter</v>
      </c>
      <c r="O437" s="11" t="str">
        <f t="shared" si="20"/>
        <v>Weekday</v>
      </c>
      <c r="P437" s="11">
        <f>VLOOKUP(A437,[1]Sheet1!$A:$H,2, FALSE)</f>
        <v>0.2727</v>
      </c>
      <c r="Q437" s="40">
        <f>Table1[[#This Row],[A_Temperature]]*41</f>
        <v>11.1807</v>
      </c>
      <c r="R437" s="11">
        <f>VLOOKUP(A437,[1]Sheet1!$A:$G,3,FALSE)</f>
        <v>0.56000000000000005</v>
      </c>
      <c r="S437" s="11">
        <f>VLOOKUP(A437,[1]Sheet1!$A:$G,4,FALSE)</f>
        <v>0</v>
      </c>
      <c r="T437" s="11">
        <f>VLOOKUP(A437,[1]Sheet1!$A:$G,5,FALSE)</f>
        <v>2</v>
      </c>
      <c r="U437" s="11">
        <f>VLOOKUP(A437,[1]Sheet1!$A:$G,6,FALSE)</f>
        <v>3</v>
      </c>
      <c r="V437" s="18">
        <f>VLOOKUP(A437,[1]Sheet1!$A:$G,7,FALSE)</f>
        <v>5</v>
      </c>
    </row>
    <row r="438" spans="1:22" s="13" customFormat="1" ht="30" customHeight="1">
      <c r="A438" s="17">
        <v>434</v>
      </c>
      <c r="B438" s="14">
        <v>40563</v>
      </c>
      <c r="C438" s="8" t="str">
        <f t="shared" si="21"/>
        <v>Thursday</v>
      </c>
      <c r="D438" s="9">
        <v>1</v>
      </c>
      <c r="E438" s="9">
        <v>0</v>
      </c>
      <c r="F438" s="9">
        <v>1</v>
      </c>
      <c r="G438" s="7">
        <v>2</v>
      </c>
      <c r="H438" s="9" t="b">
        <v>0</v>
      </c>
      <c r="I438" s="9">
        <v>4</v>
      </c>
      <c r="J438" s="38" t="str">
        <f>CHOOSE(Table1[[#This Row],[Weekday]]+1,"Sunday","Monday","Tuesday","Wednesday","Thursday","Friday","Saturday")</f>
        <v>Thursday</v>
      </c>
      <c r="K438" s="9">
        <v>1</v>
      </c>
      <c r="L438" s="38" t="str">
        <f>IF(Table1[[#This Row],[Weather_code]]=1,"Clear",IF(Table1[[#This Row],[Weather_code]]=2,"Cloudy",IF(Table1[[#This Row],[Weather_code]]=3,"Light Rain",IF(Table1[[#This Row],[Weather_code]]=4,"Heavy Rain"))))</f>
        <v>Clear</v>
      </c>
      <c r="M438" s="10">
        <v>0.26</v>
      </c>
      <c r="N438" s="11" t="str">
        <f t="shared" si="19"/>
        <v>Winter</v>
      </c>
      <c r="O438" s="11" t="str">
        <f t="shared" si="20"/>
        <v>Weekday</v>
      </c>
      <c r="P438" s="11">
        <f>VLOOKUP(A438,[1]Sheet1!$A:$H,2, FALSE)</f>
        <v>0.2727</v>
      </c>
      <c r="Q438" s="40">
        <f>Table1[[#This Row],[A_Temperature]]*41</f>
        <v>11.1807</v>
      </c>
      <c r="R438" s="11">
        <f>VLOOKUP(A438,[1]Sheet1!$A:$G,3,FALSE)</f>
        <v>0.56000000000000005</v>
      </c>
      <c r="S438" s="11">
        <f>VLOOKUP(A438,[1]Sheet1!$A:$G,4,FALSE)</f>
        <v>0</v>
      </c>
      <c r="T438" s="11">
        <f>VLOOKUP(A438,[1]Sheet1!$A:$G,5,FALSE)</f>
        <v>0</v>
      </c>
      <c r="U438" s="11">
        <f>VLOOKUP(A438,[1]Sheet1!$A:$G,6,FALSE)</f>
        <v>2</v>
      </c>
      <c r="V438" s="18">
        <f>VLOOKUP(A438,[1]Sheet1!$A:$G,7,FALSE)</f>
        <v>2</v>
      </c>
    </row>
    <row r="439" spans="1:22" s="13" customFormat="1" ht="30" customHeight="1">
      <c r="A439" s="17">
        <v>435</v>
      </c>
      <c r="B439" s="14">
        <v>40563</v>
      </c>
      <c r="C439" s="8" t="str">
        <f t="shared" si="21"/>
        <v>Thursday</v>
      </c>
      <c r="D439" s="9">
        <v>1</v>
      </c>
      <c r="E439" s="9">
        <v>0</v>
      </c>
      <c r="F439" s="9">
        <v>1</v>
      </c>
      <c r="G439" s="7">
        <v>3</v>
      </c>
      <c r="H439" s="9" t="b">
        <v>0</v>
      </c>
      <c r="I439" s="9">
        <v>4</v>
      </c>
      <c r="J439" s="38" t="str">
        <f>CHOOSE(Table1[[#This Row],[Weekday]]+1,"Sunday","Monday","Tuesday","Wednesday","Thursday","Friday","Saturday")</f>
        <v>Thursday</v>
      </c>
      <c r="K439" s="9">
        <v>1</v>
      </c>
      <c r="L439" s="38" t="str">
        <f>IF(Table1[[#This Row],[Weather_code]]=1,"Clear",IF(Table1[[#This Row],[Weather_code]]=2,"Cloudy",IF(Table1[[#This Row],[Weather_code]]=3,"Light Rain",IF(Table1[[#This Row],[Weather_code]]=4,"Heavy Rain"))))</f>
        <v>Clear</v>
      </c>
      <c r="M439" s="10">
        <v>0.26</v>
      </c>
      <c r="N439" s="11" t="str">
        <f t="shared" si="19"/>
        <v>Winter</v>
      </c>
      <c r="O439" s="11" t="str">
        <f t="shared" si="20"/>
        <v>Weekday</v>
      </c>
      <c r="P439" s="11">
        <f>VLOOKUP(A439,[1]Sheet1!$A:$H,2, FALSE)</f>
        <v>0.2576</v>
      </c>
      <c r="Q439" s="40">
        <f>Table1[[#This Row],[A_Temperature]]*41</f>
        <v>10.5616</v>
      </c>
      <c r="R439" s="11">
        <f>VLOOKUP(A439,[1]Sheet1!$A:$G,3,FALSE)</f>
        <v>0.56000000000000005</v>
      </c>
      <c r="S439" s="11">
        <f>VLOOKUP(A439,[1]Sheet1!$A:$G,4,FALSE)</f>
        <v>0.16420000000000001</v>
      </c>
      <c r="T439" s="11">
        <f>VLOOKUP(A439,[1]Sheet1!$A:$G,5,FALSE)</f>
        <v>0</v>
      </c>
      <c r="U439" s="11">
        <f>VLOOKUP(A439,[1]Sheet1!$A:$G,6,FALSE)</f>
        <v>1</v>
      </c>
      <c r="V439" s="18">
        <f>VLOOKUP(A439,[1]Sheet1!$A:$G,7,FALSE)</f>
        <v>1</v>
      </c>
    </row>
    <row r="440" spans="1:22" s="13" customFormat="1" ht="30" customHeight="1">
      <c r="A440" s="17">
        <v>436</v>
      </c>
      <c r="B440" s="14">
        <v>40563</v>
      </c>
      <c r="C440" s="8" t="str">
        <f t="shared" si="21"/>
        <v>Thursday</v>
      </c>
      <c r="D440" s="9">
        <v>1</v>
      </c>
      <c r="E440" s="9">
        <v>0</v>
      </c>
      <c r="F440" s="9">
        <v>1</v>
      </c>
      <c r="G440" s="7">
        <v>4</v>
      </c>
      <c r="H440" s="9" t="b">
        <v>0</v>
      </c>
      <c r="I440" s="9">
        <v>4</v>
      </c>
      <c r="J440" s="38" t="str">
        <f>CHOOSE(Table1[[#This Row],[Weekday]]+1,"Sunday","Monday","Tuesday","Wednesday","Thursday","Friday","Saturday")</f>
        <v>Thursday</v>
      </c>
      <c r="K440" s="9">
        <v>1</v>
      </c>
      <c r="L440" s="38" t="str">
        <f>IF(Table1[[#This Row],[Weather_code]]=1,"Clear",IF(Table1[[#This Row],[Weather_code]]=2,"Cloudy",IF(Table1[[#This Row],[Weather_code]]=3,"Light Rain",IF(Table1[[#This Row],[Weather_code]]=4,"Heavy Rain"))))</f>
        <v>Clear</v>
      </c>
      <c r="M440" s="10">
        <v>0.26</v>
      </c>
      <c r="N440" s="11" t="str">
        <f t="shared" si="19"/>
        <v>Winter</v>
      </c>
      <c r="O440" s="11" t="str">
        <f t="shared" si="20"/>
        <v>Weekday</v>
      </c>
      <c r="P440" s="11">
        <f>VLOOKUP(A440,[1]Sheet1!$A:$H,2, FALSE)</f>
        <v>0.2576</v>
      </c>
      <c r="Q440" s="40">
        <f>Table1[[#This Row],[A_Temperature]]*41</f>
        <v>10.5616</v>
      </c>
      <c r="R440" s="11">
        <f>VLOOKUP(A440,[1]Sheet1!$A:$G,3,FALSE)</f>
        <v>0.56000000000000005</v>
      </c>
      <c r="S440" s="11">
        <f>VLOOKUP(A440,[1]Sheet1!$A:$G,4,FALSE)</f>
        <v>0.16420000000000001</v>
      </c>
      <c r="T440" s="11">
        <f>VLOOKUP(A440,[1]Sheet1!$A:$G,5,FALSE)</f>
        <v>0</v>
      </c>
      <c r="U440" s="11">
        <f>VLOOKUP(A440,[1]Sheet1!$A:$G,6,FALSE)</f>
        <v>1</v>
      </c>
      <c r="V440" s="18">
        <f>VLOOKUP(A440,[1]Sheet1!$A:$G,7,FALSE)</f>
        <v>1</v>
      </c>
    </row>
    <row r="441" spans="1:22" s="13" customFormat="1" ht="30" customHeight="1">
      <c r="A441" s="17">
        <v>437</v>
      </c>
      <c r="B441" s="14">
        <v>40563</v>
      </c>
      <c r="C441" s="8" t="str">
        <f t="shared" si="21"/>
        <v>Thursday</v>
      </c>
      <c r="D441" s="9">
        <v>1</v>
      </c>
      <c r="E441" s="9">
        <v>0</v>
      </c>
      <c r="F441" s="9">
        <v>1</v>
      </c>
      <c r="G441" s="7">
        <v>5</v>
      </c>
      <c r="H441" s="9" t="b">
        <v>0</v>
      </c>
      <c r="I441" s="9">
        <v>4</v>
      </c>
      <c r="J441" s="38" t="str">
        <f>CHOOSE(Table1[[#This Row],[Weekday]]+1,"Sunday","Monday","Tuesday","Wednesday","Thursday","Friday","Saturday")</f>
        <v>Thursday</v>
      </c>
      <c r="K441" s="9">
        <v>1</v>
      </c>
      <c r="L441" s="38" t="str">
        <f>IF(Table1[[#This Row],[Weather_code]]=1,"Clear",IF(Table1[[#This Row],[Weather_code]]=2,"Cloudy",IF(Table1[[#This Row],[Weather_code]]=3,"Light Rain",IF(Table1[[#This Row],[Weather_code]]=4,"Heavy Rain"))))</f>
        <v>Clear</v>
      </c>
      <c r="M441" s="10">
        <v>0.24</v>
      </c>
      <c r="N441" s="11" t="str">
        <f t="shared" si="19"/>
        <v>Winter</v>
      </c>
      <c r="O441" s="11" t="str">
        <f t="shared" si="20"/>
        <v>Weekday</v>
      </c>
      <c r="P441" s="11">
        <f>VLOOKUP(A441,[1]Sheet1!$A:$H,2, FALSE)</f>
        <v>0.2273</v>
      </c>
      <c r="Q441" s="40">
        <f>Table1[[#This Row],[A_Temperature]]*41</f>
        <v>9.3193000000000001</v>
      </c>
      <c r="R441" s="11">
        <f>VLOOKUP(A441,[1]Sheet1!$A:$G,3,FALSE)</f>
        <v>0.6</v>
      </c>
      <c r="S441" s="11">
        <f>VLOOKUP(A441,[1]Sheet1!$A:$G,4,FALSE)</f>
        <v>0.22389999999999999</v>
      </c>
      <c r="T441" s="11">
        <f>VLOOKUP(A441,[1]Sheet1!$A:$G,5,FALSE)</f>
        <v>0</v>
      </c>
      <c r="U441" s="11">
        <f>VLOOKUP(A441,[1]Sheet1!$A:$G,6,FALSE)</f>
        <v>6</v>
      </c>
      <c r="V441" s="18">
        <f>VLOOKUP(A441,[1]Sheet1!$A:$G,7,FALSE)</f>
        <v>6</v>
      </c>
    </row>
    <row r="442" spans="1:22" s="13" customFormat="1" ht="30" customHeight="1">
      <c r="A442" s="17">
        <v>438</v>
      </c>
      <c r="B442" s="14">
        <v>40563</v>
      </c>
      <c r="C442" s="8" t="str">
        <f t="shared" si="21"/>
        <v>Thursday</v>
      </c>
      <c r="D442" s="9">
        <v>1</v>
      </c>
      <c r="E442" s="9">
        <v>0</v>
      </c>
      <c r="F442" s="9">
        <v>1</v>
      </c>
      <c r="G442" s="7">
        <v>6</v>
      </c>
      <c r="H442" s="9" t="b">
        <v>0</v>
      </c>
      <c r="I442" s="9">
        <v>4</v>
      </c>
      <c r="J442" s="38" t="str">
        <f>CHOOSE(Table1[[#This Row],[Weekday]]+1,"Sunday","Monday","Tuesday","Wednesday","Thursday","Friday","Saturday")</f>
        <v>Thursday</v>
      </c>
      <c r="K442" s="9">
        <v>1</v>
      </c>
      <c r="L442" s="38" t="str">
        <f>IF(Table1[[#This Row],[Weather_code]]=1,"Clear",IF(Table1[[#This Row],[Weather_code]]=2,"Cloudy",IF(Table1[[#This Row],[Weather_code]]=3,"Light Rain",IF(Table1[[#This Row],[Weather_code]]=4,"Heavy Rain"))))</f>
        <v>Clear</v>
      </c>
      <c r="M442" s="10">
        <v>0.22</v>
      </c>
      <c r="N442" s="11" t="str">
        <f t="shared" si="19"/>
        <v>Winter</v>
      </c>
      <c r="O442" s="11" t="str">
        <f t="shared" si="20"/>
        <v>Weekday</v>
      </c>
      <c r="P442" s="11">
        <f>VLOOKUP(A442,[1]Sheet1!$A:$H,2, FALSE)</f>
        <v>0.21210000000000001</v>
      </c>
      <c r="Q442" s="40">
        <f>Table1[[#This Row],[A_Temperature]]*41</f>
        <v>8.6961000000000013</v>
      </c>
      <c r="R442" s="11">
        <f>VLOOKUP(A442,[1]Sheet1!$A:$G,3,FALSE)</f>
        <v>0.6</v>
      </c>
      <c r="S442" s="11">
        <f>VLOOKUP(A442,[1]Sheet1!$A:$G,4,FALSE)</f>
        <v>0.22389999999999999</v>
      </c>
      <c r="T442" s="11">
        <f>VLOOKUP(A442,[1]Sheet1!$A:$G,5,FALSE)</f>
        <v>0</v>
      </c>
      <c r="U442" s="11">
        <f>VLOOKUP(A442,[1]Sheet1!$A:$G,6,FALSE)</f>
        <v>35</v>
      </c>
      <c r="V442" s="18">
        <f>VLOOKUP(A442,[1]Sheet1!$A:$G,7,FALSE)</f>
        <v>35</v>
      </c>
    </row>
    <row r="443" spans="1:22" s="13" customFormat="1" ht="30" customHeight="1">
      <c r="A443" s="17">
        <v>439</v>
      </c>
      <c r="B443" s="14">
        <v>40563</v>
      </c>
      <c r="C443" s="8" t="str">
        <f t="shared" si="21"/>
        <v>Thursday</v>
      </c>
      <c r="D443" s="9">
        <v>1</v>
      </c>
      <c r="E443" s="9">
        <v>0</v>
      </c>
      <c r="F443" s="9">
        <v>1</v>
      </c>
      <c r="G443" s="7">
        <v>7</v>
      </c>
      <c r="H443" s="9" t="b">
        <v>0</v>
      </c>
      <c r="I443" s="9">
        <v>4</v>
      </c>
      <c r="J443" s="38" t="str">
        <f>CHOOSE(Table1[[#This Row],[Weekday]]+1,"Sunday","Monday","Tuesday","Wednesday","Thursday","Friday","Saturday")</f>
        <v>Thursday</v>
      </c>
      <c r="K443" s="9">
        <v>1</v>
      </c>
      <c r="L443" s="38" t="str">
        <f>IF(Table1[[#This Row],[Weather_code]]=1,"Clear",IF(Table1[[#This Row],[Weather_code]]=2,"Cloudy",IF(Table1[[#This Row],[Weather_code]]=3,"Light Rain",IF(Table1[[#This Row],[Weather_code]]=4,"Heavy Rain"))))</f>
        <v>Clear</v>
      </c>
      <c r="M443" s="10">
        <v>0.22</v>
      </c>
      <c r="N443" s="11" t="str">
        <f t="shared" si="19"/>
        <v>Winter</v>
      </c>
      <c r="O443" s="11" t="str">
        <f t="shared" si="20"/>
        <v>Weekday</v>
      </c>
      <c r="P443" s="11">
        <f>VLOOKUP(A443,[1]Sheet1!$A:$H,2, FALSE)</f>
        <v>0.21210000000000001</v>
      </c>
      <c r="Q443" s="40">
        <f>Table1[[#This Row],[A_Temperature]]*41</f>
        <v>8.6961000000000013</v>
      </c>
      <c r="R443" s="11">
        <f>VLOOKUP(A443,[1]Sheet1!$A:$G,3,FALSE)</f>
        <v>0.55000000000000004</v>
      </c>
      <c r="S443" s="11">
        <f>VLOOKUP(A443,[1]Sheet1!$A:$G,4,FALSE)</f>
        <v>0.22389999999999999</v>
      </c>
      <c r="T443" s="11">
        <f>VLOOKUP(A443,[1]Sheet1!$A:$G,5,FALSE)</f>
        <v>1</v>
      </c>
      <c r="U443" s="11">
        <f>VLOOKUP(A443,[1]Sheet1!$A:$G,6,FALSE)</f>
        <v>100</v>
      </c>
      <c r="V443" s="18">
        <f>VLOOKUP(A443,[1]Sheet1!$A:$G,7,FALSE)</f>
        <v>101</v>
      </c>
    </row>
    <row r="444" spans="1:22" s="13" customFormat="1" ht="30" customHeight="1">
      <c r="A444" s="17">
        <v>440</v>
      </c>
      <c r="B444" s="14">
        <v>40563</v>
      </c>
      <c r="C444" s="8" t="str">
        <f t="shared" si="21"/>
        <v>Thursday</v>
      </c>
      <c r="D444" s="9">
        <v>1</v>
      </c>
      <c r="E444" s="9">
        <v>0</v>
      </c>
      <c r="F444" s="9">
        <v>1</v>
      </c>
      <c r="G444" s="7">
        <v>8</v>
      </c>
      <c r="H444" s="9" t="b">
        <v>0</v>
      </c>
      <c r="I444" s="9">
        <v>4</v>
      </c>
      <c r="J444" s="38" t="str">
        <f>CHOOSE(Table1[[#This Row],[Weekday]]+1,"Sunday","Monday","Tuesday","Wednesday","Thursday","Friday","Saturday")</f>
        <v>Thursday</v>
      </c>
      <c r="K444" s="9">
        <v>1</v>
      </c>
      <c r="L444" s="38" t="str">
        <f>IF(Table1[[#This Row],[Weather_code]]=1,"Clear",IF(Table1[[#This Row],[Weather_code]]=2,"Cloudy",IF(Table1[[#This Row],[Weather_code]]=3,"Light Rain",IF(Table1[[#This Row],[Weather_code]]=4,"Heavy Rain"))))</f>
        <v>Clear</v>
      </c>
      <c r="M444" s="10">
        <v>0.22</v>
      </c>
      <c r="N444" s="11" t="str">
        <f t="shared" si="19"/>
        <v>Winter</v>
      </c>
      <c r="O444" s="11" t="str">
        <f t="shared" si="20"/>
        <v>Weekday</v>
      </c>
      <c r="P444" s="11">
        <f>VLOOKUP(A444,[1]Sheet1!$A:$H,2, FALSE)</f>
        <v>0.21210000000000001</v>
      </c>
      <c r="Q444" s="40">
        <f>Table1[[#This Row],[A_Temperature]]*41</f>
        <v>8.6961000000000013</v>
      </c>
      <c r="R444" s="11">
        <f>VLOOKUP(A444,[1]Sheet1!$A:$G,3,FALSE)</f>
        <v>0.55000000000000004</v>
      </c>
      <c r="S444" s="11">
        <f>VLOOKUP(A444,[1]Sheet1!$A:$G,4,FALSE)</f>
        <v>0.28360000000000002</v>
      </c>
      <c r="T444" s="11">
        <f>VLOOKUP(A444,[1]Sheet1!$A:$G,5,FALSE)</f>
        <v>2</v>
      </c>
      <c r="U444" s="11">
        <f>VLOOKUP(A444,[1]Sheet1!$A:$G,6,FALSE)</f>
        <v>247</v>
      </c>
      <c r="V444" s="18">
        <f>VLOOKUP(A444,[1]Sheet1!$A:$G,7,FALSE)</f>
        <v>249</v>
      </c>
    </row>
    <row r="445" spans="1:22" s="13" customFormat="1" ht="30" customHeight="1">
      <c r="A445" s="17">
        <v>441</v>
      </c>
      <c r="B445" s="14">
        <v>40563</v>
      </c>
      <c r="C445" s="8" t="str">
        <f t="shared" si="21"/>
        <v>Thursday</v>
      </c>
      <c r="D445" s="9">
        <v>1</v>
      </c>
      <c r="E445" s="9">
        <v>0</v>
      </c>
      <c r="F445" s="9">
        <v>1</v>
      </c>
      <c r="G445" s="7">
        <v>9</v>
      </c>
      <c r="H445" s="9" t="b">
        <v>0</v>
      </c>
      <c r="I445" s="9">
        <v>4</v>
      </c>
      <c r="J445" s="38" t="str">
        <f>CHOOSE(Table1[[#This Row],[Weekday]]+1,"Sunday","Monday","Tuesday","Wednesday","Thursday","Friday","Saturday")</f>
        <v>Thursday</v>
      </c>
      <c r="K445" s="9">
        <v>2</v>
      </c>
      <c r="L445" s="38" t="str">
        <f>IF(Table1[[#This Row],[Weather_code]]=1,"Clear",IF(Table1[[#This Row],[Weather_code]]=2,"Cloudy",IF(Table1[[#This Row],[Weather_code]]=3,"Light Rain",IF(Table1[[#This Row],[Weather_code]]=4,"Heavy Rain"))))</f>
        <v>Cloudy</v>
      </c>
      <c r="M445" s="10">
        <v>0.24</v>
      </c>
      <c r="N445" s="11" t="str">
        <f t="shared" si="19"/>
        <v>Winter</v>
      </c>
      <c r="O445" s="11" t="str">
        <f t="shared" si="20"/>
        <v>Weekday</v>
      </c>
      <c r="P445" s="11">
        <f>VLOOKUP(A445,[1]Sheet1!$A:$H,2, FALSE)</f>
        <v>0.2273</v>
      </c>
      <c r="Q445" s="40">
        <f>Table1[[#This Row],[A_Temperature]]*41</f>
        <v>9.3193000000000001</v>
      </c>
      <c r="R445" s="11">
        <f>VLOOKUP(A445,[1]Sheet1!$A:$G,3,FALSE)</f>
        <v>0.52</v>
      </c>
      <c r="S445" s="11">
        <f>VLOOKUP(A445,[1]Sheet1!$A:$G,4,FALSE)</f>
        <v>0.22389999999999999</v>
      </c>
      <c r="T445" s="11">
        <f>VLOOKUP(A445,[1]Sheet1!$A:$G,5,FALSE)</f>
        <v>3</v>
      </c>
      <c r="U445" s="11">
        <f>VLOOKUP(A445,[1]Sheet1!$A:$G,6,FALSE)</f>
        <v>140</v>
      </c>
      <c r="V445" s="18">
        <f>VLOOKUP(A445,[1]Sheet1!$A:$G,7,FALSE)</f>
        <v>143</v>
      </c>
    </row>
    <row r="446" spans="1:22" s="13" customFormat="1" ht="30" customHeight="1">
      <c r="A446" s="17">
        <v>442</v>
      </c>
      <c r="B446" s="14">
        <v>40563</v>
      </c>
      <c r="C446" s="8" t="str">
        <f t="shared" si="21"/>
        <v>Thursday</v>
      </c>
      <c r="D446" s="9">
        <v>1</v>
      </c>
      <c r="E446" s="9">
        <v>0</v>
      </c>
      <c r="F446" s="9">
        <v>1</v>
      </c>
      <c r="G446" s="7">
        <v>10</v>
      </c>
      <c r="H446" s="9" t="b">
        <v>0</v>
      </c>
      <c r="I446" s="9">
        <v>4</v>
      </c>
      <c r="J446" s="38" t="str">
        <f>CHOOSE(Table1[[#This Row],[Weekday]]+1,"Sunday","Monday","Tuesday","Wednesday","Thursday","Friday","Saturday")</f>
        <v>Thursday</v>
      </c>
      <c r="K446" s="9">
        <v>1</v>
      </c>
      <c r="L446" s="38" t="str">
        <f>IF(Table1[[#This Row],[Weather_code]]=1,"Clear",IF(Table1[[#This Row],[Weather_code]]=2,"Cloudy",IF(Table1[[#This Row],[Weather_code]]=3,"Light Rain",IF(Table1[[#This Row],[Weather_code]]=4,"Heavy Rain"))))</f>
        <v>Clear</v>
      </c>
      <c r="M446" s="10">
        <v>0.26</v>
      </c>
      <c r="N446" s="11" t="str">
        <f t="shared" si="19"/>
        <v>Winter</v>
      </c>
      <c r="O446" s="11" t="str">
        <f t="shared" si="20"/>
        <v>Weekday</v>
      </c>
      <c r="P446" s="11">
        <f>VLOOKUP(A446,[1]Sheet1!$A:$H,2, FALSE)</f>
        <v>0.2273</v>
      </c>
      <c r="Q446" s="40">
        <f>Table1[[#This Row],[A_Temperature]]*41</f>
        <v>9.3193000000000001</v>
      </c>
      <c r="R446" s="11">
        <f>VLOOKUP(A446,[1]Sheet1!$A:$G,3,FALSE)</f>
        <v>0.48</v>
      </c>
      <c r="S446" s="11">
        <f>VLOOKUP(A446,[1]Sheet1!$A:$G,4,FALSE)</f>
        <v>0.29849999999999999</v>
      </c>
      <c r="T446" s="11">
        <f>VLOOKUP(A446,[1]Sheet1!$A:$G,5,FALSE)</f>
        <v>1</v>
      </c>
      <c r="U446" s="11">
        <f>VLOOKUP(A446,[1]Sheet1!$A:$G,6,FALSE)</f>
        <v>56</v>
      </c>
      <c r="V446" s="18">
        <f>VLOOKUP(A446,[1]Sheet1!$A:$G,7,FALSE)</f>
        <v>57</v>
      </c>
    </row>
    <row r="447" spans="1:22" s="13" customFormat="1" ht="30" customHeight="1">
      <c r="A447" s="17">
        <v>443</v>
      </c>
      <c r="B447" s="14">
        <v>40563</v>
      </c>
      <c r="C447" s="8" t="str">
        <f t="shared" si="21"/>
        <v>Thursday</v>
      </c>
      <c r="D447" s="9">
        <v>1</v>
      </c>
      <c r="E447" s="9">
        <v>0</v>
      </c>
      <c r="F447" s="9">
        <v>1</v>
      </c>
      <c r="G447" s="7">
        <v>11</v>
      </c>
      <c r="H447" s="9" t="b">
        <v>0</v>
      </c>
      <c r="I447" s="9">
        <v>4</v>
      </c>
      <c r="J447" s="38" t="str">
        <f>CHOOSE(Table1[[#This Row],[Weekday]]+1,"Sunday","Monday","Tuesday","Wednesday","Thursday","Friday","Saturday")</f>
        <v>Thursday</v>
      </c>
      <c r="K447" s="9">
        <v>2</v>
      </c>
      <c r="L447" s="38" t="str">
        <f>IF(Table1[[#This Row],[Weather_code]]=1,"Clear",IF(Table1[[#This Row],[Weather_code]]=2,"Cloudy",IF(Table1[[#This Row],[Weather_code]]=3,"Light Rain",IF(Table1[[#This Row],[Weather_code]]=4,"Heavy Rain"))))</f>
        <v>Cloudy</v>
      </c>
      <c r="M447" s="10">
        <v>0.28000000000000003</v>
      </c>
      <c r="N447" s="11" t="str">
        <f t="shared" si="19"/>
        <v>Winter</v>
      </c>
      <c r="O447" s="11" t="str">
        <f t="shared" si="20"/>
        <v>Weekday</v>
      </c>
      <c r="P447" s="11">
        <f>VLOOKUP(A447,[1]Sheet1!$A:$H,2, FALSE)</f>
        <v>0.2727</v>
      </c>
      <c r="Q447" s="40">
        <f>Table1[[#This Row],[A_Temperature]]*41</f>
        <v>11.1807</v>
      </c>
      <c r="R447" s="11">
        <f>VLOOKUP(A447,[1]Sheet1!$A:$G,3,FALSE)</f>
        <v>0.45</v>
      </c>
      <c r="S447" s="11">
        <f>VLOOKUP(A447,[1]Sheet1!$A:$G,4,FALSE)</f>
        <v>0.16420000000000001</v>
      </c>
      <c r="T447" s="11">
        <f>VLOOKUP(A447,[1]Sheet1!$A:$G,5,FALSE)</f>
        <v>5</v>
      </c>
      <c r="U447" s="11">
        <f>VLOOKUP(A447,[1]Sheet1!$A:$G,6,FALSE)</f>
        <v>63</v>
      </c>
      <c r="V447" s="18">
        <f>VLOOKUP(A447,[1]Sheet1!$A:$G,7,FALSE)</f>
        <v>68</v>
      </c>
    </row>
    <row r="448" spans="1:22" s="13" customFormat="1" ht="30" customHeight="1">
      <c r="A448" s="17">
        <v>444</v>
      </c>
      <c r="B448" s="14">
        <v>40563</v>
      </c>
      <c r="C448" s="8" t="str">
        <f t="shared" si="21"/>
        <v>Thursday</v>
      </c>
      <c r="D448" s="9">
        <v>1</v>
      </c>
      <c r="E448" s="9">
        <v>0</v>
      </c>
      <c r="F448" s="9">
        <v>1</v>
      </c>
      <c r="G448" s="7">
        <v>12</v>
      </c>
      <c r="H448" s="9" t="b">
        <v>0</v>
      </c>
      <c r="I448" s="9">
        <v>4</v>
      </c>
      <c r="J448" s="38" t="str">
        <f>CHOOSE(Table1[[#This Row],[Weekday]]+1,"Sunday","Monday","Tuesday","Wednesday","Thursday","Friday","Saturday")</f>
        <v>Thursday</v>
      </c>
      <c r="K448" s="9">
        <v>2</v>
      </c>
      <c r="L448" s="38" t="str">
        <f>IF(Table1[[#This Row],[Weather_code]]=1,"Clear",IF(Table1[[#This Row],[Weather_code]]=2,"Cloudy",IF(Table1[[#This Row],[Weather_code]]=3,"Light Rain",IF(Table1[[#This Row],[Weather_code]]=4,"Heavy Rain"))))</f>
        <v>Cloudy</v>
      </c>
      <c r="M448" s="10">
        <v>0.3</v>
      </c>
      <c r="N448" s="11" t="str">
        <f t="shared" si="19"/>
        <v>Winter</v>
      </c>
      <c r="O448" s="11" t="str">
        <f t="shared" si="20"/>
        <v>Weekday</v>
      </c>
      <c r="P448" s="11">
        <f>VLOOKUP(A448,[1]Sheet1!$A:$H,2, FALSE)</f>
        <v>0.33329999999999999</v>
      </c>
      <c r="Q448" s="40">
        <f>Table1[[#This Row],[A_Temperature]]*41</f>
        <v>13.6653</v>
      </c>
      <c r="R448" s="11">
        <f>VLOOKUP(A448,[1]Sheet1!$A:$G,3,FALSE)</f>
        <v>0.42</v>
      </c>
      <c r="S448" s="11">
        <f>VLOOKUP(A448,[1]Sheet1!$A:$G,4,FALSE)</f>
        <v>0</v>
      </c>
      <c r="T448" s="11">
        <f>VLOOKUP(A448,[1]Sheet1!$A:$G,5,FALSE)</f>
        <v>7</v>
      </c>
      <c r="U448" s="11">
        <f>VLOOKUP(A448,[1]Sheet1!$A:$G,6,FALSE)</f>
        <v>77</v>
      </c>
      <c r="V448" s="18">
        <f>VLOOKUP(A448,[1]Sheet1!$A:$G,7,FALSE)</f>
        <v>84</v>
      </c>
    </row>
    <row r="449" spans="1:22" s="13" customFormat="1" ht="30" customHeight="1">
      <c r="A449" s="17">
        <v>445</v>
      </c>
      <c r="B449" s="14">
        <v>40563</v>
      </c>
      <c r="C449" s="8" t="str">
        <f t="shared" si="21"/>
        <v>Thursday</v>
      </c>
      <c r="D449" s="9">
        <v>1</v>
      </c>
      <c r="E449" s="9">
        <v>0</v>
      </c>
      <c r="F449" s="9">
        <v>1</v>
      </c>
      <c r="G449" s="7">
        <v>13</v>
      </c>
      <c r="H449" s="9" t="b">
        <v>0</v>
      </c>
      <c r="I449" s="9">
        <v>4</v>
      </c>
      <c r="J449" s="38" t="str">
        <f>CHOOSE(Table1[[#This Row],[Weekday]]+1,"Sunday","Monday","Tuesday","Wednesday","Thursday","Friday","Saturday")</f>
        <v>Thursday</v>
      </c>
      <c r="K449" s="9">
        <v>2</v>
      </c>
      <c r="L449" s="38" t="str">
        <f>IF(Table1[[#This Row],[Weather_code]]=1,"Clear",IF(Table1[[#This Row],[Weather_code]]=2,"Cloudy",IF(Table1[[#This Row],[Weather_code]]=3,"Light Rain",IF(Table1[[#This Row],[Weather_code]]=4,"Heavy Rain"))))</f>
        <v>Cloudy</v>
      </c>
      <c r="M449" s="10">
        <v>0.28000000000000003</v>
      </c>
      <c r="N449" s="11" t="str">
        <f t="shared" si="19"/>
        <v>Winter</v>
      </c>
      <c r="O449" s="11" t="str">
        <f t="shared" si="20"/>
        <v>Weekday</v>
      </c>
      <c r="P449" s="11">
        <f>VLOOKUP(A449,[1]Sheet1!$A:$H,2, FALSE)</f>
        <v>0.28789999999999999</v>
      </c>
      <c r="Q449" s="40">
        <f>Table1[[#This Row],[A_Temperature]]*41</f>
        <v>11.803899999999999</v>
      </c>
      <c r="R449" s="11">
        <f>VLOOKUP(A449,[1]Sheet1!$A:$G,3,FALSE)</f>
        <v>0.45</v>
      </c>
      <c r="S449" s="11">
        <f>VLOOKUP(A449,[1]Sheet1!$A:$G,4,FALSE)</f>
        <v>0.1045</v>
      </c>
      <c r="T449" s="11">
        <f>VLOOKUP(A449,[1]Sheet1!$A:$G,5,FALSE)</f>
        <v>12</v>
      </c>
      <c r="U449" s="11">
        <f>VLOOKUP(A449,[1]Sheet1!$A:$G,6,FALSE)</f>
        <v>86</v>
      </c>
      <c r="V449" s="18">
        <f>VLOOKUP(A449,[1]Sheet1!$A:$G,7,FALSE)</f>
        <v>98</v>
      </c>
    </row>
    <row r="450" spans="1:22" s="13" customFormat="1" ht="30" customHeight="1">
      <c r="A450" s="17">
        <v>446</v>
      </c>
      <c r="B450" s="14">
        <v>40563</v>
      </c>
      <c r="C450" s="8" t="str">
        <f t="shared" si="21"/>
        <v>Thursday</v>
      </c>
      <c r="D450" s="9">
        <v>1</v>
      </c>
      <c r="E450" s="9">
        <v>0</v>
      </c>
      <c r="F450" s="9">
        <v>1</v>
      </c>
      <c r="G450" s="7">
        <v>14</v>
      </c>
      <c r="H450" s="9" t="b">
        <v>0</v>
      </c>
      <c r="I450" s="9">
        <v>4</v>
      </c>
      <c r="J450" s="38" t="str">
        <f>CHOOSE(Table1[[#This Row],[Weekday]]+1,"Sunday","Monday","Tuesday","Wednesday","Thursday","Friday","Saturday")</f>
        <v>Thursday</v>
      </c>
      <c r="K450" s="9">
        <v>2</v>
      </c>
      <c r="L450" s="38" t="str">
        <f>IF(Table1[[#This Row],[Weather_code]]=1,"Clear",IF(Table1[[#This Row],[Weather_code]]=2,"Cloudy",IF(Table1[[#This Row],[Weather_code]]=3,"Light Rain",IF(Table1[[#This Row],[Weather_code]]=4,"Heavy Rain"))))</f>
        <v>Cloudy</v>
      </c>
      <c r="M450" s="10">
        <v>0.3</v>
      </c>
      <c r="N450" s="11" t="str">
        <f t="shared" si="19"/>
        <v>Winter</v>
      </c>
      <c r="O450" s="11" t="str">
        <f t="shared" si="20"/>
        <v>Weekday</v>
      </c>
      <c r="P450" s="11">
        <f>VLOOKUP(A450,[1]Sheet1!$A:$H,2, FALSE)</f>
        <v>0.30299999999999999</v>
      </c>
      <c r="Q450" s="40">
        <f>Table1[[#This Row],[A_Temperature]]*41</f>
        <v>12.423</v>
      </c>
      <c r="R450" s="11">
        <f>VLOOKUP(A450,[1]Sheet1!$A:$G,3,FALSE)</f>
        <v>0.45</v>
      </c>
      <c r="S450" s="11">
        <f>VLOOKUP(A450,[1]Sheet1!$A:$G,4,FALSE)</f>
        <v>0.1343</v>
      </c>
      <c r="T450" s="11">
        <f>VLOOKUP(A450,[1]Sheet1!$A:$G,5,FALSE)</f>
        <v>6</v>
      </c>
      <c r="U450" s="11">
        <f>VLOOKUP(A450,[1]Sheet1!$A:$G,6,FALSE)</f>
        <v>75</v>
      </c>
      <c r="V450" s="18">
        <f>VLOOKUP(A450,[1]Sheet1!$A:$G,7,FALSE)</f>
        <v>81</v>
      </c>
    </row>
    <row r="451" spans="1:22" s="13" customFormat="1" ht="30" customHeight="1">
      <c r="A451" s="17">
        <v>447</v>
      </c>
      <c r="B451" s="14">
        <v>40563</v>
      </c>
      <c r="C451" s="8" t="str">
        <f t="shared" si="21"/>
        <v>Thursday</v>
      </c>
      <c r="D451" s="9">
        <v>1</v>
      </c>
      <c r="E451" s="9">
        <v>0</v>
      </c>
      <c r="F451" s="9">
        <v>1</v>
      </c>
      <c r="G451" s="7">
        <v>15</v>
      </c>
      <c r="H451" s="9" t="b">
        <v>0</v>
      </c>
      <c r="I451" s="9">
        <v>4</v>
      </c>
      <c r="J451" s="38" t="str">
        <f>CHOOSE(Table1[[#This Row],[Weekday]]+1,"Sunday","Monday","Tuesday","Wednesday","Thursday","Friday","Saturday")</f>
        <v>Thursday</v>
      </c>
      <c r="K451" s="9">
        <v>2</v>
      </c>
      <c r="L451" s="38" t="str">
        <f>IF(Table1[[#This Row],[Weather_code]]=1,"Clear",IF(Table1[[#This Row],[Weather_code]]=2,"Cloudy",IF(Table1[[#This Row],[Weather_code]]=3,"Light Rain",IF(Table1[[#This Row],[Weather_code]]=4,"Heavy Rain"))))</f>
        <v>Cloudy</v>
      </c>
      <c r="M451" s="10">
        <v>0.32</v>
      </c>
      <c r="N451" s="11" t="str">
        <f t="shared" si="19"/>
        <v>Winter</v>
      </c>
      <c r="O451" s="11" t="str">
        <f t="shared" si="20"/>
        <v>Weekday</v>
      </c>
      <c r="P451" s="11">
        <f>VLOOKUP(A451,[1]Sheet1!$A:$H,2, FALSE)</f>
        <v>0.31819999999999998</v>
      </c>
      <c r="Q451" s="40">
        <f>Table1[[#This Row],[A_Temperature]]*41</f>
        <v>13.046199999999999</v>
      </c>
      <c r="R451" s="11">
        <f>VLOOKUP(A451,[1]Sheet1!$A:$G,3,FALSE)</f>
        <v>0.45</v>
      </c>
      <c r="S451" s="11">
        <f>VLOOKUP(A451,[1]Sheet1!$A:$G,4,FALSE)</f>
        <v>0.19400000000000001</v>
      </c>
      <c r="T451" s="11">
        <f>VLOOKUP(A451,[1]Sheet1!$A:$G,5,FALSE)</f>
        <v>8</v>
      </c>
      <c r="U451" s="11">
        <f>VLOOKUP(A451,[1]Sheet1!$A:$G,6,FALSE)</f>
        <v>62</v>
      </c>
      <c r="V451" s="18">
        <f>VLOOKUP(A451,[1]Sheet1!$A:$G,7,FALSE)</f>
        <v>70</v>
      </c>
    </row>
    <row r="452" spans="1:22" s="13" customFormat="1" ht="30" customHeight="1">
      <c r="A452" s="17">
        <v>448</v>
      </c>
      <c r="B452" s="14">
        <v>40563</v>
      </c>
      <c r="C452" s="8" t="str">
        <f t="shared" si="21"/>
        <v>Thursday</v>
      </c>
      <c r="D452" s="9">
        <v>1</v>
      </c>
      <c r="E452" s="9">
        <v>0</v>
      </c>
      <c r="F452" s="9">
        <v>1</v>
      </c>
      <c r="G452" s="7">
        <v>16</v>
      </c>
      <c r="H452" s="9" t="b">
        <v>0</v>
      </c>
      <c r="I452" s="9">
        <v>4</v>
      </c>
      <c r="J452" s="38" t="str">
        <f>CHOOSE(Table1[[#This Row],[Weekday]]+1,"Sunday","Monday","Tuesday","Wednesday","Thursday","Friday","Saturday")</f>
        <v>Thursday</v>
      </c>
      <c r="K452" s="9">
        <v>2</v>
      </c>
      <c r="L452" s="38" t="str">
        <f>IF(Table1[[#This Row],[Weather_code]]=1,"Clear",IF(Table1[[#This Row],[Weather_code]]=2,"Cloudy",IF(Table1[[#This Row],[Weather_code]]=3,"Light Rain",IF(Table1[[#This Row],[Weather_code]]=4,"Heavy Rain"))))</f>
        <v>Cloudy</v>
      </c>
      <c r="M452" s="10">
        <v>0.3</v>
      </c>
      <c r="N452" s="11" t="str">
        <f t="shared" si="19"/>
        <v>Winter</v>
      </c>
      <c r="O452" s="11" t="str">
        <f t="shared" si="20"/>
        <v>Weekday</v>
      </c>
      <c r="P452" s="11">
        <f>VLOOKUP(A452,[1]Sheet1!$A:$H,2, FALSE)</f>
        <v>0.30299999999999999</v>
      </c>
      <c r="Q452" s="40">
        <f>Table1[[#This Row],[A_Temperature]]*41</f>
        <v>12.423</v>
      </c>
      <c r="R452" s="11">
        <f>VLOOKUP(A452,[1]Sheet1!$A:$G,3,FALSE)</f>
        <v>0.49</v>
      </c>
      <c r="S452" s="11">
        <f>VLOOKUP(A452,[1]Sheet1!$A:$G,4,FALSE)</f>
        <v>0.1343</v>
      </c>
      <c r="T452" s="11">
        <f>VLOOKUP(A452,[1]Sheet1!$A:$G,5,FALSE)</f>
        <v>8</v>
      </c>
      <c r="U452" s="11">
        <f>VLOOKUP(A452,[1]Sheet1!$A:$G,6,FALSE)</f>
        <v>83</v>
      </c>
      <c r="V452" s="18">
        <f>VLOOKUP(A452,[1]Sheet1!$A:$G,7,FALSE)</f>
        <v>91</v>
      </c>
    </row>
    <row r="453" spans="1:22" s="13" customFormat="1" ht="30" customHeight="1">
      <c r="A453" s="17">
        <v>449</v>
      </c>
      <c r="B453" s="14">
        <v>40563</v>
      </c>
      <c r="C453" s="8" t="str">
        <f t="shared" si="21"/>
        <v>Thursday</v>
      </c>
      <c r="D453" s="9">
        <v>1</v>
      </c>
      <c r="E453" s="9">
        <v>0</v>
      </c>
      <c r="F453" s="9">
        <v>1</v>
      </c>
      <c r="G453" s="7">
        <v>17</v>
      </c>
      <c r="H453" s="9" t="b">
        <v>0</v>
      </c>
      <c r="I453" s="9">
        <v>4</v>
      </c>
      <c r="J453" s="38" t="str">
        <f>CHOOSE(Table1[[#This Row],[Weekday]]+1,"Sunday","Monday","Tuesday","Wednesday","Thursday","Friday","Saturday")</f>
        <v>Thursday</v>
      </c>
      <c r="K453" s="9">
        <v>2</v>
      </c>
      <c r="L453" s="38" t="str">
        <f>IF(Table1[[#This Row],[Weather_code]]=1,"Clear",IF(Table1[[#This Row],[Weather_code]]=2,"Cloudy",IF(Table1[[#This Row],[Weather_code]]=3,"Light Rain",IF(Table1[[#This Row],[Weather_code]]=4,"Heavy Rain"))))</f>
        <v>Cloudy</v>
      </c>
      <c r="M453" s="10">
        <v>0.3</v>
      </c>
      <c r="N453" s="11" t="str">
        <f t="shared" si="19"/>
        <v>Winter</v>
      </c>
      <c r="O453" s="11" t="str">
        <f t="shared" si="20"/>
        <v>Weekday</v>
      </c>
      <c r="P453" s="11">
        <f>VLOOKUP(A453,[1]Sheet1!$A:$H,2, FALSE)</f>
        <v>0.31819999999999998</v>
      </c>
      <c r="Q453" s="40">
        <f>Table1[[#This Row],[A_Temperature]]*41</f>
        <v>13.046199999999999</v>
      </c>
      <c r="R453" s="11">
        <f>VLOOKUP(A453,[1]Sheet1!$A:$G,3,FALSE)</f>
        <v>0.49</v>
      </c>
      <c r="S453" s="11">
        <f>VLOOKUP(A453,[1]Sheet1!$A:$G,4,FALSE)</f>
        <v>0.1045</v>
      </c>
      <c r="T453" s="11">
        <f>VLOOKUP(A453,[1]Sheet1!$A:$G,5,FALSE)</f>
        <v>8</v>
      </c>
      <c r="U453" s="11">
        <f>VLOOKUP(A453,[1]Sheet1!$A:$G,6,FALSE)</f>
        <v>207</v>
      </c>
      <c r="V453" s="18">
        <f>VLOOKUP(A453,[1]Sheet1!$A:$G,7,FALSE)</f>
        <v>215</v>
      </c>
    </row>
    <row r="454" spans="1:22" s="13" customFormat="1" ht="30" customHeight="1">
      <c r="A454" s="17">
        <v>450</v>
      </c>
      <c r="B454" s="14">
        <v>40563</v>
      </c>
      <c r="C454" s="8" t="str">
        <f t="shared" si="21"/>
        <v>Thursday</v>
      </c>
      <c r="D454" s="9">
        <v>1</v>
      </c>
      <c r="E454" s="9">
        <v>0</v>
      </c>
      <c r="F454" s="9">
        <v>1</v>
      </c>
      <c r="G454" s="7">
        <v>18</v>
      </c>
      <c r="H454" s="9" t="b">
        <v>0</v>
      </c>
      <c r="I454" s="9">
        <v>4</v>
      </c>
      <c r="J454" s="38" t="str">
        <f>CHOOSE(Table1[[#This Row],[Weekday]]+1,"Sunday","Monday","Tuesday","Wednesday","Thursday","Friday","Saturday")</f>
        <v>Thursday</v>
      </c>
      <c r="K454" s="9">
        <v>2</v>
      </c>
      <c r="L454" s="38" t="str">
        <f>IF(Table1[[#This Row],[Weather_code]]=1,"Clear",IF(Table1[[#This Row],[Weather_code]]=2,"Cloudy",IF(Table1[[#This Row],[Weather_code]]=3,"Light Rain",IF(Table1[[#This Row],[Weather_code]]=4,"Heavy Rain"))))</f>
        <v>Cloudy</v>
      </c>
      <c r="M454" s="10">
        <v>0.26</v>
      </c>
      <c r="N454" s="11" t="str">
        <f t="shared" ref="N454:N517" si="22">CHOOSE(D454,"Winter","Spring","Summer","Fall")</f>
        <v>Winter</v>
      </c>
      <c r="O454" s="11" t="str">
        <f t="shared" ref="O454:O517" si="23">IF(OR(WEEKDAY(B454,2)=6,WEEKDAY(B454,2)=7),"Weekend","Weekday")</f>
        <v>Weekday</v>
      </c>
      <c r="P454" s="11">
        <f>VLOOKUP(A454,[1]Sheet1!$A:$H,2, FALSE)</f>
        <v>0.2576</v>
      </c>
      <c r="Q454" s="40">
        <f>Table1[[#This Row],[A_Temperature]]*41</f>
        <v>10.5616</v>
      </c>
      <c r="R454" s="11">
        <f>VLOOKUP(A454,[1]Sheet1!$A:$G,3,FALSE)</f>
        <v>0.56000000000000005</v>
      </c>
      <c r="S454" s="11">
        <f>VLOOKUP(A454,[1]Sheet1!$A:$G,4,FALSE)</f>
        <v>0.19400000000000001</v>
      </c>
      <c r="T454" s="11">
        <f>VLOOKUP(A454,[1]Sheet1!$A:$G,5,FALSE)</f>
        <v>1</v>
      </c>
      <c r="U454" s="11">
        <f>VLOOKUP(A454,[1]Sheet1!$A:$G,6,FALSE)</f>
        <v>184</v>
      </c>
      <c r="V454" s="18">
        <f>VLOOKUP(A454,[1]Sheet1!$A:$G,7,FALSE)</f>
        <v>185</v>
      </c>
    </row>
    <row r="455" spans="1:22" s="13" customFormat="1" ht="30" customHeight="1">
      <c r="A455" s="17">
        <v>451</v>
      </c>
      <c r="B455" s="14">
        <v>40563</v>
      </c>
      <c r="C455" s="8" t="str">
        <f t="shared" si="21"/>
        <v>Thursday</v>
      </c>
      <c r="D455" s="9">
        <v>1</v>
      </c>
      <c r="E455" s="9">
        <v>0</v>
      </c>
      <c r="F455" s="9">
        <v>1</v>
      </c>
      <c r="G455" s="7">
        <v>19</v>
      </c>
      <c r="H455" s="9" t="b">
        <v>0</v>
      </c>
      <c r="I455" s="9">
        <v>4</v>
      </c>
      <c r="J455" s="38" t="str">
        <f>CHOOSE(Table1[[#This Row],[Weekday]]+1,"Sunday","Monday","Tuesday","Wednesday","Thursday","Friday","Saturday")</f>
        <v>Thursday</v>
      </c>
      <c r="K455" s="9">
        <v>1</v>
      </c>
      <c r="L455" s="38" t="str">
        <f>IF(Table1[[#This Row],[Weather_code]]=1,"Clear",IF(Table1[[#This Row],[Weather_code]]=2,"Cloudy",IF(Table1[[#This Row],[Weather_code]]=3,"Light Rain",IF(Table1[[#This Row],[Weather_code]]=4,"Heavy Rain"))))</f>
        <v>Clear</v>
      </c>
      <c r="M455" s="10">
        <v>0.26</v>
      </c>
      <c r="N455" s="11" t="str">
        <f t="shared" si="22"/>
        <v>Winter</v>
      </c>
      <c r="O455" s="11" t="str">
        <f t="shared" si="23"/>
        <v>Weekday</v>
      </c>
      <c r="P455" s="11">
        <f>VLOOKUP(A455,[1]Sheet1!$A:$H,2, FALSE)</f>
        <v>0.2273</v>
      </c>
      <c r="Q455" s="40">
        <f>Table1[[#This Row],[A_Temperature]]*41</f>
        <v>9.3193000000000001</v>
      </c>
      <c r="R455" s="11">
        <f>VLOOKUP(A455,[1]Sheet1!$A:$G,3,FALSE)</f>
        <v>0.56000000000000005</v>
      </c>
      <c r="S455" s="11">
        <f>VLOOKUP(A455,[1]Sheet1!$A:$G,4,FALSE)</f>
        <v>0.32840000000000003</v>
      </c>
      <c r="T455" s="11">
        <f>VLOOKUP(A455,[1]Sheet1!$A:$G,5,FALSE)</f>
        <v>6</v>
      </c>
      <c r="U455" s="11">
        <f>VLOOKUP(A455,[1]Sheet1!$A:$G,6,FALSE)</f>
        <v>146</v>
      </c>
      <c r="V455" s="18">
        <f>VLOOKUP(A455,[1]Sheet1!$A:$G,7,FALSE)</f>
        <v>152</v>
      </c>
    </row>
    <row r="456" spans="1:22" s="13" customFormat="1" ht="30" customHeight="1">
      <c r="A456" s="17">
        <v>452</v>
      </c>
      <c r="B456" s="14">
        <v>40563</v>
      </c>
      <c r="C456" s="8" t="str">
        <f t="shared" si="21"/>
        <v>Thursday</v>
      </c>
      <c r="D456" s="9">
        <v>1</v>
      </c>
      <c r="E456" s="9">
        <v>0</v>
      </c>
      <c r="F456" s="9">
        <v>1</v>
      </c>
      <c r="G456" s="7">
        <v>20</v>
      </c>
      <c r="H456" s="9" t="b">
        <v>0</v>
      </c>
      <c r="I456" s="9">
        <v>4</v>
      </c>
      <c r="J456" s="38" t="str">
        <f>CHOOSE(Table1[[#This Row],[Weekday]]+1,"Sunday","Monday","Tuesday","Wednesday","Thursday","Friday","Saturday")</f>
        <v>Thursday</v>
      </c>
      <c r="K456" s="9">
        <v>2</v>
      </c>
      <c r="L456" s="38" t="str">
        <f>IF(Table1[[#This Row],[Weather_code]]=1,"Clear",IF(Table1[[#This Row],[Weather_code]]=2,"Cloudy",IF(Table1[[#This Row],[Weather_code]]=3,"Light Rain",IF(Table1[[#This Row],[Weather_code]]=4,"Heavy Rain"))))</f>
        <v>Cloudy</v>
      </c>
      <c r="M456" s="10">
        <v>0.26</v>
      </c>
      <c r="N456" s="11" t="str">
        <f t="shared" si="22"/>
        <v>Winter</v>
      </c>
      <c r="O456" s="11" t="str">
        <f t="shared" si="23"/>
        <v>Weekday</v>
      </c>
      <c r="P456" s="11">
        <f>VLOOKUP(A456,[1]Sheet1!$A:$H,2, FALSE)</f>
        <v>0.2424</v>
      </c>
      <c r="Q456" s="40">
        <f>Table1[[#This Row],[A_Temperature]]*41</f>
        <v>9.9383999999999997</v>
      </c>
      <c r="R456" s="11">
        <f>VLOOKUP(A456,[1]Sheet1!$A:$G,3,FALSE)</f>
        <v>0.6</v>
      </c>
      <c r="S456" s="11">
        <f>VLOOKUP(A456,[1]Sheet1!$A:$G,4,FALSE)</f>
        <v>0.28360000000000002</v>
      </c>
      <c r="T456" s="11">
        <f>VLOOKUP(A456,[1]Sheet1!$A:$G,5,FALSE)</f>
        <v>2</v>
      </c>
      <c r="U456" s="11">
        <f>VLOOKUP(A456,[1]Sheet1!$A:$G,6,FALSE)</f>
        <v>124</v>
      </c>
      <c r="V456" s="18">
        <f>VLOOKUP(A456,[1]Sheet1!$A:$G,7,FALSE)</f>
        <v>126</v>
      </c>
    </row>
    <row r="457" spans="1:22" s="13" customFormat="1" ht="30" customHeight="1">
      <c r="A457" s="17">
        <v>453</v>
      </c>
      <c r="B457" s="14">
        <v>40563</v>
      </c>
      <c r="C457" s="8" t="str">
        <f t="shared" si="21"/>
        <v>Thursday</v>
      </c>
      <c r="D457" s="9">
        <v>1</v>
      </c>
      <c r="E457" s="9">
        <v>0</v>
      </c>
      <c r="F457" s="9">
        <v>1</v>
      </c>
      <c r="G457" s="7">
        <v>21</v>
      </c>
      <c r="H457" s="9" t="b">
        <v>0</v>
      </c>
      <c r="I457" s="9">
        <v>4</v>
      </c>
      <c r="J457" s="38" t="str">
        <f>CHOOSE(Table1[[#This Row],[Weekday]]+1,"Sunday","Monday","Tuesday","Wednesday","Thursday","Friday","Saturday")</f>
        <v>Thursday</v>
      </c>
      <c r="K457" s="9">
        <v>2</v>
      </c>
      <c r="L457" s="38" t="str">
        <f>IF(Table1[[#This Row],[Weather_code]]=1,"Clear",IF(Table1[[#This Row],[Weather_code]]=2,"Cloudy",IF(Table1[[#This Row],[Weather_code]]=3,"Light Rain",IF(Table1[[#This Row],[Weather_code]]=4,"Heavy Rain"))))</f>
        <v>Cloudy</v>
      </c>
      <c r="M457" s="10">
        <v>0.24</v>
      </c>
      <c r="N457" s="11" t="str">
        <f t="shared" si="22"/>
        <v>Winter</v>
      </c>
      <c r="O457" s="11" t="str">
        <f t="shared" si="23"/>
        <v>Weekday</v>
      </c>
      <c r="P457" s="11">
        <f>VLOOKUP(A457,[1]Sheet1!$A:$H,2, FALSE)</f>
        <v>0.2273</v>
      </c>
      <c r="Q457" s="40">
        <f>Table1[[#This Row],[A_Temperature]]*41</f>
        <v>9.3193000000000001</v>
      </c>
      <c r="R457" s="11">
        <f>VLOOKUP(A457,[1]Sheet1!$A:$G,3,FALSE)</f>
        <v>0.6</v>
      </c>
      <c r="S457" s="11">
        <f>VLOOKUP(A457,[1]Sheet1!$A:$G,4,FALSE)</f>
        <v>0.25369999999999998</v>
      </c>
      <c r="T457" s="11">
        <f>VLOOKUP(A457,[1]Sheet1!$A:$G,5,FALSE)</f>
        <v>3</v>
      </c>
      <c r="U457" s="11">
        <f>VLOOKUP(A457,[1]Sheet1!$A:$G,6,FALSE)</f>
        <v>54</v>
      </c>
      <c r="V457" s="18">
        <f>VLOOKUP(A457,[1]Sheet1!$A:$G,7,FALSE)</f>
        <v>57</v>
      </c>
    </row>
    <row r="458" spans="1:22" s="13" customFormat="1" ht="30" customHeight="1">
      <c r="A458" s="17">
        <v>454</v>
      </c>
      <c r="B458" s="14">
        <v>40563</v>
      </c>
      <c r="C458" s="8" t="str">
        <f t="shared" si="21"/>
        <v>Thursday</v>
      </c>
      <c r="D458" s="9">
        <v>1</v>
      </c>
      <c r="E458" s="9">
        <v>0</v>
      </c>
      <c r="F458" s="9">
        <v>1</v>
      </c>
      <c r="G458" s="7">
        <v>22</v>
      </c>
      <c r="H458" s="9" t="b">
        <v>0</v>
      </c>
      <c r="I458" s="9">
        <v>4</v>
      </c>
      <c r="J458" s="38" t="str">
        <f>CHOOSE(Table1[[#This Row],[Weekday]]+1,"Sunday","Monday","Tuesday","Wednesday","Thursday","Friday","Saturday")</f>
        <v>Thursday</v>
      </c>
      <c r="K458" s="9">
        <v>2</v>
      </c>
      <c r="L458" s="38" t="str">
        <f>IF(Table1[[#This Row],[Weather_code]]=1,"Clear",IF(Table1[[#This Row],[Weather_code]]=2,"Cloudy",IF(Table1[[#This Row],[Weather_code]]=3,"Light Rain",IF(Table1[[#This Row],[Weather_code]]=4,"Heavy Rain"))))</f>
        <v>Cloudy</v>
      </c>
      <c r="M458" s="10">
        <v>0.24</v>
      </c>
      <c r="N458" s="11" t="str">
        <f t="shared" si="22"/>
        <v>Winter</v>
      </c>
      <c r="O458" s="11" t="str">
        <f t="shared" si="23"/>
        <v>Weekday</v>
      </c>
      <c r="P458" s="11">
        <f>VLOOKUP(A458,[1]Sheet1!$A:$H,2, FALSE)</f>
        <v>0.21210000000000001</v>
      </c>
      <c r="Q458" s="40">
        <f>Table1[[#This Row],[A_Temperature]]*41</f>
        <v>8.6961000000000013</v>
      </c>
      <c r="R458" s="11">
        <f>VLOOKUP(A458,[1]Sheet1!$A:$G,3,FALSE)</f>
        <v>0.65</v>
      </c>
      <c r="S458" s="11">
        <f>VLOOKUP(A458,[1]Sheet1!$A:$G,4,FALSE)</f>
        <v>0.28360000000000002</v>
      </c>
      <c r="T458" s="11">
        <f>VLOOKUP(A458,[1]Sheet1!$A:$G,5,FALSE)</f>
        <v>0</v>
      </c>
      <c r="U458" s="11">
        <f>VLOOKUP(A458,[1]Sheet1!$A:$G,6,FALSE)</f>
        <v>56</v>
      </c>
      <c r="V458" s="18">
        <f>VLOOKUP(A458,[1]Sheet1!$A:$G,7,FALSE)</f>
        <v>56</v>
      </c>
    </row>
    <row r="459" spans="1:22" s="13" customFormat="1" ht="30" customHeight="1">
      <c r="A459" s="17">
        <v>455</v>
      </c>
      <c r="B459" s="14">
        <v>40563</v>
      </c>
      <c r="C459" s="8" t="str">
        <f t="shared" si="21"/>
        <v>Thursday</v>
      </c>
      <c r="D459" s="9">
        <v>1</v>
      </c>
      <c r="E459" s="9">
        <v>0</v>
      </c>
      <c r="F459" s="9">
        <v>1</v>
      </c>
      <c r="G459" s="7">
        <v>23</v>
      </c>
      <c r="H459" s="9" t="b">
        <v>0</v>
      </c>
      <c r="I459" s="9">
        <v>4</v>
      </c>
      <c r="J459" s="38" t="str">
        <f>CHOOSE(Table1[[#This Row],[Weekday]]+1,"Sunday","Monday","Tuesday","Wednesday","Thursday","Friday","Saturday")</f>
        <v>Thursday</v>
      </c>
      <c r="K459" s="9">
        <v>2</v>
      </c>
      <c r="L459" s="38" t="str">
        <f>IF(Table1[[#This Row],[Weather_code]]=1,"Clear",IF(Table1[[#This Row],[Weather_code]]=2,"Cloudy",IF(Table1[[#This Row],[Weather_code]]=3,"Light Rain",IF(Table1[[#This Row],[Weather_code]]=4,"Heavy Rain"))))</f>
        <v>Cloudy</v>
      </c>
      <c r="M459" s="10">
        <v>0.24</v>
      </c>
      <c r="N459" s="11" t="str">
        <f t="shared" si="22"/>
        <v>Winter</v>
      </c>
      <c r="O459" s="11" t="str">
        <f t="shared" si="23"/>
        <v>Weekday</v>
      </c>
      <c r="P459" s="11">
        <f>VLOOKUP(A459,[1]Sheet1!$A:$H,2, FALSE)</f>
        <v>0.21210000000000001</v>
      </c>
      <c r="Q459" s="40">
        <f>Table1[[#This Row],[A_Temperature]]*41</f>
        <v>8.6961000000000013</v>
      </c>
      <c r="R459" s="11">
        <f>VLOOKUP(A459,[1]Sheet1!$A:$G,3,FALSE)</f>
        <v>0.65</v>
      </c>
      <c r="S459" s="11">
        <f>VLOOKUP(A459,[1]Sheet1!$A:$G,4,FALSE)</f>
        <v>0.32840000000000003</v>
      </c>
      <c r="T459" s="11">
        <f>VLOOKUP(A459,[1]Sheet1!$A:$G,5,FALSE)</f>
        <v>3</v>
      </c>
      <c r="U459" s="11">
        <f>VLOOKUP(A459,[1]Sheet1!$A:$G,6,FALSE)</f>
        <v>28</v>
      </c>
      <c r="V459" s="18">
        <f>VLOOKUP(A459,[1]Sheet1!$A:$G,7,FALSE)</f>
        <v>31</v>
      </c>
    </row>
    <row r="460" spans="1:22" s="13" customFormat="1" ht="30" customHeight="1">
      <c r="A460" s="17">
        <v>456</v>
      </c>
      <c r="B460" s="14">
        <v>40564</v>
      </c>
      <c r="C460" s="8" t="str">
        <f t="shared" si="21"/>
        <v>Friday</v>
      </c>
      <c r="D460" s="9">
        <v>1</v>
      </c>
      <c r="E460" s="9">
        <v>0</v>
      </c>
      <c r="F460" s="9">
        <v>1</v>
      </c>
      <c r="G460" s="7">
        <v>0</v>
      </c>
      <c r="H460" s="9" t="b">
        <v>0</v>
      </c>
      <c r="I460" s="9">
        <v>5</v>
      </c>
      <c r="J460" s="38" t="str">
        <f>CHOOSE(Table1[[#This Row],[Weekday]]+1,"Sunday","Monday","Tuesday","Wednesday","Thursday","Friday","Saturday")</f>
        <v>Friday</v>
      </c>
      <c r="K460" s="9">
        <v>2</v>
      </c>
      <c r="L460" s="38" t="str">
        <f>IF(Table1[[#This Row],[Weather_code]]=1,"Clear",IF(Table1[[#This Row],[Weather_code]]=2,"Cloudy",IF(Table1[[#This Row],[Weather_code]]=3,"Light Rain",IF(Table1[[#This Row],[Weather_code]]=4,"Heavy Rain"))))</f>
        <v>Cloudy</v>
      </c>
      <c r="M460" s="10">
        <v>0.24</v>
      </c>
      <c r="N460" s="11" t="str">
        <f t="shared" si="22"/>
        <v>Winter</v>
      </c>
      <c r="O460" s="11" t="str">
        <f t="shared" si="23"/>
        <v>Weekday</v>
      </c>
      <c r="P460" s="11">
        <f>VLOOKUP(A460,[1]Sheet1!$A:$H,2, FALSE)</f>
        <v>0.2273</v>
      </c>
      <c r="Q460" s="40">
        <f>Table1[[#This Row],[A_Temperature]]*41</f>
        <v>9.3193000000000001</v>
      </c>
      <c r="R460" s="11">
        <f>VLOOKUP(A460,[1]Sheet1!$A:$G,3,FALSE)</f>
        <v>0.7</v>
      </c>
      <c r="S460" s="11">
        <f>VLOOKUP(A460,[1]Sheet1!$A:$G,4,FALSE)</f>
        <v>0.25369999999999998</v>
      </c>
      <c r="T460" s="11">
        <f>VLOOKUP(A460,[1]Sheet1!$A:$G,5,FALSE)</f>
        <v>1</v>
      </c>
      <c r="U460" s="11">
        <f>VLOOKUP(A460,[1]Sheet1!$A:$G,6,FALSE)</f>
        <v>20</v>
      </c>
      <c r="V460" s="18">
        <f>VLOOKUP(A460,[1]Sheet1!$A:$G,7,FALSE)</f>
        <v>21</v>
      </c>
    </row>
    <row r="461" spans="1:22" s="13" customFormat="1" ht="30" customHeight="1">
      <c r="A461" s="17">
        <v>457</v>
      </c>
      <c r="B461" s="14">
        <v>40564</v>
      </c>
      <c r="C461" s="8" t="str">
        <f t="shared" si="21"/>
        <v>Friday</v>
      </c>
      <c r="D461" s="9">
        <v>1</v>
      </c>
      <c r="E461" s="9">
        <v>0</v>
      </c>
      <c r="F461" s="9">
        <v>1</v>
      </c>
      <c r="G461" s="7">
        <v>1</v>
      </c>
      <c r="H461" s="9" t="b">
        <v>0</v>
      </c>
      <c r="I461" s="9">
        <v>5</v>
      </c>
      <c r="J461" s="38" t="str">
        <f>CHOOSE(Table1[[#This Row],[Weekday]]+1,"Sunday","Monday","Tuesday","Wednesday","Thursday","Friday","Saturday")</f>
        <v>Friday</v>
      </c>
      <c r="K461" s="9">
        <v>2</v>
      </c>
      <c r="L461" s="38" t="str">
        <f>IF(Table1[[#This Row],[Weather_code]]=1,"Clear",IF(Table1[[#This Row],[Weather_code]]=2,"Cloudy",IF(Table1[[#This Row],[Weather_code]]=3,"Light Rain",IF(Table1[[#This Row],[Weather_code]]=4,"Heavy Rain"))))</f>
        <v>Cloudy</v>
      </c>
      <c r="M461" s="10">
        <v>0.24</v>
      </c>
      <c r="N461" s="11" t="str">
        <f t="shared" si="22"/>
        <v>Winter</v>
      </c>
      <c r="O461" s="11" t="str">
        <f t="shared" si="23"/>
        <v>Weekday</v>
      </c>
      <c r="P461" s="11">
        <f>VLOOKUP(A461,[1]Sheet1!$A:$H,2, FALSE)</f>
        <v>0.2273</v>
      </c>
      <c r="Q461" s="40">
        <f>Table1[[#This Row],[A_Temperature]]*41</f>
        <v>9.3193000000000001</v>
      </c>
      <c r="R461" s="11">
        <f>VLOOKUP(A461,[1]Sheet1!$A:$G,3,FALSE)</f>
        <v>0.7</v>
      </c>
      <c r="S461" s="11">
        <f>VLOOKUP(A461,[1]Sheet1!$A:$G,4,FALSE)</f>
        <v>0.25369999999999998</v>
      </c>
      <c r="T461" s="11">
        <f>VLOOKUP(A461,[1]Sheet1!$A:$G,5,FALSE)</f>
        <v>0</v>
      </c>
      <c r="U461" s="11">
        <f>VLOOKUP(A461,[1]Sheet1!$A:$G,6,FALSE)</f>
        <v>6</v>
      </c>
      <c r="V461" s="18">
        <f>VLOOKUP(A461,[1]Sheet1!$A:$G,7,FALSE)</f>
        <v>6</v>
      </c>
    </row>
    <row r="462" spans="1:22" s="13" customFormat="1" ht="30" customHeight="1">
      <c r="A462" s="17">
        <v>458</v>
      </c>
      <c r="B462" s="14">
        <v>40564</v>
      </c>
      <c r="C462" s="8" t="str">
        <f t="shared" si="21"/>
        <v>Friday</v>
      </c>
      <c r="D462" s="9">
        <v>1</v>
      </c>
      <c r="E462" s="9">
        <v>0</v>
      </c>
      <c r="F462" s="9">
        <v>1</v>
      </c>
      <c r="G462" s="7">
        <v>2</v>
      </c>
      <c r="H462" s="9" t="b">
        <v>0</v>
      </c>
      <c r="I462" s="9">
        <v>5</v>
      </c>
      <c r="J462" s="38" t="str">
        <f>CHOOSE(Table1[[#This Row],[Weekday]]+1,"Sunday","Monday","Tuesday","Wednesday","Thursday","Friday","Saturday")</f>
        <v>Friday</v>
      </c>
      <c r="K462" s="9">
        <v>3</v>
      </c>
      <c r="L462" s="38" t="str">
        <f>IF(Table1[[#This Row],[Weather_code]]=1,"Clear",IF(Table1[[#This Row],[Weather_code]]=2,"Cloudy",IF(Table1[[#This Row],[Weather_code]]=3,"Light Rain",IF(Table1[[#This Row],[Weather_code]]=4,"Heavy Rain"))))</f>
        <v>Light Rain</v>
      </c>
      <c r="M462" s="10">
        <v>0.24</v>
      </c>
      <c r="N462" s="11" t="str">
        <f t="shared" si="22"/>
        <v>Winter</v>
      </c>
      <c r="O462" s="11" t="str">
        <f t="shared" si="23"/>
        <v>Weekday</v>
      </c>
      <c r="P462" s="11">
        <f>VLOOKUP(A462,[1]Sheet1!$A:$H,2, FALSE)</f>
        <v>0.2424</v>
      </c>
      <c r="Q462" s="40">
        <f>Table1[[#This Row],[A_Temperature]]*41</f>
        <v>9.9383999999999997</v>
      </c>
      <c r="R462" s="11">
        <f>VLOOKUP(A462,[1]Sheet1!$A:$G,3,FALSE)</f>
        <v>0.75</v>
      </c>
      <c r="S462" s="11">
        <f>VLOOKUP(A462,[1]Sheet1!$A:$G,4,FALSE)</f>
        <v>0.16420000000000001</v>
      </c>
      <c r="T462" s="11">
        <f>VLOOKUP(A462,[1]Sheet1!$A:$G,5,FALSE)</f>
        <v>0</v>
      </c>
      <c r="U462" s="11">
        <f>VLOOKUP(A462,[1]Sheet1!$A:$G,6,FALSE)</f>
        <v>2</v>
      </c>
      <c r="V462" s="18">
        <f>VLOOKUP(A462,[1]Sheet1!$A:$G,7,FALSE)</f>
        <v>2</v>
      </c>
    </row>
    <row r="463" spans="1:22" s="13" customFormat="1" ht="30" customHeight="1">
      <c r="A463" s="17">
        <v>459</v>
      </c>
      <c r="B463" s="14">
        <v>40564</v>
      </c>
      <c r="C463" s="8" t="str">
        <f t="shared" si="21"/>
        <v>Friday</v>
      </c>
      <c r="D463" s="9">
        <v>1</v>
      </c>
      <c r="E463" s="9">
        <v>0</v>
      </c>
      <c r="F463" s="9">
        <v>1</v>
      </c>
      <c r="G463" s="7">
        <v>3</v>
      </c>
      <c r="H463" s="9" t="b">
        <v>0</v>
      </c>
      <c r="I463" s="9">
        <v>5</v>
      </c>
      <c r="J463" s="38" t="str">
        <f>CHOOSE(Table1[[#This Row],[Weekday]]+1,"Sunday","Monday","Tuesday","Wednesday","Thursday","Friday","Saturday")</f>
        <v>Friday</v>
      </c>
      <c r="K463" s="9">
        <v>3</v>
      </c>
      <c r="L463" s="38" t="str">
        <f>IF(Table1[[#This Row],[Weather_code]]=1,"Clear",IF(Table1[[#This Row],[Weather_code]]=2,"Cloudy",IF(Table1[[#This Row],[Weather_code]]=3,"Light Rain",IF(Table1[[#This Row],[Weather_code]]=4,"Heavy Rain"))))</f>
        <v>Light Rain</v>
      </c>
      <c r="M463" s="10">
        <v>0.22</v>
      </c>
      <c r="N463" s="11" t="str">
        <f t="shared" si="22"/>
        <v>Winter</v>
      </c>
      <c r="O463" s="11" t="str">
        <f t="shared" si="23"/>
        <v>Weekday</v>
      </c>
      <c r="P463" s="11">
        <f>VLOOKUP(A463,[1]Sheet1!$A:$H,2, FALSE)</f>
        <v>0.21210000000000001</v>
      </c>
      <c r="Q463" s="40">
        <f>Table1[[#This Row],[A_Temperature]]*41</f>
        <v>8.6961000000000013</v>
      </c>
      <c r="R463" s="11">
        <f>VLOOKUP(A463,[1]Sheet1!$A:$G,3,FALSE)</f>
        <v>0.8</v>
      </c>
      <c r="S463" s="11">
        <f>VLOOKUP(A463,[1]Sheet1!$A:$G,4,FALSE)</f>
        <v>0.29849999999999999</v>
      </c>
      <c r="T463" s="11">
        <f>VLOOKUP(A463,[1]Sheet1!$A:$G,5,FALSE)</f>
        <v>0</v>
      </c>
      <c r="U463" s="11">
        <f>VLOOKUP(A463,[1]Sheet1!$A:$G,6,FALSE)</f>
        <v>1</v>
      </c>
      <c r="V463" s="18">
        <f>VLOOKUP(A463,[1]Sheet1!$A:$G,7,FALSE)</f>
        <v>1</v>
      </c>
    </row>
    <row r="464" spans="1:22" s="13" customFormat="1" ht="30" customHeight="1">
      <c r="A464" s="17">
        <v>460</v>
      </c>
      <c r="B464" s="14">
        <v>40564</v>
      </c>
      <c r="C464" s="8" t="str">
        <f t="shared" si="21"/>
        <v>Friday</v>
      </c>
      <c r="D464" s="9">
        <v>1</v>
      </c>
      <c r="E464" s="9">
        <v>0</v>
      </c>
      <c r="F464" s="9">
        <v>1</v>
      </c>
      <c r="G464" s="7">
        <v>4</v>
      </c>
      <c r="H464" s="9" t="b">
        <v>0</v>
      </c>
      <c r="I464" s="9">
        <v>5</v>
      </c>
      <c r="J464" s="38" t="str">
        <f>CHOOSE(Table1[[#This Row],[Weekday]]+1,"Sunday","Monday","Tuesday","Wednesday","Thursday","Friday","Saturday")</f>
        <v>Friday</v>
      </c>
      <c r="K464" s="9">
        <v>2</v>
      </c>
      <c r="L464" s="38" t="str">
        <f>IF(Table1[[#This Row],[Weather_code]]=1,"Clear",IF(Table1[[#This Row],[Weather_code]]=2,"Cloudy",IF(Table1[[#This Row],[Weather_code]]=3,"Light Rain",IF(Table1[[#This Row],[Weather_code]]=4,"Heavy Rain"))))</f>
        <v>Cloudy</v>
      </c>
      <c r="M464" s="10">
        <v>0.22</v>
      </c>
      <c r="N464" s="11" t="str">
        <f t="shared" si="22"/>
        <v>Winter</v>
      </c>
      <c r="O464" s="11" t="str">
        <f t="shared" si="23"/>
        <v>Weekday</v>
      </c>
      <c r="P464" s="11">
        <f>VLOOKUP(A464,[1]Sheet1!$A:$H,2, FALSE)</f>
        <v>0.2576</v>
      </c>
      <c r="Q464" s="40">
        <f>Table1[[#This Row],[A_Temperature]]*41</f>
        <v>10.5616</v>
      </c>
      <c r="R464" s="11">
        <f>VLOOKUP(A464,[1]Sheet1!$A:$G,3,FALSE)</f>
        <v>0.87</v>
      </c>
      <c r="S464" s="11">
        <f>VLOOKUP(A464,[1]Sheet1!$A:$G,4,FALSE)</f>
        <v>8.9599999999999999E-2</v>
      </c>
      <c r="T464" s="11">
        <f>VLOOKUP(A464,[1]Sheet1!$A:$G,5,FALSE)</f>
        <v>0</v>
      </c>
      <c r="U464" s="11">
        <f>VLOOKUP(A464,[1]Sheet1!$A:$G,6,FALSE)</f>
        <v>1</v>
      </c>
      <c r="V464" s="18">
        <f>VLOOKUP(A464,[1]Sheet1!$A:$G,7,FALSE)</f>
        <v>1</v>
      </c>
    </row>
    <row r="465" spans="1:22" s="13" customFormat="1" ht="30" customHeight="1">
      <c r="A465" s="17">
        <v>461</v>
      </c>
      <c r="B465" s="14">
        <v>40564</v>
      </c>
      <c r="C465" s="8" t="str">
        <f t="shared" si="21"/>
        <v>Friday</v>
      </c>
      <c r="D465" s="9">
        <v>1</v>
      </c>
      <c r="E465" s="9">
        <v>0</v>
      </c>
      <c r="F465" s="9">
        <v>1</v>
      </c>
      <c r="G465" s="7">
        <v>5</v>
      </c>
      <c r="H465" s="9" t="b">
        <v>0</v>
      </c>
      <c r="I465" s="9">
        <v>5</v>
      </c>
      <c r="J465" s="38" t="str">
        <f>CHOOSE(Table1[[#This Row],[Weekday]]+1,"Sunday","Monday","Tuesday","Wednesday","Thursday","Friday","Saturday")</f>
        <v>Friday</v>
      </c>
      <c r="K465" s="9">
        <v>1</v>
      </c>
      <c r="L465" s="38" t="str">
        <f>IF(Table1[[#This Row],[Weather_code]]=1,"Clear",IF(Table1[[#This Row],[Weather_code]]=2,"Cloudy",IF(Table1[[#This Row],[Weather_code]]=3,"Light Rain",IF(Table1[[#This Row],[Weather_code]]=4,"Heavy Rain"))))</f>
        <v>Clear</v>
      </c>
      <c r="M465" s="10">
        <v>0.24</v>
      </c>
      <c r="N465" s="11" t="str">
        <f t="shared" si="22"/>
        <v>Winter</v>
      </c>
      <c r="O465" s="11" t="str">
        <f t="shared" si="23"/>
        <v>Weekday</v>
      </c>
      <c r="P465" s="11">
        <f>VLOOKUP(A465,[1]Sheet1!$A:$H,2, FALSE)</f>
        <v>0.19700000000000001</v>
      </c>
      <c r="Q465" s="40">
        <f>Table1[[#This Row],[A_Temperature]]*41</f>
        <v>8.077</v>
      </c>
      <c r="R465" s="11">
        <f>VLOOKUP(A465,[1]Sheet1!$A:$G,3,FALSE)</f>
        <v>0.6</v>
      </c>
      <c r="S465" s="11">
        <f>VLOOKUP(A465,[1]Sheet1!$A:$G,4,FALSE)</f>
        <v>0.41789999999999999</v>
      </c>
      <c r="T465" s="11">
        <f>VLOOKUP(A465,[1]Sheet1!$A:$G,5,FALSE)</f>
        <v>1</v>
      </c>
      <c r="U465" s="11">
        <f>VLOOKUP(A465,[1]Sheet1!$A:$G,6,FALSE)</f>
        <v>4</v>
      </c>
      <c r="V465" s="18">
        <f>VLOOKUP(A465,[1]Sheet1!$A:$G,7,FALSE)</f>
        <v>5</v>
      </c>
    </row>
    <row r="466" spans="1:22" s="13" customFormat="1" ht="30" customHeight="1">
      <c r="A466" s="17">
        <v>462</v>
      </c>
      <c r="B466" s="14">
        <v>40564</v>
      </c>
      <c r="C466" s="8" t="str">
        <f t="shared" si="21"/>
        <v>Friday</v>
      </c>
      <c r="D466" s="9">
        <v>1</v>
      </c>
      <c r="E466" s="9">
        <v>0</v>
      </c>
      <c r="F466" s="9">
        <v>1</v>
      </c>
      <c r="G466" s="7">
        <v>6</v>
      </c>
      <c r="H466" s="9" t="b">
        <v>0</v>
      </c>
      <c r="I466" s="9">
        <v>5</v>
      </c>
      <c r="J466" s="38" t="str">
        <f>CHOOSE(Table1[[#This Row],[Weekday]]+1,"Sunday","Monday","Tuesday","Wednesday","Thursday","Friday","Saturday")</f>
        <v>Friday</v>
      </c>
      <c r="K466" s="9">
        <v>1</v>
      </c>
      <c r="L466" s="38" t="str">
        <f>IF(Table1[[#This Row],[Weather_code]]=1,"Clear",IF(Table1[[#This Row],[Weather_code]]=2,"Cloudy",IF(Table1[[#This Row],[Weather_code]]=3,"Light Rain",IF(Table1[[#This Row],[Weather_code]]=4,"Heavy Rain"))))</f>
        <v>Clear</v>
      </c>
      <c r="M466" s="10">
        <v>0.22</v>
      </c>
      <c r="N466" s="11" t="str">
        <f t="shared" si="22"/>
        <v>Winter</v>
      </c>
      <c r="O466" s="11" t="str">
        <f t="shared" si="23"/>
        <v>Weekday</v>
      </c>
      <c r="P466" s="11">
        <f>VLOOKUP(A466,[1]Sheet1!$A:$H,2, FALSE)</f>
        <v>0.21210000000000001</v>
      </c>
      <c r="Q466" s="40">
        <f>Table1[[#This Row],[A_Temperature]]*41</f>
        <v>8.6961000000000013</v>
      </c>
      <c r="R466" s="11">
        <f>VLOOKUP(A466,[1]Sheet1!$A:$G,3,FALSE)</f>
        <v>0.55000000000000004</v>
      </c>
      <c r="S466" s="11">
        <f>VLOOKUP(A466,[1]Sheet1!$A:$G,4,FALSE)</f>
        <v>0.25369999999999998</v>
      </c>
      <c r="T466" s="11">
        <f>VLOOKUP(A466,[1]Sheet1!$A:$G,5,FALSE)</f>
        <v>0</v>
      </c>
      <c r="U466" s="11">
        <f>VLOOKUP(A466,[1]Sheet1!$A:$G,6,FALSE)</f>
        <v>27</v>
      </c>
      <c r="V466" s="18">
        <f>VLOOKUP(A466,[1]Sheet1!$A:$G,7,FALSE)</f>
        <v>27</v>
      </c>
    </row>
    <row r="467" spans="1:22" s="13" customFormat="1" ht="30" customHeight="1">
      <c r="A467" s="17">
        <v>463</v>
      </c>
      <c r="B467" s="14">
        <v>40564</v>
      </c>
      <c r="C467" s="8" t="str">
        <f t="shared" si="21"/>
        <v>Friday</v>
      </c>
      <c r="D467" s="9">
        <v>1</v>
      </c>
      <c r="E467" s="9">
        <v>0</v>
      </c>
      <c r="F467" s="9">
        <v>1</v>
      </c>
      <c r="G467" s="7">
        <v>7</v>
      </c>
      <c r="H467" s="9" t="b">
        <v>0</v>
      </c>
      <c r="I467" s="9">
        <v>5</v>
      </c>
      <c r="J467" s="38" t="str">
        <f>CHOOSE(Table1[[#This Row],[Weekday]]+1,"Sunday","Monday","Tuesday","Wednesday","Thursday","Friday","Saturday")</f>
        <v>Friday</v>
      </c>
      <c r="K467" s="9">
        <v>1</v>
      </c>
      <c r="L467" s="38" t="str">
        <f>IF(Table1[[#This Row],[Weather_code]]=1,"Clear",IF(Table1[[#This Row],[Weather_code]]=2,"Cloudy",IF(Table1[[#This Row],[Weather_code]]=3,"Light Rain",IF(Table1[[#This Row],[Weather_code]]=4,"Heavy Rain"))))</f>
        <v>Clear</v>
      </c>
      <c r="M467" s="10">
        <v>0.2</v>
      </c>
      <c r="N467" s="11" t="str">
        <f t="shared" si="22"/>
        <v>Winter</v>
      </c>
      <c r="O467" s="11" t="str">
        <f t="shared" si="23"/>
        <v>Weekday</v>
      </c>
      <c r="P467" s="11">
        <f>VLOOKUP(A467,[1]Sheet1!$A:$H,2, FALSE)</f>
        <v>0.18179999999999999</v>
      </c>
      <c r="Q467" s="40">
        <f>Table1[[#This Row],[A_Temperature]]*41</f>
        <v>7.4537999999999993</v>
      </c>
      <c r="R467" s="11">
        <f>VLOOKUP(A467,[1]Sheet1!$A:$G,3,FALSE)</f>
        <v>0.51</v>
      </c>
      <c r="S467" s="11">
        <f>VLOOKUP(A467,[1]Sheet1!$A:$G,4,FALSE)</f>
        <v>0.28360000000000002</v>
      </c>
      <c r="T467" s="11">
        <f>VLOOKUP(A467,[1]Sheet1!$A:$G,5,FALSE)</f>
        <v>2</v>
      </c>
      <c r="U467" s="11">
        <f>VLOOKUP(A467,[1]Sheet1!$A:$G,6,FALSE)</f>
        <v>66</v>
      </c>
      <c r="V467" s="18">
        <f>VLOOKUP(A467,[1]Sheet1!$A:$G,7,FALSE)</f>
        <v>68</v>
      </c>
    </row>
    <row r="468" spans="1:22" s="13" customFormat="1" ht="30" customHeight="1">
      <c r="A468" s="17">
        <v>464</v>
      </c>
      <c r="B468" s="14">
        <v>40564</v>
      </c>
      <c r="C468" s="8" t="str">
        <f t="shared" si="21"/>
        <v>Friday</v>
      </c>
      <c r="D468" s="9">
        <v>1</v>
      </c>
      <c r="E468" s="9">
        <v>0</v>
      </c>
      <c r="F468" s="9">
        <v>1</v>
      </c>
      <c r="G468" s="7">
        <v>8</v>
      </c>
      <c r="H468" s="9" t="b">
        <v>0</v>
      </c>
      <c r="I468" s="9">
        <v>5</v>
      </c>
      <c r="J468" s="38" t="str">
        <f>CHOOSE(Table1[[#This Row],[Weekday]]+1,"Sunday","Monday","Tuesday","Wednesday","Thursday","Friday","Saturday")</f>
        <v>Friday</v>
      </c>
      <c r="K468" s="9">
        <v>1</v>
      </c>
      <c r="L468" s="38" t="str">
        <f>IF(Table1[[#This Row],[Weather_code]]=1,"Clear",IF(Table1[[#This Row],[Weather_code]]=2,"Cloudy",IF(Table1[[#This Row],[Weather_code]]=3,"Light Rain",IF(Table1[[#This Row],[Weather_code]]=4,"Heavy Rain"))))</f>
        <v>Clear</v>
      </c>
      <c r="M468" s="10">
        <v>0.2</v>
      </c>
      <c r="N468" s="11" t="str">
        <f t="shared" si="22"/>
        <v>Winter</v>
      </c>
      <c r="O468" s="11" t="str">
        <f t="shared" si="23"/>
        <v>Weekday</v>
      </c>
      <c r="P468" s="11">
        <f>VLOOKUP(A468,[1]Sheet1!$A:$H,2, FALSE)</f>
        <v>0.18179999999999999</v>
      </c>
      <c r="Q468" s="40">
        <f>Table1[[#This Row],[A_Temperature]]*41</f>
        <v>7.4537999999999993</v>
      </c>
      <c r="R468" s="11">
        <f>VLOOKUP(A468,[1]Sheet1!$A:$G,3,FALSE)</f>
        <v>0.47</v>
      </c>
      <c r="S468" s="11">
        <f>VLOOKUP(A468,[1]Sheet1!$A:$G,4,FALSE)</f>
        <v>0.32840000000000003</v>
      </c>
      <c r="T468" s="11">
        <f>VLOOKUP(A468,[1]Sheet1!$A:$G,5,FALSE)</f>
        <v>7</v>
      </c>
      <c r="U468" s="11">
        <f>VLOOKUP(A468,[1]Sheet1!$A:$G,6,FALSE)</f>
        <v>210</v>
      </c>
      <c r="V468" s="18">
        <f>VLOOKUP(A468,[1]Sheet1!$A:$G,7,FALSE)</f>
        <v>217</v>
      </c>
    </row>
    <row r="469" spans="1:22" s="13" customFormat="1" ht="30" customHeight="1">
      <c r="A469" s="17">
        <v>465</v>
      </c>
      <c r="B469" s="14">
        <v>40564</v>
      </c>
      <c r="C469" s="8" t="str">
        <f t="shared" si="21"/>
        <v>Friday</v>
      </c>
      <c r="D469" s="9">
        <v>1</v>
      </c>
      <c r="E469" s="9">
        <v>0</v>
      </c>
      <c r="F469" s="9">
        <v>1</v>
      </c>
      <c r="G469" s="7">
        <v>9</v>
      </c>
      <c r="H469" s="9" t="b">
        <v>0</v>
      </c>
      <c r="I469" s="9">
        <v>5</v>
      </c>
      <c r="J469" s="38" t="str">
        <f>CHOOSE(Table1[[#This Row],[Weekday]]+1,"Sunday","Monday","Tuesday","Wednesday","Thursday","Friday","Saturday")</f>
        <v>Friday</v>
      </c>
      <c r="K469" s="9">
        <v>1</v>
      </c>
      <c r="L469" s="38" t="str">
        <f>IF(Table1[[#This Row],[Weather_code]]=1,"Clear",IF(Table1[[#This Row],[Weather_code]]=2,"Cloudy",IF(Table1[[#This Row],[Weather_code]]=3,"Light Rain",IF(Table1[[#This Row],[Weather_code]]=4,"Heavy Rain"))))</f>
        <v>Clear</v>
      </c>
      <c r="M469" s="10">
        <v>0.2</v>
      </c>
      <c r="N469" s="11" t="str">
        <f t="shared" si="22"/>
        <v>Winter</v>
      </c>
      <c r="O469" s="11" t="str">
        <f t="shared" si="23"/>
        <v>Weekday</v>
      </c>
      <c r="P469" s="11">
        <f>VLOOKUP(A469,[1]Sheet1!$A:$H,2, FALSE)</f>
        <v>0.18179999999999999</v>
      </c>
      <c r="Q469" s="40">
        <f>Table1[[#This Row],[A_Temperature]]*41</f>
        <v>7.4537999999999993</v>
      </c>
      <c r="R469" s="11">
        <f>VLOOKUP(A469,[1]Sheet1!$A:$G,3,FALSE)</f>
        <v>0.51</v>
      </c>
      <c r="S469" s="11">
        <f>VLOOKUP(A469,[1]Sheet1!$A:$G,4,FALSE)</f>
        <v>0.35820000000000002</v>
      </c>
      <c r="T469" s="11">
        <f>VLOOKUP(A469,[1]Sheet1!$A:$G,5,FALSE)</f>
        <v>7</v>
      </c>
      <c r="U469" s="11">
        <f>VLOOKUP(A469,[1]Sheet1!$A:$G,6,FALSE)</f>
        <v>159</v>
      </c>
      <c r="V469" s="18">
        <f>VLOOKUP(A469,[1]Sheet1!$A:$G,7,FALSE)</f>
        <v>166</v>
      </c>
    </row>
    <row r="470" spans="1:22" s="13" customFormat="1" ht="30" customHeight="1">
      <c r="A470" s="17">
        <v>466</v>
      </c>
      <c r="B470" s="14">
        <v>40564</v>
      </c>
      <c r="C470" s="8" t="str">
        <f t="shared" si="21"/>
        <v>Friday</v>
      </c>
      <c r="D470" s="9">
        <v>1</v>
      </c>
      <c r="E470" s="9">
        <v>0</v>
      </c>
      <c r="F470" s="9">
        <v>1</v>
      </c>
      <c r="G470" s="7">
        <v>10</v>
      </c>
      <c r="H470" s="9" t="b">
        <v>0</v>
      </c>
      <c r="I470" s="9">
        <v>5</v>
      </c>
      <c r="J470" s="38" t="str">
        <f>CHOOSE(Table1[[#This Row],[Weekday]]+1,"Sunday","Monday","Tuesday","Wednesday","Thursday","Friday","Saturday")</f>
        <v>Friday</v>
      </c>
      <c r="K470" s="9">
        <v>1</v>
      </c>
      <c r="L470" s="38" t="str">
        <f>IF(Table1[[#This Row],[Weather_code]]=1,"Clear",IF(Table1[[#This Row],[Weather_code]]=2,"Cloudy",IF(Table1[[#This Row],[Weather_code]]=3,"Light Rain",IF(Table1[[#This Row],[Weather_code]]=4,"Heavy Rain"))))</f>
        <v>Clear</v>
      </c>
      <c r="M470" s="10">
        <v>0.2</v>
      </c>
      <c r="N470" s="11" t="str">
        <f t="shared" si="22"/>
        <v>Winter</v>
      </c>
      <c r="O470" s="11" t="str">
        <f t="shared" si="23"/>
        <v>Weekday</v>
      </c>
      <c r="P470" s="11">
        <f>VLOOKUP(A470,[1]Sheet1!$A:$H,2, FALSE)</f>
        <v>0.16669999999999999</v>
      </c>
      <c r="Q470" s="40">
        <f>Table1[[#This Row],[A_Temperature]]*41</f>
        <v>6.8346999999999998</v>
      </c>
      <c r="R470" s="11">
        <f>VLOOKUP(A470,[1]Sheet1!$A:$G,3,FALSE)</f>
        <v>0.47</v>
      </c>
      <c r="S470" s="11">
        <f>VLOOKUP(A470,[1]Sheet1!$A:$G,4,FALSE)</f>
        <v>0.4627</v>
      </c>
      <c r="T470" s="11">
        <f>VLOOKUP(A470,[1]Sheet1!$A:$G,5,FALSE)</f>
        <v>6</v>
      </c>
      <c r="U470" s="11">
        <f>VLOOKUP(A470,[1]Sheet1!$A:$G,6,FALSE)</f>
        <v>57</v>
      </c>
      <c r="V470" s="18">
        <f>VLOOKUP(A470,[1]Sheet1!$A:$G,7,FALSE)</f>
        <v>63</v>
      </c>
    </row>
    <row r="471" spans="1:22" s="13" customFormat="1" ht="30" customHeight="1">
      <c r="A471" s="17">
        <v>467</v>
      </c>
      <c r="B471" s="14">
        <v>40564</v>
      </c>
      <c r="C471" s="8" t="str">
        <f t="shared" si="21"/>
        <v>Friday</v>
      </c>
      <c r="D471" s="9">
        <v>1</v>
      </c>
      <c r="E471" s="9">
        <v>0</v>
      </c>
      <c r="F471" s="9">
        <v>1</v>
      </c>
      <c r="G471" s="7">
        <v>11</v>
      </c>
      <c r="H471" s="9" t="b">
        <v>0</v>
      </c>
      <c r="I471" s="9">
        <v>5</v>
      </c>
      <c r="J471" s="38" t="str">
        <f>CHOOSE(Table1[[#This Row],[Weekday]]+1,"Sunday","Monday","Tuesday","Wednesday","Thursday","Friday","Saturday")</f>
        <v>Friday</v>
      </c>
      <c r="K471" s="9">
        <v>1</v>
      </c>
      <c r="L471" s="38" t="str">
        <f>IF(Table1[[#This Row],[Weather_code]]=1,"Clear",IF(Table1[[#This Row],[Weather_code]]=2,"Cloudy",IF(Table1[[#This Row],[Weather_code]]=3,"Light Rain",IF(Table1[[#This Row],[Weather_code]]=4,"Heavy Rain"))))</f>
        <v>Clear</v>
      </c>
      <c r="M471" s="10">
        <v>0.22</v>
      </c>
      <c r="N471" s="11" t="str">
        <f t="shared" si="22"/>
        <v>Winter</v>
      </c>
      <c r="O471" s="11" t="str">
        <f t="shared" si="23"/>
        <v>Weekday</v>
      </c>
      <c r="P471" s="11">
        <f>VLOOKUP(A471,[1]Sheet1!$A:$H,2, FALSE)</f>
        <v>0.18179999999999999</v>
      </c>
      <c r="Q471" s="40">
        <f>Table1[[#This Row],[A_Temperature]]*41</f>
        <v>7.4537999999999993</v>
      </c>
      <c r="R471" s="11">
        <f>VLOOKUP(A471,[1]Sheet1!$A:$G,3,FALSE)</f>
        <v>0.41</v>
      </c>
      <c r="S471" s="11">
        <f>VLOOKUP(A471,[1]Sheet1!$A:$G,4,FALSE)</f>
        <v>0.4627</v>
      </c>
      <c r="T471" s="11">
        <f>VLOOKUP(A471,[1]Sheet1!$A:$G,5,FALSE)</f>
        <v>6</v>
      </c>
      <c r="U471" s="11">
        <f>VLOOKUP(A471,[1]Sheet1!$A:$G,6,FALSE)</f>
        <v>53</v>
      </c>
      <c r="V471" s="18">
        <f>VLOOKUP(A471,[1]Sheet1!$A:$G,7,FALSE)</f>
        <v>59</v>
      </c>
    </row>
    <row r="472" spans="1:22" s="13" customFormat="1" ht="30" customHeight="1">
      <c r="A472" s="17">
        <v>468</v>
      </c>
      <c r="B472" s="14">
        <v>40564</v>
      </c>
      <c r="C472" s="8" t="str">
        <f t="shared" si="21"/>
        <v>Friday</v>
      </c>
      <c r="D472" s="9">
        <v>1</v>
      </c>
      <c r="E472" s="9">
        <v>0</v>
      </c>
      <c r="F472" s="9">
        <v>1</v>
      </c>
      <c r="G472" s="7">
        <v>12</v>
      </c>
      <c r="H472" s="9" t="b">
        <v>0</v>
      </c>
      <c r="I472" s="9">
        <v>5</v>
      </c>
      <c r="J472" s="38" t="str">
        <f>CHOOSE(Table1[[#This Row],[Weekday]]+1,"Sunday","Monday","Tuesday","Wednesday","Thursday","Friday","Saturday")</f>
        <v>Friday</v>
      </c>
      <c r="K472" s="9">
        <v>1</v>
      </c>
      <c r="L472" s="38" t="str">
        <f>IF(Table1[[#This Row],[Weather_code]]=1,"Clear",IF(Table1[[#This Row],[Weather_code]]=2,"Cloudy",IF(Table1[[#This Row],[Weather_code]]=3,"Light Rain",IF(Table1[[#This Row],[Weather_code]]=4,"Heavy Rain"))))</f>
        <v>Clear</v>
      </c>
      <c r="M472" s="10">
        <v>0.22</v>
      </c>
      <c r="N472" s="11" t="str">
        <f t="shared" si="22"/>
        <v>Winter</v>
      </c>
      <c r="O472" s="11" t="str">
        <f t="shared" si="23"/>
        <v>Weekday</v>
      </c>
      <c r="P472" s="11">
        <f>VLOOKUP(A472,[1]Sheet1!$A:$H,2, FALSE)</f>
        <v>0.18179999999999999</v>
      </c>
      <c r="Q472" s="40">
        <f>Table1[[#This Row],[A_Temperature]]*41</f>
        <v>7.4537999999999993</v>
      </c>
      <c r="R472" s="11">
        <f>VLOOKUP(A472,[1]Sheet1!$A:$G,3,FALSE)</f>
        <v>0.27</v>
      </c>
      <c r="S472" s="11">
        <f>VLOOKUP(A472,[1]Sheet1!$A:$G,4,FALSE)</f>
        <v>0.58209999999999995</v>
      </c>
      <c r="T472" s="11">
        <f>VLOOKUP(A472,[1]Sheet1!$A:$G,5,FALSE)</f>
        <v>11</v>
      </c>
      <c r="U472" s="11">
        <f>VLOOKUP(A472,[1]Sheet1!$A:$G,6,FALSE)</f>
        <v>67</v>
      </c>
      <c r="V472" s="18">
        <f>VLOOKUP(A472,[1]Sheet1!$A:$G,7,FALSE)</f>
        <v>78</v>
      </c>
    </row>
    <row r="473" spans="1:22" s="13" customFormat="1" ht="30" customHeight="1">
      <c r="A473" s="17">
        <v>469</v>
      </c>
      <c r="B473" s="14">
        <v>40564</v>
      </c>
      <c r="C473" s="8" t="str">
        <f t="shared" si="21"/>
        <v>Friday</v>
      </c>
      <c r="D473" s="9">
        <v>1</v>
      </c>
      <c r="E473" s="9">
        <v>0</v>
      </c>
      <c r="F473" s="9">
        <v>1</v>
      </c>
      <c r="G473" s="7">
        <v>13</v>
      </c>
      <c r="H473" s="9" t="b">
        <v>0</v>
      </c>
      <c r="I473" s="9">
        <v>5</v>
      </c>
      <c r="J473" s="38" t="str">
        <f>CHOOSE(Table1[[#This Row],[Weekday]]+1,"Sunday","Monday","Tuesday","Wednesday","Thursday","Friday","Saturday")</f>
        <v>Friday</v>
      </c>
      <c r="K473" s="9">
        <v>1</v>
      </c>
      <c r="L473" s="38" t="str">
        <f>IF(Table1[[#This Row],[Weather_code]]=1,"Clear",IF(Table1[[#This Row],[Weather_code]]=2,"Cloudy",IF(Table1[[#This Row],[Weather_code]]=3,"Light Rain",IF(Table1[[#This Row],[Weather_code]]=4,"Heavy Rain"))))</f>
        <v>Clear</v>
      </c>
      <c r="M473" s="10">
        <v>0.2</v>
      </c>
      <c r="N473" s="11" t="str">
        <f t="shared" si="22"/>
        <v>Winter</v>
      </c>
      <c r="O473" s="11" t="str">
        <f t="shared" si="23"/>
        <v>Weekday</v>
      </c>
      <c r="P473" s="11">
        <f>VLOOKUP(A473,[1]Sheet1!$A:$H,2, FALSE)</f>
        <v>0.1515</v>
      </c>
      <c r="Q473" s="40">
        <f>Table1[[#This Row],[A_Temperature]]*41</f>
        <v>6.2115</v>
      </c>
      <c r="R473" s="11">
        <f>VLOOKUP(A473,[1]Sheet1!$A:$G,3,FALSE)</f>
        <v>0.21</v>
      </c>
      <c r="S473" s="11">
        <f>VLOOKUP(A473,[1]Sheet1!$A:$G,4,FALSE)</f>
        <v>0.58209999999999995</v>
      </c>
      <c r="T473" s="11">
        <f>VLOOKUP(A473,[1]Sheet1!$A:$G,5,FALSE)</f>
        <v>8</v>
      </c>
      <c r="U473" s="11">
        <f>VLOOKUP(A473,[1]Sheet1!$A:$G,6,FALSE)</f>
        <v>65</v>
      </c>
      <c r="V473" s="18">
        <f>VLOOKUP(A473,[1]Sheet1!$A:$G,7,FALSE)</f>
        <v>73</v>
      </c>
    </row>
    <row r="474" spans="1:22" s="13" customFormat="1" ht="30" customHeight="1">
      <c r="A474" s="17">
        <v>470</v>
      </c>
      <c r="B474" s="14">
        <v>40564</v>
      </c>
      <c r="C474" s="8" t="str">
        <f t="shared" si="21"/>
        <v>Friday</v>
      </c>
      <c r="D474" s="9">
        <v>1</v>
      </c>
      <c r="E474" s="9">
        <v>0</v>
      </c>
      <c r="F474" s="9">
        <v>1</v>
      </c>
      <c r="G474" s="7">
        <v>14</v>
      </c>
      <c r="H474" s="9" t="b">
        <v>0</v>
      </c>
      <c r="I474" s="9">
        <v>5</v>
      </c>
      <c r="J474" s="38" t="str">
        <f>CHOOSE(Table1[[#This Row],[Weekday]]+1,"Sunday","Monday","Tuesday","Wednesday","Thursday","Friday","Saturday")</f>
        <v>Friday</v>
      </c>
      <c r="K474" s="9">
        <v>1</v>
      </c>
      <c r="L474" s="38" t="str">
        <f>IF(Table1[[#This Row],[Weather_code]]=1,"Clear",IF(Table1[[#This Row],[Weather_code]]=2,"Cloudy",IF(Table1[[#This Row],[Weather_code]]=3,"Light Rain",IF(Table1[[#This Row],[Weather_code]]=4,"Heavy Rain"))))</f>
        <v>Clear</v>
      </c>
      <c r="M474" s="10">
        <v>0.2</v>
      </c>
      <c r="N474" s="11" t="str">
        <f t="shared" si="22"/>
        <v>Winter</v>
      </c>
      <c r="O474" s="11" t="str">
        <f t="shared" si="23"/>
        <v>Weekday</v>
      </c>
      <c r="P474" s="11">
        <f>VLOOKUP(A474,[1]Sheet1!$A:$H,2, FALSE)</f>
        <v>0.1515</v>
      </c>
      <c r="Q474" s="40">
        <f>Table1[[#This Row],[A_Temperature]]*41</f>
        <v>6.2115</v>
      </c>
      <c r="R474" s="11">
        <f>VLOOKUP(A474,[1]Sheet1!$A:$G,3,FALSE)</f>
        <v>0.25</v>
      </c>
      <c r="S474" s="11">
        <f>VLOOKUP(A474,[1]Sheet1!$A:$G,4,FALSE)</f>
        <v>0.52239999999999998</v>
      </c>
      <c r="T474" s="11">
        <f>VLOOKUP(A474,[1]Sheet1!$A:$G,5,FALSE)</f>
        <v>6</v>
      </c>
      <c r="U474" s="11">
        <f>VLOOKUP(A474,[1]Sheet1!$A:$G,6,FALSE)</f>
        <v>56</v>
      </c>
      <c r="V474" s="18">
        <f>VLOOKUP(A474,[1]Sheet1!$A:$G,7,FALSE)</f>
        <v>62</v>
      </c>
    </row>
    <row r="475" spans="1:22" s="13" customFormat="1" ht="30" customHeight="1">
      <c r="A475" s="17">
        <v>471</v>
      </c>
      <c r="B475" s="14">
        <v>40564</v>
      </c>
      <c r="C475" s="8" t="str">
        <f t="shared" si="21"/>
        <v>Friday</v>
      </c>
      <c r="D475" s="9">
        <v>1</v>
      </c>
      <c r="E475" s="9">
        <v>0</v>
      </c>
      <c r="F475" s="9">
        <v>1</v>
      </c>
      <c r="G475" s="7">
        <v>15</v>
      </c>
      <c r="H475" s="9" t="b">
        <v>0</v>
      </c>
      <c r="I475" s="9">
        <v>5</v>
      </c>
      <c r="J475" s="38" t="str">
        <f>CHOOSE(Table1[[#This Row],[Weekday]]+1,"Sunday","Monday","Tuesday","Wednesday","Thursday","Friday","Saturday")</f>
        <v>Friday</v>
      </c>
      <c r="K475" s="9">
        <v>1</v>
      </c>
      <c r="L475" s="38" t="str">
        <f>IF(Table1[[#This Row],[Weather_code]]=1,"Clear",IF(Table1[[#This Row],[Weather_code]]=2,"Cloudy",IF(Table1[[#This Row],[Weather_code]]=3,"Light Rain",IF(Table1[[#This Row],[Weather_code]]=4,"Heavy Rain"))))</f>
        <v>Clear</v>
      </c>
      <c r="M475" s="10">
        <v>0.16</v>
      </c>
      <c r="N475" s="11" t="str">
        <f t="shared" si="22"/>
        <v>Winter</v>
      </c>
      <c r="O475" s="11" t="str">
        <f t="shared" si="23"/>
        <v>Weekday</v>
      </c>
      <c r="P475" s="11">
        <f>VLOOKUP(A475,[1]Sheet1!$A:$H,2, FALSE)</f>
        <v>0.1212</v>
      </c>
      <c r="Q475" s="40">
        <f>Table1[[#This Row],[A_Temperature]]*41</f>
        <v>4.9691999999999998</v>
      </c>
      <c r="R475" s="11">
        <f>VLOOKUP(A475,[1]Sheet1!$A:$G,3,FALSE)</f>
        <v>0.26</v>
      </c>
      <c r="S475" s="11">
        <f>VLOOKUP(A475,[1]Sheet1!$A:$G,4,FALSE)</f>
        <v>0.44779999999999998</v>
      </c>
      <c r="T475" s="11">
        <f>VLOOKUP(A475,[1]Sheet1!$A:$G,5,FALSE)</f>
        <v>4</v>
      </c>
      <c r="U475" s="11">
        <f>VLOOKUP(A475,[1]Sheet1!$A:$G,6,FALSE)</f>
        <v>61</v>
      </c>
      <c r="V475" s="18">
        <f>VLOOKUP(A475,[1]Sheet1!$A:$G,7,FALSE)</f>
        <v>65</v>
      </c>
    </row>
    <row r="476" spans="1:22" s="13" customFormat="1" ht="30" customHeight="1">
      <c r="A476" s="17">
        <v>472</v>
      </c>
      <c r="B476" s="14">
        <v>40564</v>
      </c>
      <c r="C476" s="8" t="str">
        <f t="shared" si="21"/>
        <v>Friday</v>
      </c>
      <c r="D476" s="9">
        <v>1</v>
      </c>
      <c r="E476" s="9">
        <v>0</v>
      </c>
      <c r="F476" s="9">
        <v>1</v>
      </c>
      <c r="G476" s="7">
        <v>16</v>
      </c>
      <c r="H476" s="9" t="b">
        <v>0</v>
      </c>
      <c r="I476" s="9">
        <v>5</v>
      </c>
      <c r="J476" s="38" t="str">
        <f>CHOOSE(Table1[[#This Row],[Weekday]]+1,"Sunday","Monday","Tuesday","Wednesday","Thursday","Friday","Saturday")</f>
        <v>Friday</v>
      </c>
      <c r="K476" s="9">
        <v>1</v>
      </c>
      <c r="L476" s="38" t="str">
        <f>IF(Table1[[#This Row],[Weather_code]]=1,"Clear",IF(Table1[[#This Row],[Weather_code]]=2,"Cloudy",IF(Table1[[#This Row],[Weather_code]]=3,"Light Rain",IF(Table1[[#This Row],[Weather_code]]=4,"Heavy Rain"))))</f>
        <v>Clear</v>
      </c>
      <c r="M476" s="10">
        <v>0.16</v>
      </c>
      <c r="N476" s="11" t="str">
        <f t="shared" si="22"/>
        <v>Winter</v>
      </c>
      <c r="O476" s="11" t="str">
        <f t="shared" si="23"/>
        <v>Weekday</v>
      </c>
      <c r="P476" s="11">
        <f>VLOOKUP(A476,[1]Sheet1!$A:$H,2, FALSE)</f>
        <v>0.13639999999999999</v>
      </c>
      <c r="Q476" s="40">
        <f>Table1[[#This Row],[A_Temperature]]*41</f>
        <v>5.5923999999999996</v>
      </c>
      <c r="R476" s="11">
        <f>VLOOKUP(A476,[1]Sheet1!$A:$G,3,FALSE)</f>
        <v>0.26</v>
      </c>
      <c r="S476" s="11">
        <f>VLOOKUP(A476,[1]Sheet1!$A:$G,4,FALSE)</f>
        <v>0.35820000000000002</v>
      </c>
      <c r="T476" s="11">
        <f>VLOOKUP(A476,[1]Sheet1!$A:$G,5,FALSE)</f>
        <v>0</v>
      </c>
      <c r="U476" s="11">
        <f>VLOOKUP(A476,[1]Sheet1!$A:$G,6,FALSE)</f>
        <v>97</v>
      </c>
      <c r="V476" s="18">
        <f>VLOOKUP(A476,[1]Sheet1!$A:$G,7,FALSE)</f>
        <v>97</v>
      </c>
    </row>
    <row r="477" spans="1:22" s="13" customFormat="1" ht="30" customHeight="1">
      <c r="A477" s="17">
        <v>473</v>
      </c>
      <c r="B477" s="14">
        <v>40564</v>
      </c>
      <c r="C477" s="8" t="str">
        <f t="shared" ref="C477:C540" si="24">TEXT(B477,"DDDD")</f>
        <v>Friday</v>
      </c>
      <c r="D477" s="9">
        <v>1</v>
      </c>
      <c r="E477" s="9">
        <v>0</v>
      </c>
      <c r="F477" s="9">
        <v>1</v>
      </c>
      <c r="G477" s="7">
        <v>17</v>
      </c>
      <c r="H477" s="9" t="b">
        <v>0</v>
      </c>
      <c r="I477" s="9">
        <v>5</v>
      </c>
      <c r="J477" s="38" t="str">
        <f>CHOOSE(Table1[[#This Row],[Weekday]]+1,"Sunday","Monday","Tuesday","Wednesday","Thursday","Friday","Saturday")</f>
        <v>Friday</v>
      </c>
      <c r="K477" s="9">
        <v>1</v>
      </c>
      <c r="L477" s="38" t="str">
        <f>IF(Table1[[#This Row],[Weather_code]]=1,"Clear",IF(Table1[[#This Row],[Weather_code]]=2,"Cloudy",IF(Table1[[#This Row],[Weather_code]]=3,"Light Rain",IF(Table1[[#This Row],[Weather_code]]=4,"Heavy Rain"))))</f>
        <v>Clear</v>
      </c>
      <c r="M477" s="10">
        <v>0.14000000000000001</v>
      </c>
      <c r="N477" s="11" t="str">
        <f t="shared" si="22"/>
        <v>Winter</v>
      </c>
      <c r="O477" s="11" t="str">
        <f t="shared" si="23"/>
        <v>Weekday</v>
      </c>
      <c r="P477" s="11">
        <f>VLOOKUP(A477,[1]Sheet1!$A:$H,2, FALSE)</f>
        <v>0.1212</v>
      </c>
      <c r="Q477" s="40">
        <f>Table1[[#This Row],[A_Temperature]]*41</f>
        <v>4.9691999999999998</v>
      </c>
      <c r="R477" s="11">
        <f>VLOOKUP(A477,[1]Sheet1!$A:$G,3,FALSE)</f>
        <v>0.28000000000000003</v>
      </c>
      <c r="S477" s="11">
        <f>VLOOKUP(A477,[1]Sheet1!$A:$G,4,FALSE)</f>
        <v>0.35820000000000002</v>
      </c>
      <c r="T477" s="11">
        <f>VLOOKUP(A477,[1]Sheet1!$A:$G,5,FALSE)</f>
        <v>10</v>
      </c>
      <c r="U477" s="11">
        <f>VLOOKUP(A477,[1]Sheet1!$A:$G,6,FALSE)</f>
        <v>151</v>
      </c>
      <c r="V477" s="18">
        <f>VLOOKUP(A477,[1]Sheet1!$A:$G,7,FALSE)</f>
        <v>161</v>
      </c>
    </row>
    <row r="478" spans="1:22" s="13" customFormat="1" ht="30" customHeight="1">
      <c r="A478" s="17">
        <v>474</v>
      </c>
      <c r="B478" s="14">
        <v>40564</v>
      </c>
      <c r="C478" s="8" t="str">
        <f t="shared" si="24"/>
        <v>Friday</v>
      </c>
      <c r="D478" s="9">
        <v>1</v>
      </c>
      <c r="E478" s="9">
        <v>0</v>
      </c>
      <c r="F478" s="9">
        <v>1</v>
      </c>
      <c r="G478" s="7">
        <v>18</v>
      </c>
      <c r="H478" s="9" t="b">
        <v>0</v>
      </c>
      <c r="I478" s="9">
        <v>5</v>
      </c>
      <c r="J478" s="38" t="str">
        <f>CHOOSE(Table1[[#This Row],[Weekday]]+1,"Sunday","Monday","Tuesday","Wednesday","Thursday","Friday","Saturday")</f>
        <v>Friday</v>
      </c>
      <c r="K478" s="9">
        <v>1</v>
      </c>
      <c r="L478" s="38" t="str">
        <f>IF(Table1[[#This Row],[Weather_code]]=1,"Clear",IF(Table1[[#This Row],[Weather_code]]=2,"Cloudy",IF(Table1[[#This Row],[Weather_code]]=3,"Light Rain",IF(Table1[[#This Row],[Weather_code]]=4,"Heavy Rain"))))</f>
        <v>Clear</v>
      </c>
      <c r="M478" s="10">
        <v>0.12</v>
      </c>
      <c r="N478" s="11" t="str">
        <f t="shared" si="22"/>
        <v>Winter</v>
      </c>
      <c r="O478" s="11" t="str">
        <f t="shared" si="23"/>
        <v>Weekday</v>
      </c>
      <c r="P478" s="11">
        <f>VLOOKUP(A478,[1]Sheet1!$A:$H,2, FALSE)</f>
        <v>0.1212</v>
      </c>
      <c r="Q478" s="40">
        <f>Table1[[#This Row],[A_Temperature]]*41</f>
        <v>4.9691999999999998</v>
      </c>
      <c r="R478" s="11">
        <f>VLOOKUP(A478,[1]Sheet1!$A:$G,3,FALSE)</f>
        <v>0.3</v>
      </c>
      <c r="S478" s="11">
        <f>VLOOKUP(A478,[1]Sheet1!$A:$G,4,FALSE)</f>
        <v>0.25369999999999998</v>
      </c>
      <c r="T478" s="11">
        <f>VLOOKUP(A478,[1]Sheet1!$A:$G,5,FALSE)</f>
        <v>1</v>
      </c>
      <c r="U478" s="11">
        <f>VLOOKUP(A478,[1]Sheet1!$A:$G,6,FALSE)</f>
        <v>119</v>
      </c>
      <c r="V478" s="18">
        <f>VLOOKUP(A478,[1]Sheet1!$A:$G,7,FALSE)</f>
        <v>120</v>
      </c>
    </row>
    <row r="479" spans="1:22" s="13" customFormat="1" ht="30" customHeight="1">
      <c r="A479" s="17">
        <v>475</v>
      </c>
      <c r="B479" s="14">
        <v>40564</v>
      </c>
      <c r="C479" s="8" t="str">
        <f t="shared" si="24"/>
        <v>Friday</v>
      </c>
      <c r="D479" s="9">
        <v>1</v>
      </c>
      <c r="E479" s="9">
        <v>0</v>
      </c>
      <c r="F479" s="9">
        <v>1</v>
      </c>
      <c r="G479" s="7">
        <v>19</v>
      </c>
      <c r="H479" s="9" t="b">
        <v>0</v>
      </c>
      <c r="I479" s="9">
        <v>5</v>
      </c>
      <c r="J479" s="38" t="str">
        <f>CHOOSE(Table1[[#This Row],[Weekday]]+1,"Sunday","Monday","Tuesday","Wednesday","Thursday","Friday","Saturday")</f>
        <v>Friday</v>
      </c>
      <c r="K479" s="9">
        <v>1</v>
      </c>
      <c r="L479" s="38" t="str">
        <f>IF(Table1[[#This Row],[Weather_code]]=1,"Clear",IF(Table1[[#This Row],[Weather_code]]=2,"Cloudy",IF(Table1[[#This Row],[Weather_code]]=3,"Light Rain",IF(Table1[[#This Row],[Weather_code]]=4,"Heavy Rain"))))</f>
        <v>Clear</v>
      </c>
      <c r="M479" s="10">
        <v>0.12</v>
      </c>
      <c r="N479" s="11" t="str">
        <f t="shared" si="22"/>
        <v>Winter</v>
      </c>
      <c r="O479" s="11" t="str">
        <f t="shared" si="23"/>
        <v>Weekday</v>
      </c>
      <c r="P479" s="11">
        <f>VLOOKUP(A479,[1]Sheet1!$A:$H,2, FALSE)</f>
        <v>0.1061</v>
      </c>
      <c r="Q479" s="40">
        <f>Table1[[#This Row],[A_Temperature]]*41</f>
        <v>4.3501000000000003</v>
      </c>
      <c r="R479" s="11">
        <f>VLOOKUP(A479,[1]Sheet1!$A:$G,3,FALSE)</f>
        <v>0.3</v>
      </c>
      <c r="S479" s="11">
        <f>VLOOKUP(A479,[1]Sheet1!$A:$G,4,FALSE)</f>
        <v>0.32840000000000003</v>
      </c>
      <c r="T479" s="11">
        <f>VLOOKUP(A479,[1]Sheet1!$A:$G,5,FALSE)</f>
        <v>3</v>
      </c>
      <c r="U479" s="11">
        <f>VLOOKUP(A479,[1]Sheet1!$A:$G,6,FALSE)</f>
        <v>93</v>
      </c>
      <c r="V479" s="18">
        <f>VLOOKUP(A479,[1]Sheet1!$A:$G,7,FALSE)</f>
        <v>96</v>
      </c>
    </row>
    <row r="480" spans="1:22" s="13" customFormat="1" ht="30" customHeight="1">
      <c r="A480" s="17">
        <v>476</v>
      </c>
      <c r="B480" s="14">
        <v>40564</v>
      </c>
      <c r="C480" s="8" t="str">
        <f t="shared" si="24"/>
        <v>Friday</v>
      </c>
      <c r="D480" s="9">
        <v>1</v>
      </c>
      <c r="E480" s="9">
        <v>0</v>
      </c>
      <c r="F480" s="9">
        <v>1</v>
      </c>
      <c r="G480" s="7">
        <v>20</v>
      </c>
      <c r="H480" s="9" t="b">
        <v>0</v>
      </c>
      <c r="I480" s="9">
        <v>5</v>
      </c>
      <c r="J480" s="38" t="str">
        <f>CHOOSE(Table1[[#This Row],[Weekday]]+1,"Sunday","Monday","Tuesday","Wednesday","Thursday","Friday","Saturday")</f>
        <v>Friday</v>
      </c>
      <c r="K480" s="9">
        <v>1</v>
      </c>
      <c r="L480" s="38" t="str">
        <f>IF(Table1[[#This Row],[Weather_code]]=1,"Clear",IF(Table1[[#This Row],[Weather_code]]=2,"Cloudy",IF(Table1[[#This Row],[Weather_code]]=3,"Light Rain",IF(Table1[[#This Row],[Weather_code]]=4,"Heavy Rain"))))</f>
        <v>Clear</v>
      </c>
      <c r="M480" s="10">
        <v>0.1</v>
      </c>
      <c r="N480" s="11" t="str">
        <f t="shared" si="22"/>
        <v>Winter</v>
      </c>
      <c r="O480" s="11" t="str">
        <f t="shared" si="23"/>
        <v>Weekday</v>
      </c>
      <c r="P480" s="11">
        <f>VLOOKUP(A480,[1]Sheet1!$A:$H,2, FALSE)</f>
        <v>7.5800000000000006E-2</v>
      </c>
      <c r="Q480" s="40">
        <f>Table1[[#This Row],[A_Temperature]]*41</f>
        <v>3.1078000000000001</v>
      </c>
      <c r="R480" s="11">
        <f>VLOOKUP(A480,[1]Sheet1!$A:$G,3,FALSE)</f>
        <v>0.33</v>
      </c>
      <c r="S480" s="11">
        <f>VLOOKUP(A480,[1]Sheet1!$A:$G,4,FALSE)</f>
        <v>0.41789999999999999</v>
      </c>
      <c r="T480" s="11">
        <f>VLOOKUP(A480,[1]Sheet1!$A:$G,5,FALSE)</f>
        <v>1</v>
      </c>
      <c r="U480" s="11">
        <f>VLOOKUP(A480,[1]Sheet1!$A:$G,6,FALSE)</f>
        <v>52</v>
      </c>
      <c r="V480" s="18">
        <f>VLOOKUP(A480,[1]Sheet1!$A:$G,7,FALSE)</f>
        <v>53</v>
      </c>
    </row>
    <row r="481" spans="1:22" s="13" customFormat="1" ht="30" customHeight="1">
      <c r="A481" s="17">
        <v>477</v>
      </c>
      <c r="B481" s="14">
        <v>40564</v>
      </c>
      <c r="C481" s="8" t="str">
        <f t="shared" si="24"/>
        <v>Friday</v>
      </c>
      <c r="D481" s="9">
        <v>1</v>
      </c>
      <c r="E481" s="9">
        <v>0</v>
      </c>
      <c r="F481" s="9">
        <v>1</v>
      </c>
      <c r="G481" s="7">
        <v>21</v>
      </c>
      <c r="H481" s="9" t="b">
        <v>0</v>
      </c>
      <c r="I481" s="9">
        <v>5</v>
      </c>
      <c r="J481" s="38" t="str">
        <f>CHOOSE(Table1[[#This Row],[Weekday]]+1,"Sunday","Monday","Tuesday","Wednesday","Thursday","Friday","Saturday")</f>
        <v>Friday</v>
      </c>
      <c r="K481" s="9">
        <v>1</v>
      </c>
      <c r="L481" s="38" t="str">
        <f>IF(Table1[[#This Row],[Weather_code]]=1,"Clear",IF(Table1[[#This Row],[Weather_code]]=2,"Cloudy",IF(Table1[[#This Row],[Weather_code]]=3,"Light Rain",IF(Table1[[#This Row],[Weather_code]]=4,"Heavy Rain"))))</f>
        <v>Clear</v>
      </c>
      <c r="M481" s="10">
        <v>0.08</v>
      </c>
      <c r="N481" s="11" t="str">
        <f t="shared" si="22"/>
        <v>Winter</v>
      </c>
      <c r="O481" s="11" t="str">
        <f t="shared" si="23"/>
        <v>Weekday</v>
      </c>
      <c r="P481" s="11">
        <f>VLOOKUP(A481,[1]Sheet1!$A:$H,2, FALSE)</f>
        <v>7.5800000000000006E-2</v>
      </c>
      <c r="Q481" s="40">
        <f>Table1[[#This Row],[A_Temperature]]*41</f>
        <v>3.1078000000000001</v>
      </c>
      <c r="R481" s="11">
        <f>VLOOKUP(A481,[1]Sheet1!$A:$G,3,FALSE)</f>
        <v>0.38</v>
      </c>
      <c r="S481" s="11">
        <f>VLOOKUP(A481,[1]Sheet1!$A:$G,4,FALSE)</f>
        <v>0.28360000000000002</v>
      </c>
      <c r="T481" s="11">
        <f>VLOOKUP(A481,[1]Sheet1!$A:$G,5,FALSE)</f>
        <v>0</v>
      </c>
      <c r="U481" s="11">
        <f>VLOOKUP(A481,[1]Sheet1!$A:$G,6,FALSE)</f>
        <v>41</v>
      </c>
      <c r="V481" s="18">
        <f>VLOOKUP(A481,[1]Sheet1!$A:$G,7,FALSE)</f>
        <v>41</v>
      </c>
    </row>
    <row r="482" spans="1:22" s="13" customFormat="1" ht="30" customHeight="1">
      <c r="A482" s="17">
        <v>478</v>
      </c>
      <c r="B482" s="14">
        <v>40564</v>
      </c>
      <c r="C482" s="8" t="str">
        <f t="shared" si="24"/>
        <v>Friday</v>
      </c>
      <c r="D482" s="9">
        <v>1</v>
      </c>
      <c r="E482" s="9">
        <v>0</v>
      </c>
      <c r="F482" s="9">
        <v>1</v>
      </c>
      <c r="G482" s="7">
        <v>22</v>
      </c>
      <c r="H482" s="9" t="b">
        <v>0</v>
      </c>
      <c r="I482" s="9">
        <v>5</v>
      </c>
      <c r="J482" s="38" t="str">
        <f>CHOOSE(Table1[[#This Row],[Weekday]]+1,"Sunday","Monday","Tuesday","Wednesday","Thursday","Friday","Saturday")</f>
        <v>Friday</v>
      </c>
      <c r="K482" s="9">
        <v>1</v>
      </c>
      <c r="L482" s="38" t="str">
        <f>IF(Table1[[#This Row],[Weather_code]]=1,"Clear",IF(Table1[[#This Row],[Weather_code]]=2,"Cloudy",IF(Table1[[#This Row],[Weather_code]]=3,"Light Rain",IF(Table1[[#This Row],[Weather_code]]=4,"Heavy Rain"))))</f>
        <v>Clear</v>
      </c>
      <c r="M482" s="10">
        <v>0.06</v>
      </c>
      <c r="N482" s="11" t="str">
        <f t="shared" si="22"/>
        <v>Winter</v>
      </c>
      <c r="O482" s="11" t="str">
        <f t="shared" si="23"/>
        <v>Weekday</v>
      </c>
      <c r="P482" s="11">
        <f>VLOOKUP(A482,[1]Sheet1!$A:$H,2, FALSE)</f>
        <v>3.0300000000000001E-2</v>
      </c>
      <c r="Q482" s="40">
        <f>Table1[[#This Row],[A_Temperature]]*41</f>
        <v>1.2423</v>
      </c>
      <c r="R482" s="11">
        <f>VLOOKUP(A482,[1]Sheet1!$A:$G,3,FALSE)</f>
        <v>0.41</v>
      </c>
      <c r="S482" s="11">
        <f>VLOOKUP(A482,[1]Sheet1!$A:$G,4,FALSE)</f>
        <v>0.3881</v>
      </c>
      <c r="T482" s="11">
        <f>VLOOKUP(A482,[1]Sheet1!$A:$G,5,FALSE)</f>
        <v>1</v>
      </c>
      <c r="U482" s="11">
        <f>VLOOKUP(A482,[1]Sheet1!$A:$G,6,FALSE)</f>
        <v>33</v>
      </c>
      <c r="V482" s="18">
        <f>VLOOKUP(A482,[1]Sheet1!$A:$G,7,FALSE)</f>
        <v>34</v>
      </c>
    </row>
    <row r="483" spans="1:22" s="13" customFormat="1" ht="30" customHeight="1">
      <c r="A483" s="17">
        <v>479</v>
      </c>
      <c r="B483" s="14">
        <v>40564</v>
      </c>
      <c r="C483" s="8" t="str">
        <f t="shared" si="24"/>
        <v>Friday</v>
      </c>
      <c r="D483" s="9">
        <v>1</v>
      </c>
      <c r="E483" s="9">
        <v>0</v>
      </c>
      <c r="F483" s="9">
        <v>1</v>
      </c>
      <c r="G483" s="7">
        <v>23</v>
      </c>
      <c r="H483" s="9" t="b">
        <v>0</v>
      </c>
      <c r="I483" s="9">
        <v>5</v>
      </c>
      <c r="J483" s="38" t="str">
        <f>CHOOSE(Table1[[#This Row],[Weekday]]+1,"Sunday","Monday","Tuesday","Wednesday","Thursday","Friday","Saturday")</f>
        <v>Friday</v>
      </c>
      <c r="K483" s="9">
        <v>1</v>
      </c>
      <c r="L483" s="38" t="str">
        <f>IF(Table1[[#This Row],[Weather_code]]=1,"Clear",IF(Table1[[#This Row],[Weather_code]]=2,"Cloudy",IF(Table1[[#This Row],[Weather_code]]=3,"Light Rain",IF(Table1[[#This Row],[Weather_code]]=4,"Heavy Rain"))))</f>
        <v>Clear</v>
      </c>
      <c r="M483" s="10">
        <v>0.06</v>
      </c>
      <c r="N483" s="11" t="str">
        <f t="shared" si="22"/>
        <v>Winter</v>
      </c>
      <c r="O483" s="11" t="str">
        <f t="shared" si="23"/>
        <v>Weekday</v>
      </c>
      <c r="P483" s="11">
        <f>VLOOKUP(A483,[1]Sheet1!$A:$H,2, FALSE)</f>
        <v>4.5499999999999999E-2</v>
      </c>
      <c r="Q483" s="40">
        <f>Table1[[#This Row],[A_Temperature]]*41</f>
        <v>1.8654999999999999</v>
      </c>
      <c r="R483" s="11">
        <f>VLOOKUP(A483,[1]Sheet1!$A:$G,3,FALSE)</f>
        <v>0.38</v>
      </c>
      <c r="S483" s="11">
        <f>VLOOKUP(A483,[1]Sheet1!$A:$G,4,FALSE)</f>
        <v>0.32840000000000003</v>
      </c>
      <c r="T483" s="11">
        <f>VLOOKUP(A483,[1]Sheet1!$A:$G,5,FALSE)</f>
        <v>0</v>
      </c>
      <c r="U483" s="11">
        <f>VLOOKUP(A483,[1]Sheet1!$A:$G,6,FALSE)</f>
        <v>27</v>
      </c>
      <c r="V483" s="18">
        <f>VLOOKUP(A483,[1]Sheet1!$A:$G,7,FALSE)</f>
        <v>27</v>
      </c>
    </row>
    <row r="484" spans="1:22" s="13" customFormat="1" ht="30" customHeight="1">
      <c r="A484" s="17">
        <v>480</v>
      </c>
      <c r="B484" s="14">
        <v>40565</v>
      </c>
      <c r="C484" s="8" t="str">
        <f t="shared" si="24"/>
        <v>Saturday</v>
      </c>
      <c r="D484" s="9">
        <v>1</v>
      </c>
      <c r="E484" s="9">
        <v>0</v>
      </c>
      <c r="F484" s="9">
        <v>1</v>
      </c>
      <c r="G484" s="7">
        <v>0</v>
      </c>
      <c r="H484" s="9" t="b">
        <v>0</v>
      </c>
      <c r="I484" s="9">
        <v>6</v>
      </c>
      <c r="J484" s="38" t="str">
        <f>CHOOSE(Table1[[#This Row],[Weekday]]+1,"Sunday","Monday","Tuesday","Wednesday","Thursday","Friday","Saturday")</f>
        <v>Saturday</v>
      </c>
      <c r="K484" s="9">
        <v>1</v>
      </c>
      <c r="L484" s="38" t="str">
        <f>IF(Table1[[#This Row],[Weather_code]]=1,"Clear",IF(Table1[[#This Row],[Weather_code]]=2,"Cloudy",IF(Table1[[#This Row],[Weather_code]]=3,"Light Rain",IF(Table1[[#This Row],[Weather_code]]=4,"Heavy Rain"))))</f>
        <v>Clear</v>
      </c>
      <c r="M484" s="10">
        <v>0.04</v>
      </c>
      <c r="N484" s="11" t="str">
        <f t="shared" si="22"/>
        <v>Winter</v>
      </c>
      <c r="O484" s="11" t="str">
        <f t="shared" si="23"/>
        <v>Weekend</v>
      </c>
      <c r="P484" s="11">
        <f>VLOOKUP(A484,[1]Sheet1!$A:$H,2, FALSE)</f>
        <v>3.0300000000000001E-2</v>
      </c>
      <c r="Q484" s="40">
        <f>Table1[[#This Row],[A_Temperature]]*41</f>
        <v>1.2423</v>
      </c>
      <c r="R484" s="11">
        <f>VLOOKUP(A484,[1]Sheet1!$A:$G,3,FALSE)</f>
        <v>0.45</v>
      </c>
      <c r="S484" s="11">
        <f>VLOOKUP(A484,[1]Sheet1!$A:$G,4,FALSE)</f>
        <v>0.25369999999999998</v>
      </c>
      <c r="T484" s="11">
        <f>VLOOKUP(A484,[1]Sheet1!$A:$G,5,FALSE)</f>
        <v>0</v>
      </c>
      <c r="U484" s="11">
        <f>VLOOKUP(A484,[1]Sheet1!$A:$G,6,FALSE)</f>
        <v>13</v>
      </c>
      <c r="V484" s="18">
        <f>VLOOKUP(A484,[1]Sheet1!$A:$G,7,FALSE)</f>
        <v>13</v>
      </c>
    </row>
    <row r="485" spans="1:22" s="13" customFormat="1" ht="30" customHeight="1">
      <c r="A485" s="17">
        <v>481</v>
      </c>
      <c r="B485" s="14">
        <v>40565</v>
      </c>
      <c r="C485" s="8" t="str">
        <f t="shared" si="24"/>
        <v>Saturday</v>
      </c>
      <c r="D485" s="9">
        <v>1</v>
      </c>
      <c r="E485" s="9">
        <v>0</v>
      </c>
      <c r="F485" s="9">
        <v>1</v>
      </c>
      <c r="G485" s="7">
        <v>1</v>
      </c>
      <c r="H485" s="9" t="b">
        <v>0</v>
      </c>
      <c r="I485" s="9">
        <v>6</v>
      </c>
      <c r="J485" s="38" t="str">
        <f>CHOOSE(Table1[[#This Row],[Weekday]]+1,"Sunday","Monday","Tuesday","Wednesday","Thursday","Friday","Saturday")</f>
        <v>Saturday</v>
      </c>
      <c r="K485" s="9">
        <v>2</v>
      </c>
      <c r="L485" s="38" t="str">
        <f>IF(Table1[[#This Row],[Weather_code]]=1,"Clear",IF(Table1[[#This Row],[Weather_code]]=2,"Cloudy",IF(Table1[[#This Row],[Weather_code]]=3,"Light Rain",IF(Table1[[#This Row],[Weather_code]]=4,"Heavy Rain"))))</f>
        <v>Cloudy</v>
      </c>
      <c r="M485" s="10">
        <v>0.04</v>
      </c>
      <c r="N485" s="11" t="str">
        <f t="shared" si="22"/>
        <v>Winter</v>
      </c>
      <c r="O485" s="11" t="str">
        <f t="shared" si="23"/>
        <v>Weekend</v>
      </c>
      <c r="P485" s="11">
        <f>VLOOKUP(A485,[1]Sheet1!$A:$H,2, FALSE)</f>
        <v>0.19989999999999999</v>
      </c>
      <c r="Q485" s="40">
        <f>Table1[[#This Row],[A_Temperature]]*41</f>
        <v>8.1959</v>
      </c>
      <c r="R485" s="11">
        <f>VLOOKUP(A485,[1]Sheet1!$A:$G,3,FALSE)</f>
        <v>0.41</v>
      </c>
      <c r="S485" s="11">
        <f>VLOOKUP(A485,[1]Sheet1!$A:$G,4,FALSE)</f>
        <v>0.3881</v>
      </c>
      <c r="T485" s="11">
        <f>VLOOKUP(A485,[1]Sheet1!$A:$G,5,FALSE)</f>
        <v>3</v>
      </c>
      <c r="U485" s="11">
        <f>VLOOKUP(A485,[1]Sheet1!$A:$G,6,FALSE)</f>
        <v>9</v>
      </c>
      <c r="V485" s="18">
        <f>VLOOKUP(A485,[1]Sheet1!$A:$G,7,FALSE)</f>
        <v>12</v>
      </c>
    </row>
    <row r="486" spans="1:22" s="13" customFormat="1" ht="30" customHeight="1">
      <c r="A486" s="17">
        <v>482</v>
      </c>
      <c r="B486" s="14">
        <v>40565</v>
      </c>
      <c r="C486" s="8" t="str">
        <f t="shared" si="24"/>
        <v>Saturday</v>
      </c>
      <c r="D486" s="9">
        <v>1</v>
      </c>
      <c r="E486" s="9">
        <v>0</v>
      </c>
      <c r="F486" s="9">
        <v>1</v>
      </c>
      <c r="G486" s="7">
        <v>2</v>
      </c>
      <c r="H486" s="9" t="b">
        <v>0</v>
      </c>
      <c r="I486" s="9">
        <v>6</v>
      </c>
      <c r="J486" s="38" t="str">
        <f>CHOOSE(Table1[[#This Row],[Weekday]]+1,"Sunday","Monday","Tuesday","Wednesday","Thursday","Friday","Saturday")</f>
        <v>Saturday</v>
      </c>
      <c r="K486" s="9">
        <v>2</v>
      </c>
      <c r="L486" s="38" t="str">
        <f>IF(Table1[[#This Row],[Weather_code]]=1,"Clear",IF(Table1[[#This Row],[Weather_code]]=2,"Cloudy",IF(Table1[[#This Row],[Weather_code]]=3,"Light Rain",IF(Table1[[#This Row],[Weather_code]]=4,"Heavy Rain"))))</f>
        <v>Cloudy</v>
      </c>
      <c r="M486" s="10">
        <v>0.04</v>
      </c>
      <c r="N486" s="11" t="str">
        <f t="shared" si="22"/>
        <v>Winter</v>
      </c>
      <c r="O486" s="11" t="str">
        <f t="shared" si="23"/>
        <v>Weekend</v>
      </c>
      <c r="P486" s="11">
        <f>VLOOKUP(A486,[1]Sheet1!$A:$H,2, FALSE)</f>
        <v>3.0300000000000001E-2</v>
      </c>
      <c r="Q486" s="40">
        <f>Table1[[#This Row],[A_Temperature]]*41</f>
        <v>1.2423</v>
      </c>
      <c r="R486" s="11">
        <f>VLOOKUP(A486,[1]Sheet1!$A:$G,3,FALSE)</f>
        <v>0.41</v>
      </c>
      <c r="S486" s="11">
        <f>VLOOKUP(A486,[1]Sheet1!$A:$G,4,FALSE)</f>
        <v>0.25369999999999998</v>
      </c>
      <c r="T486" s="11">
        <f>VLOOKUP(A486,[1]Sheet1!$A:$G,5,FALSE)</f>
        <v>0</v>
      </c>
      <c r="U486" s="11">
        <f>VLOOKUP(A486,[1]Sheet1!$A:$G,6,FALSE)</f>
        <v>11</v>
      </c>
      <c r="V486" s="18">
        <f>VLOOKUP(A486,[1]Sheet1!$A:$G,7,FALSE)</f>
        <v>11</v>
      </c>
    </row>
    <row r="487" spans="1:22" s="13" customFormat="1" ht="30" customHeight="1">
      <c r="A487" s="17">
        <v>483</v>
      </c>
      <c r="B487" s="14">
        <v>40565</v>
      </c>
      <c r="C487" s="8" t="str">
        <f t="shared" si="24"/>
        <v>Saturday</v>
      </c>
      <c r="D487" s="9">
        <v>1</v>
      </c>
      <c r="E487" s="9">
        <v>0</v>
      </c>
      <c r="F487" s="9">
        <v>1</v>
      </c>
      <c r="G487" s="7">
        <v>3</v>
      </c>
      <c r="H487" s="9" t="b">
        <v>0</v>
      </c>
      <c r="I487" s="9">
        <v>6</v>
      </c>
      <c r="J487" s="38" t="str">
        <f>CHOOSE(Table1[[#This Row],[Weekday]]+1,"Sunday","Monday","Tuesday","Wednesday","Thursday","Friday","Saturday")</f>
        <v>Saturday</v>
      </c>
      <c r="K487" s="9">
        <v>2</v>
      </c>
      <c r="L487" s="38" t="str">
        <f>IF(Table1[[#This Row],[Weather_code]]=1,"Clear",IF(Table1[[#This Row],[Weather_code]]=2,"Cloudy",IF(Table1[[#This Row],[Weather_code]]=3,"Light Rain",IF(Table1[[#This Row],[Weather_code]]=4,"Heavy Rain"))))</f>
        <v>Cloudy</v>
      </c>
      <c r="M487" s="10">
        <v>0.04</v>
      </c>
      <c r="N487" s="11" t="str">
        <f t="shared" si="22"/>
        <v>Winter</v>
      </c>
      <c r="O487" s="11" t="str">
        <f t="shared" si="23"/>
        <v>Weekend</v>
      </c>
      <c r="P487" s="11">
        <f>VLOOKUP(A487,[1]Sheet1!$A:$H,2, FALSE)</f>
        <v>3.0300000000000001E-2</v>
      </c>
      <c r="Q487" s="40">
        <f>Table1[[#This Row],[A_Temperature]]*41</f>
        <v>1.2423</v>
      </c>
      <c r="R487" s="11">
        <f>VLOOKUP(A487,[1]Sheet1!$A:$G,3,FALSE)</f>
        <v>0.41</v>
      </c>
      <c r="S487" s="11">
        <f>VLOOKUP(A487,[1]Sheet1!$A:$G,4,FALSE)</f>
        <v>0.28360000000000002</v>
      </c>
      <c r="T487" s="11">
        <f>VLOOKUP(A487,[1]Sheet1!$A:$G,5,FALSE)</f>
        <v>1</v>
      </c>
      <c r="U487" s="11">
        <f>VLOOKUP(A487,[1]Sheet1!$A:$G,6,FALSE)</f>
        <v>6</v>
      </c>
      <c r="V487" s="18">
        <f>VLOOKUP(A487,[1]Sheet1!$A:$G,7,FALSE)</f>
        <v>7</v>
      </c>
    </row>
    <row r="488" spans="1:22" s="13" customFormat="1" ht="30" customHeight="1">
      <c r="A488" s="17">
        <v>484</v>
      </c>
      <c r="B488" s="14">
        <v>40565</v>
      </c>
      <c r="C488" s="8" t="str">
        <f t="shared" si="24"/>
        <v>Saturday</v>
      </c>
      <c r="D488" s="9">
        <v>1</v>
      </c>
      <c r="E488" s="9">
        <v>0</v>
      </c>
      <c r="F488" s="9">
        <v>1</v>
      </c>
      <c r="G488" s="7">
        <v>4</v>
      </c>
      <c r="H488" s="9" t="b">
        <v>0</v>
      </c>
      <c r="I488" s="9">
        <v>6</v>
      </c>
      <c r="J488" s="38" t="str">
        <f>CHOOSE(Table1[[#This Row],[Weekday]]+1,"Sunday","Monday","Tuesday","Wednesday","Thursday","Friday","Saturday")</f>
        <v>Saturday</v>
      </c>
      <c r="K488" s="9">
        <v>2</v>
      </c>
      <c r="L488" s="38" t="str">
        <f>IF(Table1[[#This Row],[Weather_code]]=1,"Clear",IF(Table1[[#This Row],[Weather_code]]=2,"Cloudy",IF(Table1[[#This Row],[Weather_code]]=3,"Light Rain",IF(Table1[[#This Row],[Weather_code]]=4,"Heavy Rain"))))</f>
        <v>Cloudy</v>
      </c>
      <c r="M488" s="10">
        <v>0.02</v>
      </c>
      <c r="N488" s="11" t="str">
        <f t="shared" si="22"/>
        <v>Winter</v>
      </c>
      <c r="O488" s="11" t="str">
        <f t="shared" si="23"/>
        <v>Weekend</v>
      </c>
      <c r="P488" s="11">
        <f>VLOOKUP(A488,[1]Sheet1!$A:$H,2, FALSE)</f>
        <v>1.52E-2</v>
      </c>
      <c r="Q488" s="40">
        <f>Table1[[#This Row],[A_Temperature]]*41</f>
        <v>0.62319999999999998</v>
      </c>
      <c r="R488" s="11">
        <f>VLOOKUP(A488,[1]Sheet1!$A:$G,3,FALSE)</f>
        <v>0.48</v>
      </c>
      <c r="S488" s="11">
        <f>VLOOKUP(A488,[1]Sheet1!$A:$G,4,FALSE)</f>
        <v>0.29849999999999999</v>
      </c>
      <c r="T488" s="11">
        <f>VLOOKUP(A488,[1]Sheet1!$A:$G,5,FALSE)</f>
        <v>0</v>
      </c>
      <c r="U488" s="11">
        <f>VLOOKUP(A488,[1]Sheet1!$A:$G,6,FALSE)</f>
        <v>3</v>
      </c>
      <c r="V488" s="18">
        <f>VLOOKUP(A488,[1]Sheet1!$A:$G,7,FALSE)</f>
        <v>3</v>
      </c>
    </row>
    <row r="489" spans="1:22" s="13" customFormat="1" ht="30" customHeight="1">
      <c r="A489" s="17">
        <v>485</v>
      </c>
      <c r="B489" s="14">
        <v>40565</v>
      </c>
      <c r="C489" s="8" t="str">
        <f t="shared" si="24"/>
        <v>Saturday</v>
      </c>
      <c r="D489" s="9">
        <v>1</v>
      </c>
      <c r="E489" s="9">
        <v>0</v>
      </c>
      <c r="F489" s="9">
        <v>1</v>
      </c>
      <c r="G489" s="7">
        <v>6</v>
      </c>
      <c r="H489" s="9" t="b">
        <v>0</v>
      </c>
      <c r="I489" s="9">
        <v>6</v>
      </c>
      <c r="J489" s="38" t="str">
        <f>CHOOSE(Table1[[#This Row],[Weekday]]+1,"Sunday","Monday","Tuesday","Wednesday","Thursday","Friday","Saturday")</f>
        <v>Saturday</v>
      </c>
      <c r="K489" s="9">
        <v>2</v>
      </c>
      <c r="L489" s="38" t="str">
        <f>IF(Table1[[#This Row],[Weather_code]]=1,"Clear",IF(Table1[[#This Row],[Weather_code]]=2,"Cloudy",IF(Table1[[#This Row],[Weather_code]]=3,"Light Rain",IF(Table1[[#This Row],[Weather_code]]=4,"Heavy Rain"))))</f>
        <v>Cloudy</v>
      </c>
      <c r="M489" s="10">
        <v>0.02</v>
      </c>
      <c r="N489" s="11" t="str">
        <f t="shared" si="22"/>
        <v>Winter</v>
      </c>
      <c r="O489" s="11" t="str">
        <f t="shared" si="23"/>
        <v>Weekend</v>
      </c>
      <c r="P489" s="11">
        <f>VLOOKUP(A489,[1]Sheet1!$A:$H,2, FALSE)</f>
        <v>3.0300000000000001E-2</v>
      </c>
      <c r="Q489" s="40">
        <f>Table1[[#This Row],[A_Temperature]]*41</f>
        <v>1.2423</v>
      </c>
      <c r="R489" s="11">
        <f>VLOOKUP(A489,[1]Sheet1!$A:$G,3,FALSE)</f>
        <v>0.44</v>
      </c>
      <c r="S489" s="11">
        <f>VLOOKUP(A489,[1]Sheet1!$A:$G,4,FALSE)</f>
        <v>0.22389999999999999</v>
      </c>
      <c r="T489" s="11">
        <f>VLOOKUP(A489,[1]Sheet1!$A:$G,5,FALSE)</f>
        <v>0</v>
      </c>
      <c r="U489" s="11">
        <f>VLOOKUP(A489,[1]Sheet1!$A:$G,6,FALSE)</f>
        <v>2</v>
      </c>
      <c r="V489" s="18">
        <f>VLOOKUP(A489,[1]Sheet1!$A:$G,7,FALSE)</f>
        <v>2</v>
      </c>
    </row>
    <row r="490" spans="1:22" s="13" customFormat="1" ht="30" customHeight="1">
      <c r="A490" s="17">
        <v>486</v>
      </c>
      <c r="B490" s="14">
        <v>40565</v>
      </c>
      <c r="C490" s="8" t="str">
        <f t="shared" si="24"/>
        <v>Saturday</v>
      </c>
      <c r="D490" s="9">
        <v>1</v>
      </c>
      <c r="E490" s="9">
        <v>0</v>
      </c>
      <c r="F490" s="9">
        <v>1</v>
      </c>
      <c r="G490" s="7">
        <v>7</v>
      </c>
      <c r="H490" s="9" t="b">
        <v>0</v>
      </c>
      <c r="I490" s="9">
        <v>6</v>
      </c>
      <c r="J490" s="38" t="str">
        <f>CHOOSE(Table1[[#This Row],[Weekday]]+1,"Sunday","Monday","Tuesday","Wednesday","Thursday","Friday","Saturday")</f>
        <v>Saturday</v>
      </c>
      <c r="K490" s="9">
        <v>1</v>
      </c>
      <c r="L490" s="38" t="str">
        <f>IF(Table1[[#This Row],[Weather_code]]=1,"Clear",IF(Table1[[#This Row],[Weather_code]]=2,"Cloudy",IF(Table1[[#This Row],[Weather_code]]=3,"Light Rain",IF(Table1[[#This Row],[Weather_code]]=4,"Heavy Rain"))))</f>
        <v>Clear</v>
      </c>
      <c r="M490" s="10">
        <v>0.02</v>
      </c>
      <c r="N490" s="11" t="str">
        <f t="shared" si="22"/>
        <v>Winter</v>
      </c>
      <c r="O490" s="11" t="str">
        <f t="shared" si="23"/>
        <v>Weekend</v>
      </c>
      <c r="P490" s="11">
        <f>VLOOKUP(A490,[1]Sheet1!$A:$H,2, FALSE)</f>
        <v>1.52E-2</v>
      </c>
      <c r="Q490" s="40">
        <f>Table1[[#This Row],[A_Temperature]]*41</f>
        <v>0.62319999999999998</v>
      </c>
      <c r="R490" s="11">
        <f>VLOOKUP(A490,[1]Sheet1!$A:$G,3,FALSE)</f>
        <v>0.44</v>
      </c>
      <c r="S490" s="11">
        <f>VLOOKUP(A490,[1]Sheet1!$A:$G,4,FALSE)</f>
        <v>0.28360000000000002</v>
      </c>
      <c r="T490" s="11">
        <f>VLOOKUP(A490,[1]Sheet1!$A:$G,5,FALSE)</f>
        <v>0</v>
      </c>
      <c r="U490" s="11">
        <f>VLOOKUP(A490,[1]Sheet1!$A:$G,6,FALSE)</f>
        <v>8</v>
      </c>
      <c r="V490" s="18">
        <f>VLOOKUP(A490,[1]Sheet1!$A:$G,7,FALSE)</f>
        <v>8</v>
      </c>
    </row>
    <row r="491" spans="1:22" s="13" customFormat="1" ht="30" customHeight="1">
      <c r="A491" s="17">
        <v>487</v>
      </c>
      <c r="B491" s="14">
        <v>40565</v>
      </c>
      <c r="C491" s="8" t="str">
        <f t="shared" si="24"/>
        <v>Saturday</v>
      </c>
      <c r="D491" s="9">
        <v>1</v>
      </c>
      <c r="E491" s="9">
        <v>0</v>
      </c>
      <c r="F491" s="9">
        <v>1</v>
      </c>
      <c r="G491" s="7">
        <v>8</v>
      </c>
      <c r="H491" s="9" t="b">
        <v>0</v>
      </c>
      <c r="I491" s="9">
        <v>6</v>
      </c>
      <c r="J491" s="38" t="str">
        <f>CHOOSE(Table1[[#This Row],[Weekday]]+1,"Sunday","Monday","Tuesday","Wednesday","Thursday","Friday","Saturday")</f>
        <v>Saturday</v>
      </c>
      <c r="K491" s="9">
        <v>1</v>
      </c>
      <c r="L491" s="38" t="str">
        <f>IF(Table1[[#This Row],[Weather_code]]=1,"Clear",IF(Table1[[#This Row],[Weather_code]]=2,"Cloudy",IF(Table1[[#This Row],[Weather_code]]=3,"Light Rain",IF(Table1[[#This Row],[Weather_code]]=4,"Heavy Rain"))))</f>
        <v>Clear</v>
      </c>
      <c r="M491" s="10">
        <v>0.02</v>
      </c>
      <c r="N491" s="11" t="str">
        <f t="shared" si="22"/>
        <v>Winter</v>
      </c>
      <c r="O491" s="11" t="str">
        <f t="shared" si="23"/>
        <v>Weekend</v>
      </c>
      <c r="P491" s="11">
        <f>VLOOKUP(A491,[1]Sheet1!$A:$H,2, FALSE)</f>
        <v>0.19989999999999999</v>
      </c>
      <c r="Q491" s="40">
        <f>Table1[[#This Row],[A_Temperature]]*41</f>
        <v>8.1959</v>
      </c>
      <c r="R491" s="11">
        <f>VLOOKUP(A491,[1]Sheet1!$A:$G,3,FALSE)</f>
        <v>0.44</v>
      </c>
      <c r="S491" s="11">
        <f>VLOOKUP(A491,[1]Sheet1!$A:$G,4,FALSE)</f>
        <v>0.32840000000000003</v>
      </c>
      <c r="T491" s="11">
        <f>VLOOKUP(A491,[1]Sheet1!$A:$G,5,FALSE)</f>
        <v>1</v>
      </c>
      <c r="U491" s="11">
        <f>VLOOKUP(A491,[1]Sheet1!$A:$G,6,FALSE)</f>
        <v>26</v>
      </c>
      <c r="V491" s="18">
        <f>VLOOKUP(A491,[1]Sheet1!$A:$G,7,FALSE)</f>
        <v>27</v>
      </c>
    </row>
    <row r="492" spans="1:22" s="13" customFormat="1" ht="30" customHeight="1">
      <c r="A492" s="17">
        <v>488</v>
      </c>
      <c r="B492" s="14">
        <v>40565</v>
      </c>
      <c r="C492" s="8" t="str">
        <f t="shared" si="24"/>
        <v>Saturday</v>
      </c>
      <c r="D492" s="9">
        <v>1</v>
      </c>
      <c r="E492" s="9">
        <v>0</v>
      </c>
      <c r="F492" s="9">
        <v>1</v>
      </c>
      <c r="G492" s="7">
        <v>9</v>
      </c>
      <c r="H492" s="9" t="b">
        <v>0</v>
      </c>
      <c r="I492" s="9">
        <v>6</v>
      </c>
      <c r="J492" s="38" t="str">
        <f>CHOOSE(Table1[[#This Row],[Weekday]]+1,"Sunday","Monday","Tuesday","Wednesday","Thursday","Friday","Saturday")</f>
        <v>Saturday</v>
      </c>
      <c r="K492" s="9">
        <v>1</v>
      </c>
      <c r="L492" s="38" t="str">
        <f>IF(Table1[[#This Row],[Weather_code]]=1,"Clear",IF(Table1[[#This Row],[Weather_code]]=2,"Cloudy",IF(Table1[[#This Row],[Weather_code]]=3,"Light Rain",IF(Table1[[#This Row],[Weather_code]]=4,"Heavy Rain"))))</f>
        <v>Clear</v>
      </c>
      <c r="M492" s="10">
        <v>0.04</v>
      </c>
      <c r="N492" s="11" t="str">
        <f t="shared" si="22"/>
        <v>Winter</v>
      </c>
      <c r="O492" s="11" t="str">
        <f t="shared" si="23"/>
        <v>Weekend</v>
      </c>
      <c r="P492" s="11">
        <f>VLOOKUP(A492,[1]Sheet1!$A:$H,2, FALSE)</f>
        <v>3.0300000000000001E-2</v>
      </c>
      <c r="Q492" s="40">
        <f>Table1[[#This Row],[A_Temperature]]*41</f>
        <v>1.2423</v>
      </c>
      <c r="R492" s="11">
        <f>VLOOKUP(A492,[1]Sheet1!$A:$G,3,FALSE)</f>
        <v>0.41</v>
      </c>
      <c r="S492" s="11">
        <f>VLOOKUP(A492,[1]Sheet1!$A:$G,4,FALSE)</f>
        <v>0.25369999999999998</v>
      </c>
      <c r="T492" s="11">
        <f>VLOOKUP(A492,[1]Sheet1!$A:$G,5,FALSE)</f>
        <v>3</v>
      </c>
      <c r="U492" s="11">
        <f>VLOOKUP(A492,[1]Sheet1!$A:$G,6,FALSE)</f>
        <v>37</v>
      </c>
      <c r="V492" s="18">
        <f>VLOOKUP(A492,[1]Sheet1!$A:$G,7,FALSE)</f>
        <v>40</v>
      </c>
    </row>
    <row r="493" spans="1:22" s="13" customFormat="1" ht="30" customHeight="1">
      <c r="A493" s="17">
        <v>489</v>
      </c>
      <c r="B493" s="14">
        <v>40565</v>
      </c>
      <c r="C493" s="8" t="str">
        <f t="shared" si="24"/>
        <v>Saturday</v>
      </c>
      <c r="D493" s="9">
        <v>1</v>
      </c>
      <c r="E493" s="9">
        <v>0</v>
      </c>
      <c r="F493" s="9">
        <v>1</v>
      </c>
      <c r="G493" s="7">
        <v>10</v>
      </c>
      <c r="H493" s="9" t="b">
        <v>0</v>
      </c>
      <c r="I493" s="9">
        <v>6</v>
      </c>
      <c r="J493" s="38" t="str">
        <f>CHOOSE(Table1[[#This Row],[Weekday]]+1,"Sunday","Monday","Tuesday","Wednesday","Thursday","Friday","Saturday")</f>
        <v>Saturday</v>
      </c>
      <c r="K493" s="9">
        <v>2</v>
      </c>
      <c r="L493" s="38" t="str">
        <f>IF(Table1[[#This Row],[Weather_code]]=1,"Clear",IF(Table1[[#This Row],[Weather_code]]=2,"Cloudy",IF(Table1[[#This Row],[Weather_code]]=3,"Light Rain",IF(Table1[[#This Row],[Weather_code]]=4,"Heavy Rain"))))</f>
        <v>Cloudy</v>
      </c>
      <c r="M493" s="10">
        <v>0.04</v>
      </c>
      <c r="N493" s="11" t="str">
        <f t="shared" si="22"/>
        <v>Winter</v>
      </c>
      <c r="O493" s="11" t="str">
        <f t="shared" si="23"/>
        <v>Weekend</v>
      </c>
      <c r="P493" s="11">
        <f>VLOOKUP(A493,[1]Sheet1!$A:$H,2, FALSE)</f>
        <v>6.0600000000000001E-2</v>
      </c>
      <c r="Q493" s="40">
        <f>Table1[[#This Row],[A_Temperature]]*41</f>
        <v>2.4845999999999999</v>
      </c>
      <c r="R493" s="11">
        <f>VLOOKUP(A493,[1]Sheet1!$A:$G,3,FALSE)</f>
        <v>0.41</v>
      </c>
      <c r="S493" s="11">
        <f>VLOOKUP(A493,[1]Sheet1!$A:$G,4,FALSE)</f>
        <v>0.16420000000000001</v>
      </c>
      <c r="T493" s="11">
        <f>VLOOKUP(A493,[1]Sheet1!$A:$G,5,FALSE)</f>
        <v>3</v>
      </c>
      <c r="U493" s="11">
        <f>VLOOKUP(A493,[1]Sheet1!$A:$G,6,FALSE)</f>
        <v>50</v>
      </c>
      <c r="V493" s="18">
        <f>VLOOKUP(A493,[1]Sheet1!$A:$G,7,FALSE)</f>
        <v>53</v>
      </c>
    </row>
    <row r="494" spans="1:22" s="13" customFormat="1" ht="30" customHeight="1">
      <c r="A494" s="17">
        <v>490</v>
      </c>
      <c r="B494" s="14">
        <v>40565</v>
      </c>
      <c r="C494" s="8" t="str">
        <f t="shared" si="24"/>
        <v>Saturday</v>
      </c>
      <c r="D494" s="9">
        <v>1</v>
      </c>
      <c r="E494" s="9">
        <v>0</v>
      </c>
      <c r="F494" s="9">
        <v>1</v>
      </c>
      <c r="G494" s="7">
        <v>11</v>
      </c>
      <c r="H494" s="9" t="b">
        <v>0</v>
      </c>
      <c r="I494" s="9">
        <v>6</v>
      </c>
      <c r="J494" s="38" t="str">
        <f>CHOOSE(Table1[[#This Row],[Weekday]]+1,"Sunday","Monday","Tuesday","Wednesday","Thursday","Friday","Saturday")</f>
        <v>Saturday</v>
      </c>
      <c r="K494" s="9">
        <v>2</v>
      </c>
      <c r="L494" s="38" t="str">
        <f>IF(Table1[[#This Row],[Weather_code]]=1,"Clear",IF(Table1[[#This Row],[Weather_code]]=2,"Cloudy",IF(Table1[[#This Row],[Weather_code]]=3,"Light Rain",IF(Table1[[#This Row],[Weather_code]]=4,"Heavy Rain"))))</f>
        <v>Cloudy</v>
      </c>
      <c r="M494" s="10">
        <v>0.06</v>
      </c>
      <c r="N494" s="11" t="str">
        <f t="shared" si="22"/>
        <v>Winter</v>
      </c>
      <c r="O494" s="11" t="str">
        <f t="shared" si="23"/>
        <v>Weekend</v>
      </c>
      <c r="P494" s="11">
        <f>VLOOKUP(A494,[1]Sheet1!$A:$H,2, FALSE)</f>
        <v>7.5800000000000006E-2</v>
      </c>
      <c r="Q494" s="40">
        <f>Table1[[#This Row],[A_Temperature]]*41</f>
        <v>3.1078000000000001</v>
      </c>
      <c r="R494" s="11">
        <f>VLOOKUP(A494,[1]Sheet1!$A:$G,3,FALSE)</f>
        <v>0.38</v>
      </c>
      <c r="S494" s="11">
        <f>VLOOKUP(A494,[1]Sheet1!$A:$G,4,FALSE)</f>
        <v>0.1343</v>
      </c>
      <c r="T494" s="11">
        <f>VLOOKUP(A494,[1]Sheet1!$A:$G,5,FALSE)</f>
        <v>4</v>
      </c>
      <c r="U494" s="11">
        <f>VLOOKUP(A494,[1]Sheet1!$A:$G,6,FALSE)</f>
        <v>59</v>
      </c>
      <c r="V494" s="18">
        <f>VLOOKUP(A494,[1]Sheet1!$A:$G,7,FALSE)</f>
        <v>63</v>
      </c>
    </row>
    <row r="495" spans="1:22" s="13" customFormat="1" ht="30" customHeight="1">
      <c r="A495" s="17">
        <v>491</v>
      </c>
      <c r="B495" s="14">
        <v>40565</v>
      </c>
      <c r="C495" s="8" t="str">
        <f t="shared" si="24"/>
        <v>Saturday</v>
      </c>
      <c r="D495" s="9">
        <v>1</v>
      </c>
      <c r="E495" s="9">
        <v>0</v>
      </c>
      <c r="F495" s="9">
        <v>1</v>
      </c>
      <c r="G495" s="7">
        <v>12</v>
      </c>
      <c r="H495" s="9" t="b">
        <v>0</v>
      </c>
      <c r="I495" s="9">
        <v>6</v>
      </c>
      <c r="J495" s="38" t="str">
        <f>CHOOSE(Table1[[#This Row],[Weekday]]+1,"Sunday","Monday","Tuesday","Wednesday","Thursday","Friday","Saturday")</f>
        <v>Saturday</v>
      </c>
      <c r="K495" s="9">
        <v>2</v>
      </c>
      <c r="L495" s="38" t="str">
        <f>IF(Table1[[#This Row],[Weather_code]]=1,"Clear",IF(Table1[[#This Row],[Weather_code]]=2,"Cloudy",IF(Table1[[#This Row],[Weather_code]]=3,"Light Rain",IF(Table1[[#This Row],[Weather_code]]=4,"Heavy Rain"))))</f>
        <v>Cloudy</v>
      </c>
      <c r="M495" s="10">
        <v>0.06</v>
      </c>
      <c r="N495" s="11" t="str">
        <f t="shared" si="22"/>
        <v>Winter</v>
      </c>
      <c r="O495" s="11" t="str">
        <f t="shared" si="23"/>
        <v>Weekend</v>
      </c>
      <c r="P495" s="11">
        <f>VLOOKUP(A495,[1]Sheet1!$A:$H,2, FALSE)</f>
        <v>0.1061</v>
      </c>
      <c r="Q495" s="40">
        <f>Table1[[#This Row],[A_Temperature]]*41</f>
        <v>4.3501000000000003</v>
      </c>
      <c r="R495" s="11">
        <f>VLOOKUP(A495,[1]Sheet1!$A:$G,3,FALSE)</f>
        <v>0.38</v>
      </c>
      <c r="S495" s="11">
        <f>VLOOKUP(A495,[1]Sheet1!$A:$G,4,FALSE)</f>
        <v>0.1045</v>
      </c>
      <c r="T495" s="11">
        <f>VLOOKUP(A495,[1]Sheet1!$A:$G,5,FALSE)</f>
        <v>10</v>
      </c>
      <c r="U495" s="11">
        <f>VLOOKUP(A495,[1]Sheet1!$A:$G,6,FALSE)</f>
        <v>60</v>
      </c>
      <c r="V495" s="18">
        <f>VLOOKUP(A495,[1]Sheet1!$A:$G,7,FALSE)</f>
        <v>70</v>
      </c>
    </row>
    <row r="496" spans="1:22" s="13" customFormat="1" ht="30" customHeight="1">
      <c r="A496" s="17">
        <v>492</v>
      </c>
      <c r="B496" s="14">
        <v>40565</v>
      </c>
      <c r="C496" s="8" t="str">
        <f t="shared" si="24"/>
        <v>Saturday</v>
      </c>
      <c r="D496" s="9">
        <v>1</v>
      </c>
      <c r="E496" s="9">
        <v>0</v>
      </c>
      <c r="F496" s="9">
        <v>1</v>
      </c>
      <c r="G496" s="7">
        <v>13</v>
      </c>
      <c r="H496" s="9" t="b">
        <v>0</v>
      </c>
      <c r="I496" s="9">
        <v>6</v>
      </c>
      <c r="J496" s="38" t="str">
        <f>CHOOSE(Table1[[#This Row],[Weekday]]+1,"Sunday","Monday","Tuesday","Wednesday","Thursday","Friday","Saturday")</f>
        <v>Saturday</v>
      </c>
      <c r="K496" s="9">
        <v>1</v>
      </c>
      <c r="L496" s="38" t="str">
        <f>IF(Table1[[#This Row],[Weather_code]]=1,"Clear",IF(Table1[[#This Row],[Weather_code]]=2,"Cloudy",IF(Table1[[#This Row],[Weather_code]]=3,"Light Rain",IF(Table1[[#This Row],[Weather_code]]=4,"Heavy Rain"))))</f>
        <v>Clear</v>
      </c>
      <c r="M496" s="10">
        <v>0.08</v>
      </c>
      <c r="N496" s="11" t="str">
        <f t="shared" si="22"/>
        <v>Winter</v>
      </c>
      <c r="O496" s="11" t="str">
        <f t="shared" si="23"/>
        <v>Weekend</v>
      </c>
      <c r="P496" s="11">
        <f>VLOOKUP(A496,[1]Sheet1!$A:$H,2, FALSE)</f>
        <v>0.16669999999999999</v>
      </c>
      <c r="Q496" s="40">
        <f>Table1[[#This Row],[A_Temperature]]*41</f>
        <v>6.8346999999999998</v>
      </c>
      <c r="R496" s="11">
        <f>VLOOKUP(A496,[1]Sheet1!$A:$G,3,FALSE)</f>
        <v>0.35</v>
      </c>
      <c r="S496" s="11">
        <f>VLOOKUP(A496,[1]Sheet1!$A:$G,4,FALSE)</f>
        <v>0</v>
      </c>
      <c r="T496" s="11">
        <f>VLOOKUP(A496,[1]Sheet1!$A:$G,5,FALSE)</f>
        <v>12</v>
      </c>
      <c r="U496" s="11">
        <f>VLOOKUP(A496,[1]Sheet1!$A:$G,6,FALSE)</f>
        <v>72</v>
      </c>
      <c r="V496" s="18">
        <f>VLOOKUP(A496,[1]Sheet1!$A:$G,7,FALSE)</f>
        <v>84</v>
      </c>
    </row>
    <row r="497" spans="1:22" s="13" customFormat="1" ht="30" customHeight="1">
      <c r="A497" s="17">
        <v>493</v>
      </c>
      <c r="B497" s="14">
        <v>40565</v>
      </c>
      <c r="C497" s="8" t="str">
        <f t="shared" si="24"/>
        <v>Saturday</v>
      </c>
      <c r="D497" s="9">
        <v>1</v>
      </c>
      <c r="E497" s="9">
        <v>0</v>
      </c>
      <c r="F497" s="9">
        <v>1</v>
      </c>
      <c r="G497" s="7">
        <v>14</v>
      </c>
      <c r="H497" s="9" t="b">
        <v>0</v>
      </c>
      <c r="I497" s="9">
        <v>6</v>
      </c>
      <c r="J497" s="38" t="str">
        <f>CHOOSE(Table1[[#This Row],[Weekday]]+1,"Sunday","Monday","Tuesday","Wednesday","Thursday","Friday","Saturday")</f>
        <v>Saturday</v>
      </c>
      <c r="K497" s="9">
        <v>1</v>
      </c>
      <c r="L497" s="38" t="str">
        <f>IF(Table1[[#This Row],[Weather_code]]=1,"Clear",IF(Table1[[#This Row],[Weather_code]]=2,"Cloudy",IF(Table1[[#This Row],[Weather_code]]=3,"Light Rain",IF(Table1[[#This Row],[Weather_code]]=4,"Heavy Rain"))))</f>
        <v>Clear</v>
      </c>
      <c r="M497" s="10">
        <v>0.1</v>
      </c>
      <c r="N497" s="11" t="str">
        <f t="shared" si="22"/>
        <v>Winter</v>
      </c>
      <c r="O497" s="11" t="str">
        <f t="shared" si="23"/>
        <v>Weekend</v>
      </c>
      <c r="P497" s="11">
        <f>VLOOKUP(A497,[1]Sheet1!$A:$H,2, FALSE)</f>
        <v>0.13639999999999999</v>
      </c>
      <c r="Q497" s="40">
        <f>Table1[[#This Row],[A_Temperature]]*41</f>
        <v>5.5923999999999996</v>
      </c>
      <c r="R497" s="11">
        <f>VLOOKUP(A497,[1]Sheet1!$A:$G,3,FALSE)</f>
        <v>0.33</v>
      </c>
      <c r="S497" s="11">
        <f>VLOOKUP(A497,[1]Sheet1!$A:$G,4,FALSE)</f>
        <v>0.1045</v>
      </c>
      <c r="T497" s="11">
        <f>VLOOKUP(A497,[1]Sheet1!$A:$G,5,FALSE)</f>
        <v>11</v>
      </c>
      <c r="U497" s="11">
        <f>VLOOKUP(A497,[1]Sheet1!$A:$G,6,FALSE)</f>
        <v>64</v>
      </c>
      <c r="V497" s="18">
        <f>VLOOKUP(A497,[1]Sheet1!$A:$G,7,FALSE)</f>
        <v>75</v>
      </c>
    </row>
    <row r="498" spans="1:22" s="13" customFormat="1" ht="30" customHeight="1">
      <c r="A498" s="17">
        <v>494</v>
      </c>
      <c r="B498" s="14">
        <v>40565</v>
      </c>
      <c r="C498" s="8" t="str">
        <f t="shared" si="24"/>
        <v>Saturday</v>
      </c>
      <c r="D498" s="9">
        <v>1</v>
      </c>
      <c r="E498" s="9">
        <v>0</v>
      </c>
      <c r="F498" s="9">
        <v>1</v>
      </c>
      <c r="G498" s="7">
        <v>15</v>
      </c>
      <c r="H498" s="9" t="b">
        <v>0</v>
      </c>
      <c r="I498" s="9">
        <v>6</v>
      </c>
      <c r="J498" s="38" t="str">
        <f>CHOOSE(Table1[[#This Row],[Weekday]]+1,"Sunday","Monday","Tuesday","Wednesday","Thursday","Friday","Saturday")</f>
        <v>Saturday</v>
      </c>
      <c r="K498" s="9">
        <v>1</v>
      </c>
      <c r="L498" s="38" t="str">
        <f>IF(Table1[[#This Row],[Weather_code]]=1,"Clear",IF(Table1[[#This Row],[Weather_code]]=2,"Cloudy",IF(Table1[[#This Row],[Weather_code]]=3,"Light Rain",IF(Table1[[#This Row],[Weather_code]]=4,"Heavy Rain"))))</f>
        <v>Clear</v>
      </c>
      <c r="M498" s="10">
        <v>0.12</v>
      </c>
      <c r="N498" s="11" t="str">
        <f t="shared" si="22"/>
        <v>Winter</v>
      </c>
      <c r="O498" s="11" t="str">
        <f t="shared" si="23"/>
        <v>Weekend</v>
      </c>
      <c r="P498" s="11">
        <f>VLOOKUP(A498,[1]Sheet1!$A:$H,2, FALSE)</f>
        <v>0.1515</v>
      </c>
      <c r="Q498" s="40">
        <f>Table1[[#This Row],[A_Temperature]]*41</f>
        <v>6.2115</v>
      </c>
      <c r="R498" s="11">
        <f>VLOOKUP(A498,[1]Sheet1!$A:$G,3,FALSE)</f>
        <v>0.28000000000000003</v>
      </c>
      <c r="S498" s="11">
        <f>VLOOKUP(A498,[1]Sheet1!$A:$G,4,FALSE)</f>
        <v>0</v>
      </c>
      <c r="T498" s="11">
        <f>VLOOKUP(A498,[1]Sheet1!$A:$G,5,FALSE)</f>
        <v>10</v>
      </c>
      <c r="U498" s="11">
        <f>VLOOKUP(A498,[1]Sheet1!$A:$G,6,FALSE)</f>
        <v>93</v>
      </c>
      <c r="V498" s="18">
        <f>VLOOKUP(A498,[1]Sheet1!$A:$G,7,FALSE)</f>
        <v>103</v>
      </c>
    </row>
    <row r="499" spans="1:22" s="13" customFormat="1" ht="30" customHeight="1">
      <c r="A499" s="17">
        <v>495</v>
      </c>
      <c r="B499" s="14">
        <v>40565</v>
      </c>
      <c r="C499" s="8" t="str">
        <f t="shared" si="24"/>
        <v>Saturday</v>
      </c>
      <c r="D499" s="9">
        <v>1</v>
      </c>
      <c r="E499" s="9">
        <v>0</v>
      </c>
      <c r="F499" s="9">
        <v>1</v>
      </c>
      <c r="G499" s="7">
        <v>16</v>
      </c>
      <c r="H499" s="9" t="b">
        <v>0</v>
      </c>
      <c r="I499" s="9">
        <v>6</v>
      </c>
      <c r="J499" s="38" t="str">
        <f>CHOOSE(Table1[[#This Row],[Weekday]]+1,"Sunday","Monday","Tuesday","Wednesday","Thursday","Friday","Saturday")</f>
        <v>Saturday</v>
      </c>
      <c r="K499" s="9">
        <v>1</v>
      </c>
      <c r="L499" s="38" t="str">
        <f>IF(Table1[[#This Row],[Weather_code]]=1,"Clear",IF(Table1[[#This Row],[Weather_code]]=2,"Cloudy",IF(Table1[[#This Row],[Weather_code]]=3,"Light Rain",IF(Table1[[#This Row],[Weather_code]]=4,"Heavy Rain"))))</f>
        <v>Clear</v>
      </c>
      <c r="M499" s="10">
        <v>0.12</v>
      </c>
      <c r="N499" s="11" t="str">
        <f t="shared" si="22"/>
        <v>Winter</v>
      </c>
      <c r="O499" s="11" t="str">
        <f t="shared" si="23"/>
        <v>Weekend</v>
      </c>
      <c r="P499" s="11">
        <f>VLOOKUP(A499,[1]Sheet1!$A:$H,2, FALSE)</f>
        <v>0.13639999999999999</v>
      </c>
      <c r="Q499" s="40">
        <f>Table1[[#This Row],[A_Temperature]]*41</f>
        <v>5.5923999999999996</v>
      </c>
      <c r="R499" s="11">
        <f>VLOOKUP(A499,[1]Sheet1!$A:$G,3,FALSE)</f>
        <v>0.28000000000000003</v>
      </c>
      <c r="S499" s="11">
        <f>VLOOKUP(A499,[1]Sheet1!$A:$G,4,FALSE)</f>
        <v>0.19400000000000001</v>
      </c>
      <c r="T499" s="11">
        <f>VLOOKUP(A499,[1]Sheet1!$A:$G,5,FALSE)</f>
        <v>11</v>
      </c>
      <c r="U499" s="11">
        <f>VLOOKUP(A499,[1]Sheet1!$A:$G,6,FALSE)</f>
        <v>72</v>
      </c>
      <c r="V499" s="18">
        <f>VLOOKUP(A499,[1]Sheet1!$A:$G,7,FALSE)</f>
        <v>83</v>
      </c>
    </row>
    <row r="500" spans="1:22" s="13" customFormat="1" ht="30" customHeight="1">
      <c r="A500" s="17">
        <v>496</v>
      </c>
      <c r="B500" s="14">
        <v>40565</v>
      </c>
      <c r="C500" s="8" t="str">
        <f t="shared" si="24"/>
        <v>Saturday</v>
      </c>
      <c r="D500" s="9">
        <v>1</v>
      </c>
      <c r="E500" s="9">
        <v>0</v>
      </c>
      <c r="F500" s="9">
        <v>1</v>
      </c>
      <c r="G500" s="7">
        <v>17</v>
      </c>
      <c r="H500" s="9" t="b">
        <v>0</v>
      </c>
      <c r="I500" s="9">
        <v>6</v>
      </c>
      <c r="J500" s="38" t="str">
        <f>CHOOSE(Table1[[#This Row],[Weekday]]+1,"Sunday","Monday","Tuesday","Wednesday","Thursday","Friday","Saturday")</f>
        <v>Saturday</v>
      </c>
      <c r="K500" s="9">
        <v>1</v>
      </c>
      <c r="L500" s="38" t="str">
        <f>IF(Table1[[#This Row],[Weather_code]]=1,"Clear",IF(Table1[[#This Row],[Weather_code]]=2,"Cloudy",IF(Table1[[#This Row],[Weather_code]]=3,"Light Rain",IF(Table1[[#This Row],[Weather_code]]=4,"Heavy Rain"))))</f>
        <v>Clear</v>
      </c>
      <c r="M500" s="10">
        <v>0.12</v>
      </c>
      <c r="N500" s="11" t="str">
        <f t="shared" si="22"/>
        <v>Winter</v>
      </c>
      <c r="O500" s="11" t="str">
        <f t="shared" si="23"/>
        <v>Weekend</v>
      </c>
      <c r="P500" s="11">
        <f>VLOOKUP(A500,[1]Sheet1!$A:$H,2, FALSE)</f>
        <v>0.19700000000000001</v>
      </c>
      <c r="Q500" s="40">
        <f>Table1[[#This Row],[A_Temperature]]*41</f>
        <v>8.077</v>
      </c>
      <c r="R500" s="11">
        <f>VLOOKUP(A500,[1]Sheet1!$A:$G,3,FALSE)</f>
        <v>0.28000000000000003</v>
      </c>
      <c r="S500" s="11">
        <f>VLOOKUP(A500,[1]Sheet1!$A:$G,4,FALSE)</f>
        <v>0</v>
      </c>
      <c r="T500" s="11">
        <f>VLOOKUP(A500,[1]Sheet1!$A:$G,5,FALSE)</f>
        <v>8</v>
      </c>
      <c r="U500" s="11">
        <f>VLOOKUP(A500,[1]Sheet1!$A:$G,6,FALSE)</f>
        <v>59</v>
      </c>
      <c r="V500" s="18">
        <f>VLOOKUP(A500,[1]Sheet1!$A:$G,7,FALSE)</f>
        <v>67</v>
      </c>
    </row>
    <row r="501" spans="1:22" s="13" customFormat="1" ht="30" customHeight="1">
      <c r="A501" s="17">
        <v>497</v>
      </c>
      <c r="B501" s="14">
        <v>40565</v>
      </c>
      <c r="C501" s="8" t="str">
        <f t="shared" si="24"/>
        <v>Saturday</v>
      </c>
      <c r="D501" s="9">
        <v>1</v>
      </c>
      <c r="E501" s="9">
        <v>0</v>
      </c>
      <c r="F501" s="9">
        <v>1</v>
      </c>
      <c r="G501" s="7">
        <v>18</v>
      </c>
      <c r="H501" s="9" t="b">
        <v>0</v>
      </c>
      <c r="I501" s="9">
        <v>6</v>
      </c>
      <c r="J501" s="38" t="str">
        <f>CHOOSE(Table1[[#This Row],[Weekday]]+1,"Sunday","Monday","Tuesday","Wednesday","Thursday","Friday","Saturday")</f>
        <v>Saturday</v>
      </c>
      <c r="K501" s="9">
        <v>1</v>
      </c>
      <c r="L501" s="38" t="str">
        <f>IF(Table1[[#This Row],[Weather_code]]=1,"Clear",IF(Table1[[#This Row],[Weather_code]]=2,"Cloudy",IF(Table1[[#This Row],[Weather_code]]=3,"Light Rain",IF(Table1[[#This Row],[Weather_code]]=4,"Heavy Rain"))))</f>
        <v>Clear</v>
      </c>
      <c r="M501" s="10">
        <v>0.08</v>
      </c>
      <c r="N501" s="11" t="str">
        <f t="shared" si="22"/>
        <v>Winter</v>
      </c>
      <c r="O501" s="11" t="str">
        <f t="shared" si="23"/>
        <v>Weekend</v>
      </c>
      <c r="P501" s="11">
        <f>VLOOKUP(A501,[1]Sheet1!$A:$H,2, FALSE)</f>
        <v>9.0899999999999995E-2</v>
      </c>
      <c r="Q501" s="40">
        <f>Table1[[#This Row],[A_Temperature]]*41</f>
        <v>3.7268999999999997</v>
      </c>
      <c r="R501" s="11">
        <f>VLOOKUP(A501,[1]Sheet1!$A:$G,3,FALSE)</f>
        <v>0.35</v>
      </c>
      <c r="S501" s="11">
        <f>VLOOKUP(A501,[1]Sheet1!$A:$G,4,FALSE)</f>
        <v>0.19400000000000001</v>
      </c>
      <c r="T501" s="11">
        <f>VLOOKUP(A501,[1]Sheet1!$A:$G,5,FALSE)</f>
        <v>0</v>
      </c>
      <c r="U501" s="11">
        <f>VLOOKUP(A501,[1]Sheet1!$A:$G,6,FALSE)</f>
        <v>54</v>
      </c>
      <c r="V501" s="18">
        <f>VLOOKUP(A501,[1]Sheet1!$A:$G,7,FALSE)</f>
        <v>54</v>
      </c>
    </row>
    <row r="502" spans="1:22" s="13" customFormat="1" ht="30" customHeight="1">
      <c r="A502" s="17">
        <v>498</v>
      </c>
      <c r="B502" s="14">
        <v>40565</v>
      </c>
      <c r="C502" s="8" t="str">
        <f t="shared" si="24"/>
        <v>Saturday</v>
      </c>
      <c r="D502" s="9">
        <v>1</v>
      </c>
      <c r="E502" s="9">
        <v>0</v>
      </c>
      <c r="F502" s="9">
        <v>1</v>
      </c>
      <c r="G502" s="7">
        <v>19</v>
      </c>
      <c r="H502" s="9" t="b">
        <v>0</v>
      </c>
      <c r="I502" s="9">
        <v>6</v>
      </c>
      <c r="J502" s="38" t="str">
        <f>CHOOSE(Table1[[#This Row],[Weekday]]+1,"Sunday","Monday","Tuesday","Wednesday","Thursday","Friday","Saturday")</f>
        <v>Saturday</v>
      </c>
      <c r="K502" s="9">
        <v>1</v>
      </c>
      <c r="L502" s="38" t="str">
        <f>IF(Table1[[#This Row],[Weather_code]]=1,"Clear",IF(Table1[[#This Row],[Weather_code]]=2,"Cloudy",IF(Table1[[#This Row],[Weather_code]]=3,"Light Rain",IF(Table1[[#This Row],[Weather_code]]=4,"Heavy Rain"))))</f>
        <v>Clear</v>
      </c>
      <c r="M502" s="10">
        <v>0.08</v>
      </c>
      <c r="N502" s="11" t="str">
        <f t="shared" si="22"/>
        <v>Winter</v>
      </c>
      <c r="O502" s="11" t="str">
        <f t="shared" si="23"/>
        <v>Weekend</v>
      </c>
      <c r="P502" s="11">
        <f>VLOOKUP(A502,[1]Sheet1!$A:$H,2, FALSE)</f>
        <v>0.1061</v>
      </c>
      <c r="Q502" s="40">
        <f>Table1[[#This Row],[A_Temperature]]*41</f>
        <v>4.3501000000000003</v>
      </c>
      <c r="R502" s="11">
        <f>VLOOKUP(A502,[1]Sheet1!$A:$G,3,FALSE)</f>
        <v>0.35</v>
      </c>
      <c r="S502" s="11">
        <f>VLOOKUP(A502,[1]Sheet1!$A:$G,4,FALSE)</f>
        <v>0.1343</v>
      </c>
      <c r="T502" s="11">
        <f>VLOOKUP(A502,[1]Sheet1!$A:$G,5,FALSE)</f>
        <v>6</v>
      </c>
      <c r="U502" s="11">
        <f>VLOOKUP(A502,[1]Sheet1!$A:$G,6,FALSE)</f>
        <v>53</v>
      </c>
      <c r="V502" s="18">
        <f>VLOOKUP(A502,[1]Sheet1!$A:$G,7,FALSE)</f>
        <v>59</v>
      </c>
    </row>
    <row r="503" spans="1:22" s="13" customFormat="1" ht="30" customHeight="1">
      <c r="A503" s="17">
        <v>499</v>
      </c>
      <c r="B503" s="14">
        <v>40565</v>
      </c>
      <c r="C503" s="8" t="str">
        <f t="shared" si="24"/>
        <v>Saturday</v>
      </c>
      <c r="D503" s="9">
        <v>1</v>
      </c>
      <c r="E503" s="9">
        <v>0</v>
      </c>
      <c r="F503" s="9">
        <v>1</v>
      </c>
      <c r="G503" s="7">
        <v>20</v>
      </c>
      <c r="H503" s="9" t="b">
        <v>0</v>
      </c>
      <c r="I503" s="9">
        <v>6</v>
      </c>
      <c r="J503" s="38" t="str">
        <f>CHOOSE(Table1[[#This Row],[Weekday]]+1,"Sunday","Monday","Tuesday","Wednesday","Thursday","Friday","Saturday")</f>
        <v>Saturday</v>
      </c>
      <c r="K503" s="9">
        <v>1</v>
      </c>
      <c r="L503" s="38" t="str">
        <f>IF(Table1[[#This Row],[Weather_code]]=1,"Clear",IF(Table1[[#This Row],[Weather_code]]=2,"Cloudy",IF(Table1[[#This Row],[Weather_code]]=3,"Light Rain",IF(Table1[[#This Row],[Weather_code]]=4,"Heavy Rain"))))</f>
        <v>Clear</v>
      </c>
      <c r="M503" s="10">
        <v>0.06</v>
      </c>
      <c r="N503" s="11" t="str">
        <f t="shared" si="22"/>
        <v>Winter</v>
      </c>
      <c r="O503" s="11" t="str">
        <f t="shared" si="23"/>
        <v>Weekend</v>
      </c>
      <c r="P503" s="11">
        <f>VLOOKUP(A503,[1]Sheet1!$A:$H,2, FALSE)</f>
        <v>7.5800000000000006E-2</v>
      </c>
      <c r="Q503" s="40">
        <f>Table1[[#This Row],[A_Temperature]]*41</f>
        <v>3.1078000000000001</v>
      </c>
      <c r="R503" s="11">
        <f>VLOOKUP(A503,[1]Sheet1!$A:$G,3,FALSE)</f>
        <v>0.45</v>
      </c>
      <c r="S503" s="11">
        <f>VLOOKUP(A503,[1]Sheet1!$A:$G,4,FALSE)</f>
        <v>0.16420000000000001</v>
      </c>
      <c r="T503" s="11">
        <f>VLOOKUP(A503,[1]Sheet1!$A:$G,5,FALSE)</f>
        <v>1</v>
      </c>
      <c r="U503" s="11">
        <f>VLOOKUP(A503,[1]Sheet1!$A:$G,6,FALSE)</f>
        <v>44</v>
      </c>
      <c r="V503" s="18">
        <f>VLOOKUP(A503,[1]Sheet1!$A:$G,7,FALSE)</f>
        <v>45</v>
      </c>
    </row>
    <row r="504" spans="1:22" s="13" customFormat="1" ht="30" customHeight="1">
      <c r="A504" s="17">
        <v>500</v>
      </c>
      <c r="B504" s="14">
        <v>40565</v>
      </c>
      <c r="C504" s="8" t="str">
        <f t="shared" si="24"/>
        <v>Saturday</v>
      </c>
      <c r="D504" s="9">
        <v>1</v>
      </c>
      <c r="E504" s="9">
        <v>0</v>
      </c>
      <c r="F504" s="9">
        <v>1</v>
      </c>
      <c r="G504" s="7">
        <v>21</v>
      </c>
      <c r="H504" s="9" t="b">
        <v>0</v>
      </c>
      <c r="I504" s="9">
        <v>6</v>
      </c>
      <c r="J504" s="38" t="str">
        <f>CHOOSE(Table1[[#This Row],[Weekday]]+1,"Sunday","Monday","Tuesday","Wednesday","Thursday","Friday","Saturday")</f>
        <v>Saturday</v>
      </c>
      <c r="K504" s="9">
        <v>1</v>
      </c>
      <c r="L504" s="38" t="str">
        <f>IF(Table1[[#This Row],[Weather_code]]=1,"Clear",IF(Table1[[#This Row],[Weather_code]]=2,"Cloudy",IF(Table1[[#This Row],[Weather_code]]=3,"Light Rain",IF(Table1[[#This Row],[Weather_code]]=4,"Heavy Rain"))))</f>
        <v>Clear</v>
      </c>
      <c r="M504" s="10">
        <v>0.06</v>
      </c>
      <c r="N504" s="11" t="str">
        <f t="shared" si="22"/>
        <v>Winter</v>
      </c>
      <c r="O504" s="11" t="str">
        <f t="shared" si="23"/>
        <v>Weekend</v>
      </c>
      <c r="P504" s="11">
        <f>VLOOKUP(A504,[1]Sheet1!$A:$H,2, FALSE)</f>
        <v>0.1061</v>
      </c>
      <c r="Q504" s="40">
        <f>Table1[[#This Row],[A_Temperature]]*41</f>
        <v>4.3501000000000003</v>
      </c>
      <c r="R504" s="11">
        <f>VLOOKUP(A504,[1]Sheet1!$A:$G,3,FALSE)</f>
        <v>0.41</v>
      </c>
      <c r="S504" s="11">
        <f>VLOOKUP(A504,[1]Sheet1!$A:$G,4,FALSE)</f>
        <v>8.9599999999999999E-2</v>
      </c>
      <c r="T504" s="11">
        <f>VLOOKUP(A504,[1]Sheet1!$A:$G,5,FALSE)</f>
        <v>0</v>
      </c>
      <c r="U504" s="11">
        <f>VLOOKUP(A504,[1]Sheet1!$A:$G,6,FALSE)</f>
        <v>39</v>
      </c>
      <c r="V504" s="18">
        <f>VLOOKUP(A504,[1]Sheet1!$A:$G,7,FALSE)</f>
        <v>39</v>
      </c>
    </row>
    <row r="505" spans="1:22" s="13" customFormat="1" ht="30" customHeight="1">
      <c r="A505" s="17">
        <v>501</v>
      </c>
      <c r="B505" s="14">
        <v>40565</v>
      </c>
      <c r="C505" s="8" t="str">
        <f t="shared" si="24"/>
        <v>Saturday</v>
      </c>
      <c r="D505" s="9">
        <v>1</v>
      </c>
      <c r="E505" s="9">
        <v>0</v>
      </c>
      <c r="F505" s="9">
        <v>1</v>
      </c>
      <c r="G505" s="7">
        <v>22</v>
      </c>
      <c r="H505" s="9" t="b">
        <v>0</v>
      </c>
      <c r="I505" s="9">
        <v>6</v>
      </c>
      <c r="J505" s="38" t="str">
        <f>CHOOSE(Table1[[#This Row],[Weekday]]+1,"Sunday","Monday","Tuesday","Wednesday","Thursday","Friday","Saturday")</f>
        <v>Saturday</v>
      </c>
      <c r="K505" s="9">
        <v>1</v>
      </c>
      <c r="L505" s="38" t="str">
        <f>IF(Table1[[#This Row],[Weather_code]]=1,"Clear",IF(Table1[[#This Row],[Weather_code]]=2,"Cloudy",IF(Table1[[#This Row],[Weather_code]]=3,"Light Rain",IF(Table1[[#This Row],[Weather_code]]=4,"Heavy Rain"))))</f>
        <v>Clear</v>
      </c>
      <c r="M505" s="10">
        <v>0.06</v>
      </c>
      <c r="N505" s="11" t="str">
        <f t="shared" si="22"/>
        <v>Winter</v>
      </c>
      <c r="O505" s="11" t="str">
        <f t="shared" si="23"/>
        <v>Weekend</v>
      </c>
      <c r="P505" s="11">
        <f>VLOOKUP(A505,[1]Sheet1!$A:$H,2, FALSE)</f>
        <v>0.1515</v>
      </c>
      <c r="Q505" s="40">
        <f>Table1[[#This Row],[A_Temperature]]*41</f>
        <v>6.2115</v>
      </c>
      <c r="R505" s="11">
        <f>VLOOKUP(A505,[1]Sheet1!$A:$G,3,FALSE)</f>
        <v>0.49</v>
      </c>
      <c r="S505" s="11">
        <f>VLOOKUP(A505,[1]Sheet1!$A:$G,4,FALSE)</f>
        <v>0</v>
      </c>
      <c r="T505" s="11">
        <f>VLOOKUP(A505,[1]Sheet1!$A:$G,5,FALSE)</f>
        <v>7</v>
      </c>
      <c r="U505" s="11">
        <f>VLOOKUP(A505,[1]Sheet1!$A:$G,6,FALSE)</f>
        <v>23</v>
      </c>
      <c r="V505" s="18">
        <f>VLOOKUP(A505,[1]Sheet1!$A:$G,7,FALSE)</f>
        <v>30</v>
      </c>
    </row>
    <row r="506" spans="1:22" s="13" customFormat="1" ht="30" customHeight="1">
      <c r="A506" s="17">
        <v>502</v>
      </c>
      <c r="B506" s="14">
        <v>40565</v>
      </c>
      <c r="C506" s="8" t="str">
        <f t="shared" si="24"/>
        <v>Saturday</v>
      </c>
      <c r="D506" s="9">
        <v>1</v>
      </c>
      <c r="E506" s="9">
        <v>0</v>
      </c>
      <c r="F506" s="9">
        <v>1</v>
      </c>
      <c r="G506" s="7">
        <v>23</v>
      </c>
      <c r="H506" s="9" t="b">
        <v>0</v>
      </c>
      <c r="I506" s="9">
        <v>6</v>
      </c>
      <c r="J506" s="38" t="str">
        <f>CHOOSE(Table1[[#This Row],[Weekday]]+1,"Sunday","Monday","Tuesday","Wednesday","Thursday","Friday","Saturday")</f>
        <v>Saturday</v>
      </c>
      <c r="K506" s="9">
        <v>1</v>
      </c>
      <c r="L506" s="38" t="str">
        <f>IF(Table1[[#This Row],[Weather_code]]=1,"Clear",IF(Table1[[#This Row],[Weather_code]]=2,"Cloudy",IF(Table1[[#This Row],[Weather_code]]=3,"Light Rain",IF(Table1[[#This Row],[Weather_code]]=4,"Heavy Rain"))))</f>
        <v>Clear</v>
      </c>
      <c r="M506" s="10">
        <v>0.04</v>
      </c>
      <c r="N506" s="11" t="str">
        <f t="shared" si="22"/>
        <v>Winter</v>
      </c>
      <c r="O506" s="11" t="str">
        <f t="shared" si="23"/>
        <v>Weekend</v>
      </c>
      <c r="P506" s="11">
        <f>VLOOKUP(A506,[1]Sheet1!$A:$H,2, FALSE)</f>
        <v>7.5800000000000006E-2</v>
      </c>
      <c r="Q506" s="40">
        <f>Table1[[#This Row],[A_Temperature]]*41</f>
        <v>3.1078000000000001</v>
      </c>
      <c r="R506" s="11">
        <f>VLOOKUP(A506,[1]Sheet1!$A:$G,3,FALSE)</f>
        <v>0.56999999999999995</v>
      </c>
      <c r="S506" s="11">
        <f>VLOOKUP(A506,[1]Sheet1!$A:$G,4,FALSE)</f>
        <v>0.1045</v>
      </c>
      <c r="T506" s="11">
        <f>VLOOKUP(A506,[1]Sheet1!$A:$G,5,FALSE)</f>
        <v>2</v>
      </c>
      <c r="U506" s="11">
        <f>VLOOKUP(A506,[1]Sheet1!$A:$G,6,FALSE)</f>
        <v>31</v>
      </c>
      <c r="V506" s="18">
        <f>VLOOKUP(A506,[1]Sheet1!$A:$G,7,FALSE)</f>
        <v>33</v>
      </c>
    </row>
    <row r="507" spans="1:22" s="13" customFormat="1" ht="30" customHeight="1">
      <c r="A507" s="17">
        <v>503</v>
      </c>
      <c r="B507" s="14">
        <v>40566</v>
      </c>
      <c r="C507" s="8" t="str">
        <f t="shared" si="24"/>
        <v>Sunday</v>
      </c>
      <c r="D507" s="9">
        <v>1</v>
      </c>
      <c r="E507" s="9">
        <v>0</v>
      </c>
      <c r="F507" s="9">
        <v>1</v>
      </c>
      <c r="G507" s="7">
        <v>0</v>
      </c>
      <c r="H507" s="9" t="b">
        <v>0</v>
      </c>
      <c r="I507" s="9">
        <v>0</v>
      </c>
      <c r="J507" s="38" t="str">
        <f>CHOOSE(Table1[[#This Row],[Weekday]]+1,"Sunday","Monday","Tuesday","Wednesday","Thursday","Friday","Saturday")</f>
        <v>Sunday</v>
      </c>
      <c r="K507" s="9">
        <v>1</v>
      </c>
      <c r="L507" s="38" t="str">
        <f>IF(Table1[[#This Row],[Weather_code]]=1,"Clear",IF(Table1[[#This Row],[Weather_code]]=2,"Cloudy",IF(Table1[[#This Row],[Weather_code]]=3,"Light Rain",IF(Table1[[#This Row],[Weather_code]]=4,"Heavy Rain"))))</f>
        <v>Clear</v>
      </c>
      <c r="M507" s="10">
        <v>0.04</v>
      </c>
      <c r="N507" s="11" t="str">
        <f t="shared" si="22"/>
        <v>Winter</v>
      </c>
      <c r="O507" s="11" t="str">
        <f t="shared" si="23"/>
        <v>Weekend</v>
      </c>
      <c r="P507" s="11">
        <f>VLOOKUP(A507,[1]Sheet1!$A:$H,2, FALSE)</f>
        <v>7.5800000000000006E-2</v>
      </c>
      <c r="Q507" s="40">
        <f>Table1[[#This Row],[A_Temperature]]*41</f>
        <v>3.1078000000000001</v>
      </c>
      <c r="R507" s="11">
        <f>VLOOKUP(A507,[1]Sheet1!$A:$G,3,FALSE)</f>
        <v>0.56999999999999995</v>
      </c>
      <c r="S507" s="11">
        <f>VLOOKUP(A507,[1]Sheet1!$A:$G,4,FALSE)</f>
        <v>0.1045</v>
      </c>
      <c r="T507" s="11">
        <f>VLOOKUP(A507,[1]Sheet1!$A:$G,5,FALSE)</f>
        <v>2</v>
      </c>
      <c r="U507" s="11">
        <f>VLOOKUP(A507,[1]Sheet1!$A:$G,6,FALSE)</f>
        <v>20</v>
      </c>
      <c r="V507" s="18">
        <f>VLOOKUP(A507,[1]Sheet1!$A:$G,7,FALSE)</f>
        <v>22</v>
      </c>
    </row>
    <row r="508" spans="1:22" s="13" customFormat="1" ht="30" customHeight="1">
      <c r="A508" s="17">
        <v>504</v>
      </c>
      <c r="B508" s="14">
        <v>40566</v>
      </c>
      <c r="C508" s="8" t="str">
        <f t="shared" si="24"/>
        <v>Sunday</v>
      </c>
      <c r="D508" s="9">
        <v>1</v>
      </c>
      <c r="E508" s="9">
        <v>0</v>
      </c>
      <c r="F508" s="9">
        <v>1</v>
      </c>
      <c r="G508" s="7">
        <v>1</v>
      </c>
      <c r="H508" s="9" t="b">
        <v>0</v>
      </c>
      <c r="I508" s="9">
        <v>0</v>
      </c>
      <c r="J508" s="38" t="str">
        <f>CHOOSE(Table1[[#This Row],[Weekday]]+1,"Sunday","Monday","Tuesday","Wednesday","Thursday","Friday","Saturday")</f>
        <v>Sunday</v>
      </c>
      <c r="K508" s="9">
        <v>1</v>
      </c>
      <c r="L508" s="38" t="str">
        <f>IF(Table1[[#This Row],[Weather_code]]=1,"Clear",IF(Table1[[#This Row],[Weather_code]]=2,"Cloudy",IF(Table1[[#This Row],[Weather_code]]=3,"Light Rain",IF(Table1[[#This Row],[Weather_code]]=4,"Heavy Rain"))))</f>
        <v>Clear</v>
      </c>
      <c r="M508" s="10">
        <v>0.04</v>
      </c>
      <c r="N508" s="11" t="str">
        <f t="shared" si="22"/>
        <v>Winter</v>
      </c>
      <c r="O508" s="11" t="str">
        <f t="shared" si="23"/>
        <v>Weekend</v>
      </c>
      <c r="P508" s="11">
        <f>VLOOKUP(A508,[1]Sheet1!$A:$H,2, FALSE)</f>
        <v>7.5800000000000006E-2</v>
      </c>
      <c r="Q508" s="40">
        <f>Table1[[#This Row],[A_Temperature]]*41</f>
        <v>3.1078000000000001</v>
      </c>
      <c r="R508" s="11">
        <f>VLOOKUP(A508,[1]Sheet1!$A:$G,3,FALSE)</f>
        <v>0.56999999999999995</v>
      </c>
      <c r="S508" s="11">
        <f>VLOOKUP(A508,[1]Sheet1!$A:$G,4,FALSE)</f>
        <v>0.1045</v>
      </c>
      <c r="T508" s="11">
        <f>VLOOKUP(A508,[1]Sheet1!$A:$G,5,FALSE)</f>
        <v>1</v>
      </c>
      <c r="U508" s="11">
        <f>VLOOKUP(A508,[1]Sheet1!$A:$G,6,FALSE)</f>
        <v>12</v>
      </c>
      <c r="V508" s="18">
        <f>VLOOKUP(A508,[1]Sheet1!$A:$G,7,FALSE)</f>
        <v>13</v>
      </c>
    </row>
    <row r="509" spans="1:22" s="13" customFormat="1" ht="30" customHeight="1">
      <c r="A509" s="17">
        <v>505</v>
      </c>
      <c r="B509" s="14">
        <v>40566</v>
      </c>
      <c r="C509" s="8" t="str">
        <f t="shared" si="24"/>
        <v>Sunday</v>
      </c>
      <c r="D509" s="9">
        <v>1</v>
      </c>
      <c r="E509" s="9">
        <v>0</v>
      </c>
      <c r="F509" s="9">
        <v>1</v>
      </c>
      <c r="G509" s="7">
        <v>2</v>
      </c>
      <c r="H509" s="9" t="b">
        <v>0</v>
      </c>
      <c r="I509" s="9">
        <v>0</v>
      </c>
      <c r="J509" s="38" t="str">
        <f>CHOOSE(Table1[[#This Row],[Weekday]]+1,"Sunday","Monday","Tuesday","Wednesday","Thursday","Friday","Saturday")</f>
        <v>Sunday</v>
      </c>
      <c r="K509" s="9">
        <v>1</v>
      </c>
      <c r="L509" s="38" t="str">
        <f>IF(Table1[[#This Row],[Weather_code]]=1,"Clear",IF(Table1[[#This Row],[Weather_code]]=2,"Cloudy",IF(Table1[[#This Row],[Weather_code]]=3,"Light Rain",IF(Table1[[#This Row],[Weather_code]]=4,"Heavy Rain"))))</f>
        <v>Clear</v>
      </c>
      <c r="M509" s="10">
        <v>0.02</v>
      </c>
      <c r="N509" s="11" t="str">
        <f t="shared" si="22"/>
        <v>Winter</v>
      </c>
      <c r="O509" s="11" t="str">
        <f t="shared" si="23"/>
        <v>Weekend</v>
      </c>
      <c r="P509" s="11">
        <f>VLOOKUP(A509,[1]Sheet1!$A:$H,2, FALSE)</f>
        <v>6.0600000000000001E-2</v>
      </c>
      <c r="Q509" s="40">
        <f>Table1[[#This Row],[A_Temperature]]*41</f>
        <v>2.4845999999999999</v>
      </c>
      <c r="R509" s="11">
        <f>VLOOKUP(A509,[1]Sheet1!$A:$G,3,FALSE)</f>
        <v>0.62</v>
      </c>
      <c r="S509" s="11">
        <f>VLOOKUP(A509,[1]Sheet1!$A:$G,4,FALSE)</f>
        <v>0.1343</v>
      </c>
      <c r="T509" s="11">
        <f>VLOOKUP(A509,[1]Sheet1!$A:$G,5,FALSE)</f>
        <v>3</v>
      </c>
      <c r="U509" s="11">
        <f>VLOOKUP(A509,[1]Sheet1!$A:$G,6,FALSE)</f>
        <v>15</v>
      </c>
      <c r="V509" s="18">
        <f>VLOOKUP(A509,[1]Sheet1!$A:$G,7,FALSE)</f>
        <v>18</v>
      </c>
    </row>
    <row r="510" spans="1:22" s="13" customFormat="1" ht="30" customHeight="1">
      <c r="A510" s="17">
        <v>506</v>
      </c>
      <c r="B510" s="14">
        <v>40566</v>
      </c>
      <c r="C510" s="8" t="str">
        <f t="shared" si="24"/>
        <v>Sunday</v>
      </c>
      <c r="D510" s="9">
        <v>1</v>
      </c>
      <c r="E510" s="9">
        <v>0</v>
      </c>
      <c r="F510" s="9">
        <v>1</v>
      </c>
      <c r="G510" s="7">
        <v>3</v>
      </c>
      <c r="H510" s="9" t="b">
        <v>0</v>
      </c>
      <c r="I510" s="9">
        <v>0</v>
      </c>
      <c r="J510" s="38" t="str">
        <f>CHOOSE(Table1[[#This Row],[Weekday]]+1,"Sunday","Monday","Tuesday","Wednesday","Thursday","Friday","Saturday")</f>
        <v>Sunday</v>
      </c>
      <c r="K510" s="9">
        <v>1</v>
      </c>
      <c r="L510" s="38" t="str">
        <f>IF(Table1[[#This Row],[Weather_code]]=1,"Clear",IF(Table1[[#This Row],[Weather_code]]=2,"Cloudy",IF(Table1[[#This Row],[Weather_code]]=3,"Light Rain",IF(Table1[[#This Row],[Weather_code]]=4,"Heavy Rain"))))</f>
        <v>Clear</v>
      </c>
      <c r="M510" s="10">
        <v>0.02</v>
      </c>
      <c r="N510" s="11" t="str">
        <f t="shared" si="22"/>
        <v>Winter</v>
      </c>
      <c r="O510" s="11" t="str">
        <f t="shared" si="23"/>
        <v>Weekend</v>
      </c>
      <c r="P510" s="11">
        <f>VLOOKUP(A510,[1]Sheet1!$A:$H,2, FALSE)</f>
        <v>6.0600000000000001E-2</v>
      </c>
      <c r="Q510" s="40">
        <f>Table1[[#This Row],[A_Temperature]]*41</f>
        <v>2.4845999999999999</v>
      </c>
      <c r="R510" s="11">
        <f>VLOOKUP(A510,[1]Sheet1!$A:$G,3,FALSE)</f>
        <v>0.62</v>
      </c>
      <c r="S510" s="11">
        <f>VLOOKUP(A510,[1]Sheet1!$A:$G,4,FALSE)</f>
        <v>0.1343</v>
      </c>
      <c r="T510" s="11">
        <f>VLOOKUP(A510,[1]Sheet1!$A:$G,5,FALSE)</f>
        <v>1</v>
      </c>
      <c r="U510" s="11">
        <f>VLOOKUP(A510,[1]Sheet1!$A:$G,6,FALSE)</f>
        <v>4</v>
      </c>
      <c r="V510" s="18">
        <f>VLOOKUP(A510,[1]Sheet1!$A:$G,7,FALSE)</f>
        <v>5</v>
      </c>
    </row>
    <row r="511" spans="1:22" s="13" customFormat="1" ht="30" customHeight="1">
      <c r="A511" s="17">
        <v>507</v>
      </c>
      <c r="B511" s="14">
        <v>40566</v>
      </c>
      <c r="C511" s="8" t="str">
        <f t="shared" si="24"/>
        <v>Sunday</v>
      </c>
      <c r="D511" s="9">
        <v>1</v>
      </c>
      <c r="E511" s="9">
        <v>0</v>
      </c>
      <c r="F511" s="9">
        <v>1</v>
      </c>
      <c r="G511" s="7">
        <v>5</v>
      </c>
      <c r="H511" s="9" t="b">
        <v>0</v>
      </c>
      <c r="I511" s="9">
        <v>0</v>
      </c>
      <c r="J511" s="38" t="str">
        <f>CHOOSE(Table1[[#This Row],[Weekday]]+1,"Sunday","Monday","Tuesday","Wednesday","Thursday","Friday","Saturday")</f>
        <v>Sunday</v>
      </c>
      <c r="K511" s="9">
        <v>2</v>
      </c>
      <c r="L511" s="38" t="str">
        <f>IF(Table1[[#This Row],[Weather_code]]=1,"Clear",IF(Table1[[#This Row],[Weather_code]]=2,"Cloudy",IF(Table1[[#This Row],[Weather_code]]=3,"Light Rain",IF(Table1[[#This Row],[Weather_code]]=4,"Heavy Rain"))))</f>
        <v>Cloudy</v>
      </c>
      <c r="M511" s="10">
        <v>0.04</v>
      </c>
      <c r="N511" s="11" t="str">
        <f t="shared" si="22"/>
        <v>Winter</v>
      </c>
      <c r="O511" s="11" t="str">
        <f t="shared" si="23"/>
        <v>Weekend</v>
      </c>
      <c r="P511" s="11">
        <f>VLOOKUP(A511,[1]Sheet1!$A:$H,2, FALSE)</f>
        <v>7.5800000000000006E-2</v>
      </c>
      <c r="Q511" s="40">
        <f>Table1[[#This Row],[A_Temperature]]*41</f>
        <v>3.1078000000000001</v>
      </c>
      <c r="R511" s="11">
        <f>VLOOKUP(A511,[1]Sheet1!$A:$G,3,FALSE)</f>
        <v>0.56999999999999995</v>
      </c>
      <c r="S511" s="11">
        <f>VLOOKUP(A511,[1]Sheet1!$A:$G,4,FALSE)</f>
        <v>0.1045</v>
      </c>
      <c r="T511" s="11">
        <f>VLOOKUP(A511,[1]Sheet1!$A:$G,5,FALSE)</f>
        <v>0</v>
      </c>
      <c r="U511" s="11">
        <f>VLOOKUP(A511,[1]Sheet1!$A:$G,6,FALSE)</f>
        <v>3</v>
      </c>
      <c r="V511" s="18">
        <f>VLOOKUP(A511,[1]Sheet1!$A:$G,7,FALSE)</f>
        <v>3</v>
      </c>
    </row>
    <row r="512" spans="1:22" s="13" customFormat="1" ht="30" customHeight="1">
      <c r="A512" s="17">
        <v>508</v>
      </c>
      <c r="B512" s="14">
        <v>40566</v>
      </c>
      <c r="C512" s="8" t="str">
        <f t="shared" si="24"/>
        <v>Sunday</v>
      </c>
      <c r="D512" s="9">
        <v>1</v>
      </c>
      <c r="E512" s="9">
        <v>0</v>
      </c>
      <c r="F512" s="9">
        <v>1</v>
      </c>
      <c r="G512" s="7">
        <v>6</v>
      </c>
      <c r="H512" s="9" t="b">
        <v>0</v>
      </c>
      <c r="I512" s="9">
        <v>0</v>
      </c>
      <c r="J512" s="38" t="str">
        <f>CHOOSE(Table1[[#This Row],[Weekday]]+1,"Sunday","Monday","Tuesday","Wednesday","Thursday","Friday","Saturday")</f>
        <v>Sunday</v>
      </c>
      <c r="K512" s="9">
        <v>2</v>
      </c>
      <c r="L512" s="38" t="str">
        <f>IF(Table1[[#This Row],[Weather_code]]=1,"Clear",IF(Table1[[#This Row],[Weather_code]]=2,"Cloudy",IF(Table1[[#This Row],[Weather_code]]=3,"Light Rain",IF(Table1[[#This Row],[Weather_code]]=4,"Heavy Rain"))))</f>
        <v>Cloudy</v>
      </c>
      <c r="M512" s="10">
        <v>0.04</v>
      </c>
      <c r="N512" s="11" t="str">
        <f t="shared" si="22"/>
        <v>Winter</v>
      </c>
      <c r="O512" s="11" t="str">
        <f t="shared" si="23"/>
        <v>Weekend</v>
      </c>
      <c r="P512" s="11">
        <f>VLOOKUP(A512,[1]Sheet1!$A:$H,2, FALSE)</f>
        <v>7.5800000000000006E-2</v>
      </c>
      <c r="Q512" s="40">
        <f>Table1[[#This Row],[A_Temperature]]*41</f>
        <v>3.1078000000000001</v>
      </c>
      <c r="R512" s="11">
        <f>VLOOKUP(A512,[1]Sheet1!$A:$G,3,FALSE)</f>
        <v>0.56999999999999995</v>
      </c>
      <c r="S512" s="11">
        <f>VLOOKUP(A512,[1]Sheet1!$A:$G,4,FALSE)</f>
        <v>0.1045</v>
      </c>
      <c r="T512" s="11">
        <f>VLOOKUP(A512,[1]Sheet1!$A:$G,5,FALSE)</f>
        <v>0</v>
      </c>
      <c r="U512" s="11">
        <f>VLOOKUP(A512,[1]Sheet1!$A:$G,6,FALSE)</f>
        <v>1</v>
      </c>
      <c r="V512" s="18">
        <f>VLOOKUP(A512,[1]Sheet1!$A:$G,7,FALSE)</f>
        <v>1</v>
      </c>
    </row>
    <row r="513" spans="1:22" s="13" customFormat="1" ht="30" customHeight="1">
      <c r="A513" s="17">
        <v>509</v>
      </c>
      <c r="B513" s="14">
        <v>40566</v>
      </c>
      <c r="C513" s="8" t="str">
        <f t="shared" si="24"/>
        <v>Sunday</v>
      </c>
      <c r="D513" s="9">
        <v>1</v>
      </c>
      <c r="E513" s="9">
        <v>0</v>
      </c>
      <c r="F513" s="9">
        <v>1</v>
      </c>
      <c r="G513" s="7">
        <v>7</v>
      </c>
      <c r="H513" s="9" t="b">
        <v>0</v>
      </c>
      <c r="I513" s="9">
        <v>0</v>
      </c>
      <c r="J513" s="38" t="str">
        <f>CHOOSE(Table1[[#This Row],[Weekday]]+1,"Sunday","Monday","Tuesday","Wednesday","Thursday","Friday","Saturday")</f>
        <v>Sunday</v>
      </c>
      <c r="K513" s="9">
        <v>1</v>
      </c>
      <c r="L513" s="38" t="str">
        <f>IF(Table1[[#This Row],[Weather_code]]=1,"Clear",IF(Table1[[#This Row],[Weather_code]]=2,"Cloudy",IF(Table1[[#This Row],[Weather_code]]=3,"Light Rain",IF(Table1[[#This Row],[Weather_code]]=4,"Heavy Rain"))))</f>
        <v>Clear</v>
      </c>
      <c r="M513" s="10">
        <v>0.08</v>
      </c>
      <c r="N513" s="11" t="str">
        <f t="shared" si="22"/>
        <v>Winter</v>
      </c>
      <c r="O513" s="11" t="str">
        <f t="shared" si="23"/>
        <v>Weekend</v>
      </c>
      <c r="P513" s="11">
        <f>VLOOKUP(A513,[1]Sheet1!$A:$H,2, FALSE)</f>
        <v>0.1061</v>
      </c>
      <c r="Q513" s="40">
        <f>Table1[[#This Row],[A_Temperature]]*41</f>
        <v>4.3501000000000003</v>
      </c>
      <c r="R513" s="11">
        <f>VLOOKUP(A513,[1]Sheet1!$A:$G,3,FALSE)</f>
        <v>0.57999999999999996</v>
      </c>
      <c r="S513" s="11">
        <f>VLOOKUP(A513,[1]Sheet1!$A:$G,4,FALSE)</f>
        <v>0.16420000000000001</v>
      </c>
      <c r="T513" s="11">
        <f>VLOOKUP(A513,[1]Sheet1!$A:$G,5,FALSE)</f>
        <v>1</v>
      </c>
      <c r="U513" s="11">
        <f>VLOOKUP(A513,[1]Sheet1!$A:$G,6,FALSE)</f>
        <v>1</v>
      </c>
      <c r="V513" s="18">
        <f>VLOOKUP(A513,[1]Sheet1!$A:$G,7,FALSE)</f>
        <v>2</v>
      </c>
    </row>
    <row r="514" spans="1:22" s="13" customFormat="1" ht="30" customHeight="1">
      <c r="A514" s="17">
        <v>510</v>
      </c>
      <c r="B514" s="14">
        <v>40566</v>
      </c>
      <c r="C514" s="8" t="str">
        <f t="shared" si="24"/>
        <v>Sunday</v>
      </c>
      <c r="D514" s="9">
        <v>1</v>
      </c>
      <c r="E514" s="9">
        <v>0</v>
      </c>
      <c r="F514" s="9">
        <v>1</v>
      </c>
      <c r="G514" s="7">
        <v>8</v>
      </c>
      <c r="H514" s="9" t="b">
        <v>0</v>
      </c>
      <c r="I514" s="9">
        <v>0</v>
      </c>
      <c r="J514" s="38" t="str">
        <f>CHOOSE(Table1[[#This Row],[Weekday]]+1,"Sunday","Monday","Tuesday","Wednesday","Thursday","Friday","Saturday")</f>
        <v>Sunday</v>
      </c>
      <c r="K514" s="9">
        <v>1</v>
      </c>
      <c r="L514" s="38" t="str">
        <f>IF(Table1[[#This Row],[Weather_code]]=1,"Clear",IF(Table1[[#This Row],[Weather_code]]=2,"Cloudy",IF(Table1[[#This Row],[Weather_code]]=3,"Light Rain",IF(Table1[[#This Row],[Weather_code]]=4,"Heavy Rain"))))</f>
        <v>Clear</v>
      </c>
      <c r="M514" s="10">
        <v>0.06</v>
      </c>
      <c r="N514" s="11" t="str">
        <f t="shared" si="22"/>
        <v>Winter</v>
      </c>
      <c r="O514" s="11" t="str">
        <f t="shared" si="23"/>
        <v>Weekend</v>
      </c>
      <c r="P514" s="11">
        <f>VLOOKUP(A514,[1]Sheet1!$A:$H,2, FALSE)</f>
        <v>7.5800000000000006E-2</v>
      </c>
      <c r="Q514" s="40">
        <f>Table1[[#This Row],[A_Temperature]]*41</f>
        <v>3.1078000000000001</v>
      </c>
      <c r="R514" s="11">
        <f>VLOOKUP(A514,[1]Sheet1!$A:$G,3,FALSE)</f>
        <v>0.62</v>
      </c>
      <c r="S514" s="11">
        <f>VLOOKUP(A514,[1]Sheet1!$A:$G,4,FALSE)</f>
        <v>0.16420000000000001</v>
      </c>
      <c r="T514" s="11">
        <f>VLOOKUP(A514,[1]Sheet1!$A:$G,5,FALSE)</f>
        <v>2</v>
      </c>
      <c r="U514" s="11">
        <f>VLOOKUP(A514,[1]Sheet1!$A:$G,6,FALSE)</f>
        <v>17</v>
      </c>
      <c r="V514" s="18">
        <f>VLOOKUP(A514,[1]Sheet1!$A:$G,7,FALSE)</f>
        <v>19</v>
      </c>
    </row>
    <row r="515" spans="1:22" s="13" customFormat="1" ht="30" customHeight="1">
      <c r="A515" s="17">
        <v>511</v>
      </c>
      <c r="B515" s="14">
        <v>40566</v>
      </c>
      <c r="C515" s="8" t="str">
        <f t="shared" si="24"/>
        <v>Sunday</v>
      </c>
      <c r="D515" s="9">
        <v>1</v>
      </c>
      <c r="E515" s="9">
        <v>0</v>
      </c>
      <c r="F515" s="9">
        <v>1</v>
      </c>
      <c r="G515" s="7">
        <v>9</v>
      </c>
      <c r="H515" s="9" t="b">
        <v>0</v>
      </c>
      <c r="I515" s="9">
        <v>0</v>
      </c>
      <c r="J515" s="38" t="str">
        <f>CHOOSE(Table1[[#This Row],[Weekday]]+1,"Sunday","Monday","Tuesday","Wednesday","Thursday","Friday","Saturday")</f>
        <v>Sunday</v>
      </c>
      <c r="K515" s="9">
        <v>1</v>
      </c>
      <c r="L515" s="38" t="str">
        <f>IF(Table1[[#This Row],[Weather_code]]=1,"Clear",IF(Table1[[#This Row],[Weather_code]]=2,"Cloudy",IF(Table1[[#This Row],[Weather_code]]=3,"Light Rain",IF(Table1[[#This Row],[Weather_code]]=4,"Heavy Rain"))))</f>
        <v>Clear</v>
      </c>
      <c r="M515" s="10">
        <v>0.1</v>
      </c>
      <c r="N515" s="11" t="str">
        <f t="shared" si="22"/>
        <v>Winter</v>
      </c>
      <c r="O515" s="11" t="str">
        <f t="shared" si="23"/>
        <v>Weekend</v>
      </c>
      <c r="P515" s="11">
        <f>VLOOKUP(A515,[1]Sheet1!$A:$H,2, FALSE)</f>
        <v>7.5800000000000006E-2</v>
      </c>
      <c r="Q515" s="40">
        <f>Table1[[#This Row],[A_Temperature]]*41</f>
        <v>3.1078000000000001</v>
      </c>
      <c r="R515" s="11">
        <f>VLOOKUP(A515,[1]Sheet1!$A:$G,3,FALSE)</f>
        <v>0.54</v>
      </c>
      <c r="S515" s="11">
        <f>VLOOKUP(A515,[1]Sheet1!$A:$G,4,FALSE)</f>
        <v>0.35820000000000002</v>
      </c>
      <c r="T515" s="11">
        <f>VLOOKUP(A515,[1]Sheet1!$A:$G,5,FALSE)</f>
        <v>3</v>
      </c>
      <c r="U515" s="11">
        <f>VLOOKUP(A515,[1]Sheet1!$A:$G,6,FALSE)</f>
        <v>25</v>
      </c>
      <c r="V515" s="18">
        <f>VLOOKUP(A515,[1]Sheet1!$A:$G,7,FALSE)</f>
        <v>28</v>
      </c>
    </row>
    <row r="516" spans="1:22" s="13" customFormat="1" ht="30" customHeight="1">
      <c r="A516" s="17">
        <v>512</v>
      </c>
      <c r="B516" s="14">
        <v>40566</v>
      </c>
      <c r="C516" s="8" t="str">
        <f t="shared" si="24"/>
        <v>Sunday</v>
      </c>
      <c r="D516" s="9">
        <v>1</v>
      </c>
      <c r="E516" s="9">
        <v>0</v>
      </c>
      <c r="F516" s="9">
        <v>1</v>
      </c>
      <c r="G516" s="7">
        <v>10</v>
      </c>
      <c r="H516" s="9" t="b">
        <v>0</v>
      </c>
      <c r="I516" s="9">
        <v>0</v>
      </c>
      <c r="J516" s="38" t="str">
        <f>CHOOSE(Table1[[#This Row],[Weekday]]+1,"Sunday","Monday","Tuesday","Wednesday","Thursday","Friday","Saturday")</f>
        <v>Sunday</v>
      </c>
      <c r="K516" s="9">
        <v>1</v>
      </c>
      <c r="L516" s="38" t="str">
        <f>IF(Table1[[#This Row],[Weather_code]]=1,"Clear",IF(Table1[[#This Row],[Weather_code]]=2,"Cloudy",IF(Table1[[#This Row],[Weather_code]]=3,"Light Rain",IF(Table1[[#This Row],[Weather_code]]=4,"Heavy Rain"))))</f>
        <v>Clear</v>
      </c>
      <c r="M516" s="10">
        <v>0.14000000000000001</v>
      </c>
      <c r="N516" s="11" t="str">
        <f t="shared" si="22"/>
        <v>Winter</v>
      </c>
      <c r="O516" s="11" t="str">
        <f t="shared" si="23"/>
        <v>Weekend</v>
      </c>
      <c r="P516" s="11">
        <f>VLOOKUP(A516,[1]Sheet1!$A:$H,2, FALSE)</f>
        <v>0.1061</v>
      </c>
      <c r="Q516" s="40">
        <f>Table1[[#This Row],[A_Temperature]]*41</f>
        <v>4.3501000000000003</v>
      </c>
      <c r="R516" s="11">
        <f>VLOOKUP(A516,[1]Sheet1!$A:$G,3,FALSE)</f>
        <v>0.46</v>
      </c>
      <c r="S516" s="11">
        <f>VLOOKUP(A516,[1]Sheet1!$A:$G,4,FALSE)</f>
        <v>0.3881</v>
      </c>
      <c r="T516" s="11">
        <f>VLOOKUP(A516,[1]Sheet1!$A:$G,5,FALSE)</f>
        <v>7</v>
      </c>
      <c r="U516" s="11">
        <f>VLOOKUP(A516,[1]Sheet1!$A:$G,6,FALSE)</f>
        <v>51</v>
      </c>
      <c r="V516" s="18">
        <f>VLOOKUP(A516,[1]Sheet1!$A:$G,7,FALSE)</f>
        <v>58</v>
      </c>
    </row>
    <row r="517" spans="1:22" s="13" customFormat="1" ht="30" customHeight="1">
      <c r="A517" s="17">
        <v>513</v>
      </c>
      <c r="B517" s="14">
        <v>40566</v>
      </c>
      <c r="C517" s="8" t="str">
        <f t="shared" si="24"/>
        <v>Sunday</v>
      </c>
      <c r="D517" s="9">
        <v>1</v>
      </c>
      <c r="E517" s="9">
        <v>0</v>
      </c>
      <c r="F517" s="9">
        <v>1</v>
      </c>
      <c r="G517" s="7">
        <v>11</v>
      </c>
      <c r="H517" s="9" t="b">
        <v>0</v>
      </c>
      <c r="I517" s="9">
        <v>0</v>
      </c>
      <c r="J517" s="38" t="str">
        <f>CHOOSE(Table1[[#This Row],[Weekday]]+1,"Sunday","Monday","Tuesday","Wednesday","Thursday","Friday","Saturday")</f>
        <v>Sunday</v>
      </c>
      <c r="K517" s="9">
        <v>1</v>
      </c>
      <c r="L517" s="38" t="str">
        <f>IF(Table1[[#This Row],[Weather_code]]=1,"Clear",IF(Table1[[#This Row],[Weather_code]]=2,"Cloudy",IF(Table1[[#This Row],[Weather_code]]=3,"Light Rain",IF(Table1[[#This Row],[Weather_code]]=4,"Heavy Rain"))))</f>
        <v>Clear</v>
      </c>
      <c r="M517" s="10">
        <v>0.14000000000000001</v>
      </c>
      <c r="N517" s="11" t="str">
        <f t="shared" si="22"/>
        <v>Winter</v>
      </c>
      <c r="O517" s="11" t="str">
        <f t="shared" si="23"/>
        <v>Weekend</v>
      </c>
      <c r="P517" s="11">
        <f>VLOOKUP(A517,[1]Sheet1!$A:$H,2, FALSE)</f>
        <v>0.13639999999999999</v>
      </c>
      <c r="Q517" s="40">
        <f>Table1[[#This Row],[A_Temperature]]*41</f>
        <v>5.5923999999999996</v>
      </c>
      <c r="R517" s="11">
        <f>VLOOKUP(A517,[1]Sheet1!$A:$G,3,FALSE)</f>
        <v>0.43</v>
      </c>
      <c r="S517" s="11">
        <f>VLOOKUP(A517,[1]Sheet1!$A:$G,4,FALSE)</f>
        <v>0.22389999999999999</v>
      </c>
      <c r="T517" s="11">
        <f>VLOOKUP(A517,[1]Sheet1!$A:$G,5,FALSE)</f>
        <v>22</v>
      </c>
      <c r="U517" s="11">
        <f>VLOOKUP(A517,[1]Sheet1!$A:$G,6,FALSE)</f>
        <v>77</v>
      </c>
      <c r="V517" s="18">
        <f>VLOOKUP(A517,[1]Sheet1!$A:$G,7,FALSE)</f>
        <v>99</v>
      </c>
    </row>
    <row r="518" spans="1:22" s="13" customFormat="1" ht="30" customHeight="1">
      <c r="A518" s="17">
        <v>514</v>
      </c>
      <c r="B518" s="14">
        <v>40566</v>
      </c>
      <c r="C518" s="8" t="str">
        <f t="shared" si="24"/>
        <v>Sunday</v>
      </c>
      <c r="D518" s="9">
        <v>1</v>
      </c>
      <c r="E518" s="9">
        <v>0</v>
      </c>
      <c r="F518" s="9">
        <v>1</v>
      </c>
      <c r="G518" s="7">
        <v>12</v>
      </c>
      <c r="H518" s="9" t="b">
        <v>0</v>
      </c>
      <c r="I518" s="9">
        <v>0</v>
      </c>
      <c r="J518" s="38" t="str">
        <f>CHOOSE(Table1[[#This Row],[Weekday]]+1,"Sunday","Monday","Tuesday","Wednesday","Thursday","Friday","Saturday")</f>
        <v>Sunday</v>
      </c>
      <c r="K518" s="9">
        <v>1</v>
      </c>
      <c r="L518" s="38" t="str">
        <f>IF(Table1[[#This Row],[Weather_code]]=1,"Clear",IF(Table1[[#This Row],[Weather_code]]=2,"Cloudy",IF(Table1[[#This Row],[Weather_code]]=3,"Light Rain",IF(Table1[[#This Row],[Weather_code]]=4,"Heavy Rain"))))</f>
        <v>Clear</v>
      </c>
      <c r="M518" s="10">
        <v>0.16</v>
      </c>
      <c r="N518" s="11" t="str">
        <f t="shared" ref="N518:N581" si="25">CHOOSE(D518,"Winter","Spring","Summer","Fall")</f>
        <v>Winter</v>
      </c>
      <c r="O518" s="11" t="str">
        <f t="shared" ref="O518:O581" si="26">IF(OR(WEEKDAY(B518,2)=6,WEEKDAY(B518,2)=7),"Weekend","Weekday")</f>
        <v>Weekend</v>
      </c>
      <c r="P518" s="11">
        <f>VLOOKUP(A518,[1]Sheet1!$A:$H,2, FALSE)</f>
        <v>0.1212</v>
      </c>
      <c r="Q518" s="40">
        <f>Table1[[#This Row],[A_Temperature]]*41</f>
        <v>4.9691999999999998</v>
      </c>
      <c r="R518" s="11">
        <f>VLOOKUP(A518,[1]Sheet1!$A:$G,3,FALSE)</f>
        <v>0.37</v>
      </c>
      <c r="S518" s="11">
        <f>VLOOKUP(A518,[1]Sheet1!$A:$G,4,FALSE)</f>
        <v>0.4627</v>
      </c>
      <c r="T518" s="11">
        <f>VLOOKUP(A518,[1]Sheet1!$A:$G,5,FALSE)</f>
        <v>24</v>
      </c>
      <c r="U518" s="11">
        <f>VLOOKUP(A518,[1]Sheet1!$A:$G,6,FALSE)</f>
        <v>92</v>
      </c>
      <c r="V518" s="18">
        <f>VLOOKUP(A518,[1]Sheet1!$A:$G,7,FALSE)</f>
        <v>116</v>
      </c>
    </row>
    <row r="519" spans="1:22" s="13" customFormat="1" ht="30" customHeight="1">
      <c r="A519" s="17">
        <v>515</v>
      </c>
      <c r="B519" s="14">
        <v>40566</v>
      </c>
      <c r="C519" s="8" t="str">
        <f t="shared" si="24"/>
        <v>Sunday</v>
      </c>
      <c r="D519" s="9">
        <v>1</v>
      </c>
      <c r="E519" s="9">
        <v>0</v>
      </c>
      <c r="F519" s="9">
        <v>1</v>
      </c>
      <c r="G519" s="7">
        <v>13</v>
      </c>
      <c r="H519" s="9" t="b">
        <v>0</v>
      </c>
      <c r="I519" s="9">
        <v>0</v>
      </c>
      <c r="J519" s="38" t="str">
        <f>CHOOSE(Table1[[#This Row],[Weekday]]+1,"Sunday","Monday","Tuesday","Wednesday","Thursday","Friday","Saturday")</f>
        <v>Sunday</v>
      </c>
      <c r="K519" s="9">
        <v>1</v>
      </c>
      <c r="L519" s="38" t="str">
        <f>IF(Table1[[#This Row],[Weather_code]]=1,"Clear",IF(Table1[[#This Row],[Weather_code]]=2,"Cloudy",IF(Table1[[#This Row],[Weather_code]]=3,"Light Rain",IF(Table1[[#This Row],[Weather_code]]=4,"Heavy Rain"))))</f>
        <v>Clear</v>
      </c>
      <c r="M519" s="10">
        <v>0.14000000000000001</v>
      </c>
      <c r="N519" s="11" t="str">
        <f t="shared" si="25"/>
        <v>Winter</v>
      </c>
      <c r="O519" s="11" t="str">
        <f t="shared" si="26"/>
        <v>Weekend</v>
      </c>
      <c r="P519" s="11">
        <f>VLOOKUP(A519,[1]Sheet1!$A:$H,2, FALSE)</f>
        <v>0.1061</v>
      </c>
      <c r="Q519" s="40">
        <f>Table1[[#This Row],[A_Temperature]]*41</f>
        <v>4.3501000000000003</v>
      </c>
      <c r="R519" s="11">
        <f>VLOOKUP(A519,[1]Sheet1!$A:$G,3,FALSE)</f>
        <v>0.33</v>
      </c>
      <c r="S519" s="11">
        <f>VLOOKUP(A519,[1]Sheet1!$A:$G,4,FALSE)</f>
        <v>0.3881</v>
      </c>
      <c r="T519" s="11">
        <f>VLOOKUP(A519,[1]Sheet1!$A:$G,5,FALSE)</f>
        <v>12</v>
      </c>
      <c r="U519" s="11">
        <f>VLOOKUP(A519,[1]Sheet1!$A:$G,6,FALSE)</f>
        <v>75</v>
      </c>
      <c r="V519" s="18">
        <f>VLOOKUP(A519,[1]Sheet1!$A:$G,7,FALSE)</f>
        <v>87</v>
      </c>
    </row>
    <row r="520" spans="1:22" s="13" customFormat="1" ht="30" customHeight="1">
      <c r="A520" s="17">
        <v>516</v>
      </c>
      <c r="B520" s="14">
        <v>40566</v>
      </c>
      <c r="C520" s="8" t="str">
        <f t="shared" si="24"/>
        <v>Sunday</v>
      </c>
      <c r="D520" s="9">
        <v>1</v>
      </c>
      <c r="E520" s="9">
        <v>0</v>
      </c>
      <c r="F520" s="9">
        <v>1</v>
      </c>
      <c r="G520" s="7">
        <v>14</v>
      </c>
      <c r="H520" s="9" t="b">
        <v>0</v>
      </c>
      <c r="I520" s="9">
        <v>0</v>
      </c>
      <c r="J520" s="38" t="str">
        <f>CHOOSE(Table1[[#This Row],[Weekday]]+1,"Sunday","Monday","Tuesday","Wednesday","Thursday","Friday","Saturday")</f>
        <v>Sunday</v>
      </c>
      <c r="K520" s="9">
        <v>1</v>
      </c>
      <c r="L520" s="38" t="str">
        <f>IF(Table1[[#This Row],[Weather_code]]=1,"Clear",IF(Table1[[#This Row],[Weather_code]]=2,"Cloudy",IF(Table1[[#This Row],[Weather_code]]=3,"Light Rain",IF(Table1[[#This Row],[Weather_code]]=4,"Heavy Rain"))))</f>
        <v>Clear</v>
      </c>
      <c r="M520" s="10">
        <v>0.16</v>
      </c>
      <c r="N520" s="11" t="str">
        <f t="shared" si="25"/>
        <v>Winter</v>
      </c>
      <c r="O520" s="11" t="str">
        <f t="shared" si="26"/>
        <v>Weekend</v>
      </c>
      <c r="P520" s="11">
        <f>VLOOKUP(A520,[1]Sheet1!$A:$H,2, FALSE)</f>
        <v>0.13639999999999999</v>
      </c>
      <c r="Q520" s="40">
        <f>Table1[[#This Row],[A_Temperature]]*41</f>
        <v>5.5923999999999996</v>
      </c>
      <c r="R520" s="11">
        <f>VLOOKUP(A520,[1]Sheet1!$A:$G,3,FALSE)</f>
        <v>0.28000000000000003</v>
      </c>
      <c r="S520" s="11">
        <f>VLOOKUP(A520,[1]Sheet1!$A:$G,4,FALSE)</f>
        <v>0.35820000000000002</v>
      </c>
      <c r="T520" s="11">
        <f>VLOOKUP(A520,[1]Sheet1!$A:$G,5,FALSE)</f>
        <v>17</v>
      </c>
      <c r="U520" s="11">
        <f>VLOOKUP(A520,[1]Sheet1!$A:$G,6,FALSE)</f>
        <v>93</v>
      </c>
      <c r="V520" s="18">
        <f>VLOOKUP(A520,[1]Sheet1!$A:$G,7,FALSE)</f>
        <v>110</v>
      </c>
    </row>
    <row r="521" spans="1:22" s="13" customFormat="1" ht="30" customHeight="1">
      <c r="A521" s="17">
        <v>517</v>
      </c>
      <c r="B521" s="14">
        <v>40566</v>
      </c>
      <c r="C521" s="8" t="str">
        <f t="shared" si="24"/>
        <v>Sunday</v>
      </c>
      <c r="D521" s="9">
        <v>1</v>
      </c>
      <c r="E521" s="9">
        <v>0</v>
      </c>
      <c r="F521" s="9">
        <v>1</v>
      </c>
      <c r="G521" s="7">
        <v>15</v>
      </c>
      <c r="H521" s="9" t="b">
        <v>0</v>
      </c>
      <c r="I521" s="9">
        <v>0</v>
      </c>
      <c r="J521" s="38" t="str">
        <f>CHOOSE(Table1[[#This Row],[Weekday]]+1,"Sunday","Monday","Tuesday","Wednesday","Thursday","Friday","Saturday")</f>
        <v>Sunday</v>
      </c>
      <c r="K521" s="9">
        <v>1</v>
      </c>
      <c r="L521" s="38" t="str">
        <f>IF(Table1[[#This Row],[Weather_code]]=1,"Clear",IF(Table1[[#This Row],[Weather_code]]=2,"Cloudy",IF(Table1[[#This Row],[Weather_code]]=3,"Light Rain",IF(Table1[[#This Row],[Weather_code]]=4,"Heavy Rain"))))</f>
        <v>Clear</v>
      </c>
      <c r="M521" s="10">
        <v>0.16</v>
      </c>
      <c r="N521" s="11" t="str">
        <f t="shared" si="25"/>
        <v>Winter</v>
      </c>
      <c r="O521" s="11" t="str">
        <f t="shared" si="26"/>
        <v>Weekend</v>
      </c>
      <c r="P521" s="11">
        <f>VLOOKUP(A521,[1]Sheet1!$A:$H,2, FALSE)</f>
        <v>0.13639999999999999</v>
      </c>
      <c r="Q521" s="40">
        <f>Table1[[#This Row],[A_Temperature]]*41</f>
        <v>5.5923999999999996</v>
      </c>
      <c r="R521" s="11">
        <f>VLOOKUP(A521,[1]Sheet1!$A:$G,3,FALSE)</f>
        <v>0.28000000000000003</v>
      </c>
      <c r="S521" s="11">
        <f>VLOOKUP(A521,[1]Sheet1!$A:$G,4,FALSE)</f>
        <v>0.35820000000000002</v>
      </c>
      <c r="T521" s="11">
        <f>VLOOKUP(A521,[1]Sheet1!$A:$G,5,FALSE)</f>
        <v>13</v>
      </c>
      <c r="U521" s="11">
        <f>VLOOKUP(A521,[1]Sheet1!$A:$G,6,FALSE)</f>
        <v>64</v>
      </c>
      <c r="V521" s="18">
        <f>VLOOKUP(A521,[1]Sheet1!$A:$G,7,FALSE)</f>
        <v>77</v>
      </c>
    </row>
    <row r="522" spans="1:22" s="13" customFormat="1" ht="30" customHeight="1">
      <c r="A522" s="17">
        <v>518</v>
      </c>
      <c r="B522" s="14">
        <v>40566</v>
      </c>
      <c r="C522" s="8" t="str">
        <f t="shared" si="24"/>
        <v>Sunday</v>
      </c>
      <c r="D522" s="9">
        <v>1</v>
      </c>
      <c r="E522" s="9">
        <v>0</v>
      </c>
      <c r="F522" s="9">
        <v>1</v>
      </c>
      <c r="G522" s="7">
        <v>16</v>
      </c>
      <c r="H522" s="9" t="b">
        <v>0</v>
      </c>
      <c r="I522" s="9">
        <v>0</v>
      </c>
      <c r="J522" s="38" t="str">
        <f>CHOOSE(Table1[[#This Row],[Weekday]]+1,"Sunday","Monday","Tuesday","Wednesday","Thursday","Friday","Saturday")</f>
        <v>Sunday</v>
      </c>
      <c r="K522" s="9">
        <v>1</v>
      </c>
      <c r="L522" s="38" t="str">
        <f>IF(Table1[[#This Row],[Weather_code]]=1,"Clear",IF(Table1[[#This Row],[Weather_code]]=2,"Cloudy",IF(Table1[[#This Row],[Weather_code]]=3,"Light Rain",IF(Table1[[#This Row],[Weather_code]]=4,"Heavy Rain"))))</f>
        <v>Clear</v>
      </c>
      <c r="M522" s="10">
        <v>0.16</v>
      </c>
      <c r="N522" s="11" t="str">
        <f t="shared" si="25"/>
        <v>Winter</v>
      </c>
      <c r="O522" s="11" t="str">
        <f t="shared" si="26"/>
        <v>Weekend</v>
      </c>
      <c r="P522" s="11">
        <f>VLOOKUP(A522,[1]Sheet1!$A:$H,2, FALSE)</f>
        <v>0.13639999999999999</v>
      </c>
      <c r="Q522" s="40">
        <f>Table1[[#This Row],[A_Temperature]]*41</f>
        <v>5.5923999999999996</v>
      </c>
      <c r="R522" s="11">
        <f>VLOOKUP(A522,[1]Sheet1!$A:$G,3,FALSE)</f>
        <v>0.26</v>
      </c>
      <c r="S522" s="11">
        <f>VLOOKUP(A522,[1]Sheet1!$A:$G,4,FALSE)</f>
        <v>0.32840000000000003</v>
      </c>
      <c r="T522" s="11">
        <f>VLOOKUP(A522,[1]Sheet1!$A:$G,5,FALSE)</f>
        <v>9</v>
      </c>
      <c r="U522" s="11">
        <f>VLOOKUP(A522,[1]Sheet1!$A:$G,6,FALSE)</f>
        <v>56</v>
      </c>
      <c r="V522" s="18">
        <f>VLOOKUP(A522,[1]Sheet1!$A:$G,7,FALSE)</f>
        <v>65</v>
      </c>
    </row>
    <row r="523" spans="1:22" s="13" customFormat="1" ht="30" customHeight="1">
      <c r="A523" s="17">
        <v>519</v>
      </c>
      <c r="B523" s="14">
        <v>40566</v>
      </c>
      <c r="C523" s="8" t="str">
        <f t="shared" si="24"/>
        <v>Sunday</v>
      </c>
      <c r="D523" s="9">
        <v>1</v>
      </c>
      <c r="E523" s="9">
        <v>0</v>
      </c>
      <c r="F523" s="9">
        <v>1</v>
      </c>
      <c r="G523" s="7">
        <v>17</v>
      </c>
      <c r="H523" s="9" t="b">
        <v>0</v>
      </c>
      <c r="I523" s="9">
        <v>0</v>
      </c>
      <c r="J523" s="38" t="str">
        <f>CHOOSE(Table1[[#This Row],[Weekday]]+1,"Sunday","Monday","Tuesday","Wednesday","Thursday","Friday","Saturday")</f>
        <v>Sunday</v>
      </c>
      <c r="K523" s="9">
        <v>1</v>
      </c>
      <c r="L523" s="38" t="str">
        <f>IF(Table1[[#This Row],[Weather_code]]=1,"Clear",IF(Table1[[#This Row],[Weather_code]]=2,"Cloudy",IF(Table1[[#This Row],[Weather_code]]=3,"Light Rain",IF(Table1[[#This Row],[Weather_code]]=4,"Heavy Rain"))))</f>
        <v>Clear</v>
      </c>
      <c r="M523" s="10">
        <v>0.14000000000000001</v>
      </c>
      <c r="N523" s="11" t="str">
        <f t="shared" si="25"/>
        <v>Winter</v>
      </c>
      <c r="O523" s="11" t="str">
        <f t="shared" si="26"/>
        <v>Weekend</v>
      </c>
      <c r="P523" s="11">
        <f>VLOOKUP(A523,[1]Sheet1!$A:$H,2, FALSE)</f>
        <v>0.1061</v>
      </c>
      <c r="Q523" s="40">
        <f>Table1[[#This Row],[A_Temperature]]*41</f>
        <v>4.3501000000000003</v>
      </c>
      <c r="R523" s="11">
        <f>VLOOKUP(A523,[1]Sheet1!$A:$G,3,FALSE)</f>
        <v>0.26</v>
      </c>
      <c r="S523" s="11">
        <f>VLOOKUP(A523,[1]Sheet1!$A:$G,4,FALSE)</f>
        <v>0.3881</v>
      </c>
      <c r="T523" s="11">
        <f>VLOOKUP(A523,[1]Sheet1!$A:$G,5,FALSE)</f>
        <v>5</v>
      </c>
      <c r="U523" s="11">
        <f>VLOOKUP(A523,[1]Sheet1!$A:$G,6,FALSE)</f>
        <v>50</v>
      </c>
      <c r="V523" s="18">
        <f>VLOOKUP(A523,[1]Sheet1!$A:$G,7,FALSE)</f>
        <v>55</v>
      </c>
    </row>
    <row r="524" spans="1:22" s="13" customFormat="1" ht="30" customHeight="1">
      <c r="A524" s="17">
        <v>520</v>
      </c>
      <c r="B524" s="14">
        <v>40566</v>
      </c>
      <c r="C524" s="8" t="str">
        <f t="shared" si="24"/>
        <v>Sunday</v>
      </c>
      <c r="D524" s="9">
        <v>1</v>
      </c>
      <c r="E524" s="9">
        <v>0</v>
      </c>
      <c r="F524" s="9">
        <v>1</v>
      </c>
      <c r="G524" s="7">
        <v>18</v>
      </c>
      <c r="H524" s="9" t="b">
        <v>0</v>
      </c>
      <c r="I524" s="9">
        <v>0</v>
      </c>
      <c r="J524" s="38" t="str">
        <f>CHOOSE(Table1[[#This Row],[Weekday]]+1,"Sunday","Monday","Tuesday","Wednesday","Thursday","Friday","Saturday")</f>
        <v>Sunday</v>
      </c>
      <c r="K524" s="9">
        <v>1</v>
      </c>
      <c r="L524" s="38" t="str">
        <f>IF(Table1[[#This Row],[Weather_code]]=1,"Clear",IF(Table1[[#This Row],[Weather_code]]=2,"Cloudy",IF(Table1[[#This Row],[Weather_code]]=3,"Light Rain",IF(Table1[[#This Row],[Weather_code]]=4,"Heavy Rain"))))</f>
        <v>Clear</v>
      </c>
      <c r="M524" s="10">
        <v>0.12</v>
      </c>
      <c r="N524" s="11" t="str">
        <f t="shared" si="25"/>
        <v>Winter</v>
      </c>
      <c r="O524" s="11" t="str">
        <f t="shared" si="26"/>
        <v>Weekend</v>
      </c>
      <c r="P524" s="11">
        <f>VLOOKUP(A524,[1]Sheet1!$A:$H,2, FALSE)</f>
        <v>0.1212</v>
      </c>
      <c r="Q524" s="40">
        <f>Table1[[#This Row],[A_Temperature]]*41</f>
        <v>4.9691999999999998</v>
      </c>
      <c r="R524" s="11">
        <f>VLOOKUP(A524,[1]Sheet1!$A:$G,3,FALSE)</f>
        <v>0.3</v>
      </c>
      <c r="S524" s="11">
        <f>VLOOKUP(A524,[1]Sheet1!$A:$G,4,FALSE)</f>
        <v>0.25369999999999998</v>
      </c>
      <c r="T524" s="11">
        <f>VLOOKUP(A524,[1]Sheet1!$A:$G,5,FALSE)</f>
        <v>5</v>
      </c>
      <c r="U524" s="11">
        <f>VLOOKUP(A524,[1]Sheet1!$A:$G,6,FALSE)</f>
        <v>44</v>
      </c>
      <c r="V524" s="18">
        <f>VLOOKUP(A524,[1]Sheet1!$A:$G,7,FALSE)</f>
        <v>49</v>
      </c>
    </row>
    <row r="525" spans="1:22" s="13" customFormat="1" ht="30" customHeight="1">
      <c r="A525" s="17">
        <v>521</v>
      </c>
      <c r="B525" s="14">
        <v>40566</v>
      </c>
      <c r="C525" s="8" t="str">
        <f t="shared" si="24"/>
        <v>Sunday</v>
      </c>
      <c r="D525" s="9">
        <v>1</v>
      </c>
      <c r="E525" s="9">
        <v>0</v>
      </c>
      <c r="F525" s="9">
        <v>1</v>
      </c>
      <c r="G525" s="7">
        <v>19</v>
      </c>
      <c r="H525" s="9" t="b">
        <v>0</v>
      </c>
      <c r="I525" s="9">
        <v>0</v>
      </c>
      <c r="J525" s="38" t="str">
        <f>CHOOSE(Table1[[#This Row],[Weekday]]+1,"Sunday","Monday","Tuesday","Wednesday","Thursday","Friday","Saturday")</f>
        <v>Sunday</v>
      </c>
      <c r="K525" s="9">
        <v>1</v>
      </c>
      <c r="L525" s="38" t="str">
        <f>IF(Table1[[#This Row],[Weather_code]]=1,"Clear",IF(Table1[[#This Row],[Weather_code]]=2,"Cloudy",IF(Table1[[#This Row],[Weather_code]]=3,"Light Rain",IF(Table1[[#This Row],[Weather_code]]=4,"Heavy Rain"))))</f>
        <v>Clear</v>
      </c>
      <c r="M525" s="10">
        <v>0.12</v>
      </c>
      <c r="N525" s="11" t="str">
        <f t="shared" si="25"/>
        <v>Winter</v>
      </c>
      <c r="O525" s="11" t="str">
        <f t="shared" si="26"/>
        <v>Weekend</v>
      </c>
      <c r="P525" s="11">
        <f>VLOOKUP(A525,[1]Sheet1!$A:$H,2, FALSE)</f>
        <v>0.1212</v>
      </c>
      <c r="Q525" s="40">
        <f>Table1[[#This Row],[A_Temperature]]*41</f>
        <v>4.9691999999999998</v>
      </c>
      <c r="R525" s="11">
        <f>VLOOKUP(A525,[1]Sheet1!$A:$G,3,FALSE)</f>
        <v>0.3</v>
      </c>
      <c r="S525" s="11">
        <f>VLOOKUP(A525,[1]Sheet1!$A:$G,4,FALSE)</f>
        <v>0.28360000000000002</v>
      </c>
      <c r="T525" s="11">
        <f>VLOOKUP(A525,[1]Sheet1!$A:$G,5,FALSE)</f>
        <v>5</v>
      </c>
      <c r="U525" s="11">
        <f>VLOOKUP(A525,[1]Sheet1!$A:$G,6,FALSE)</f>
        <v>45</v>
      </c>
      <c r="V525" s="18">
        <f>VLOOKUP(A525,[1]Sheet1!$A:$G,7,FALSE)</f>
        <v>50</v>
      </c>
    </row>
    <row r="526" spans="1:22" s="13" customFormat="1" ht="30" customHeight="1">
      <c r="A526" s="17">
        <v>522</v>
      </c>
      <c r="B526" s="14">
        <v>40566</v>
      </c>
      <c r="C526" s="8" t="str">
        <f t="shared" si="24"/>
        <v>Sunday</v>
      </c>
      <c r="D526" s="9">
        <v>1</v>
      </c>
      <c r="E526" s="9">
        <v>0</v>
      </c>
      <c r="F526" s="9">
        <v>1</v>
      </c>
      <c r="G526" s="7">
        <v>20</v>
      </c>
      <c r="H526" s="9" t="b">
        <v>0</v>
      </c>
      <c r="I526" s="9">
        <v>0</v>
      </c>
      <c r="J526" s="38" t="str">
        <f>CHOOSE(Table1[[#This Row],[Weekday]]+1,"Sunday","Monday","Tuesday","Wednesday","Thursday","Friday","Saturday")</f>
        <v>Sunday</v>
      </c>
      <c r="K526" s="9">
        <v>1</v>
      </c>
      <c r="L526" s="38" t="str">
        <f>IF(Table1[[#This Row],[Weather_code]]=1,"Clear",IF(Table1[[#This Row],[Weather_code]]=2,"Cloudy",IF(Table1[[#This Row],[Weather_code]]=3,"Light Rain",IF(Table1[[#This Row],[Weather_code]]=4,"Heavy Rain"))))</f>
        <v>Clear</v>
      </c>
      <c r="M526" s="10">
        <v>0.1</v>
      </c>
      <c r="N526" s="11" t="str">
        <f t="shared" si="25"/>
        <v>Winter</v>
      </c>
      <c r="O526" s="11" t="str">
        <f t="shared" si="26"/>
        <v>Weekend</v>
      </c>
      <c r="P526" s="11">
        <f>VLOOKUP(A526,[1]Sheet1!$A:$H,2, FALSE)</f>
        <v>0.1061</v>
      </c>
      <c r="Q526" s="40">
        <f>Table1[[#This Row],[A_Temperature]]*41</f>
        <v>4.3501000000000003</v>
      </c>
      <c r="R526" s="11">
        <f>VLOOKUP(A526,[1]Sheet1!$A:$G,3,FALSE)</f>
        <v>0.36</v>
      </c>
      <c r="S526" s="11">
        <f>VLOOKUP(A526,[1]Sheet1!$A:$G,4,FALSE)</f>
        <v>0.25369999999999998</v>
      </c>
      <c r="T526" s="11">
        <f>VLOOKUP(A526,[1]Sheet1!$A:$G,5,FALSE)</f>
        <v>4</v>
      </c>
      <c r="U526" s="11">
        <f>VLOOKUP(A526,[1]Sheet1!$A:$G,6,FALSE)</f>
        <v>31</v>
      </c>
      <c r="V526" s="18">
        <f>VLOOKUP(A526,[1]Sheet1!$A:$G,7,FALSE)</f>
        <v>35</v>
      </c>
    </row>
    <row r="527" spans="1:22" s="13" customFormat="1" ht="30" customHeight="1">
      <c r="A527" s="17">
        <v>523</v>
      </c>
      <c r="B527" s="14">
        <v>40566</v>
      </c>
      <c r="C527" s="8" t="str">
        <f t="shared" si="24"/>
        <v>Sunday</v>
      </c>
      <c r="D527" s="9">
        <v>1</v>
      </c>
      <c r="E527" s="9">
        <v>0</v>
      </c>
      <c r="F527" s="9">
        <v>1</v>
      </c>
      <c r="G527" s="7">
        <v>21</v>
      </c>
      <c r="H527" s="9" t="b">
        <v>0</v>
      </c>
      <c r="I527" s="9">
        <v>0</v>
      </c>
      <c r="J527" s="38" t="str">
        <f>CHOOSE(Table1[[#This Row],[Weekday]]+1,"Sunday","Monday","Tuesday","Wednesday","Thursday","Friday","Saturday")</f>
        <v>Sunday</v>
      </c>
      <c r="K527" s="9">
        <v>1</v>
      </c>
      <c r="L527" s="38" t="str">
        <f>IF(Table1[[#This Row],[Weather_code]]=1,"Clear",IF(Table1[[#This Row],[Weather_code]]=2,"Cloudy",IF(Table1[[#This Row],[Weather_code]]=3,"Light Rain",IF(Table1[[#This Row],[Weather_code]]=4,"Heavy Rain"))))</f>
        <v>Clear</v>
      </c>
      <c r="M527" s="10">
        <v>0.1</v>
      </c>
      <c r="N527" s="11" t="str">
        <f t="shared" si="25"/>
        <v>Winter</v>
      </c>
      <c r="O527" s="11" t="str">
        <f t="shared" si="26"/>
        <v>Weekend</v>
      </c>
      <c r="P527" s="11">
        <f>VLOOKUP(A527,[1]Sheet1!$A:$H,2, FALSE)</f>
        <v>0.1061</v>
      </c>
      <c r="Q527" s="40">
        <f>Table1[[#This Row],[A_Temperature]]*41</f>
        <v>4.3501000000000003</v>
      </c>
      <c r="R527" s="11">
        <f>VLOOKUP(A527,[1]Sheet1!$A:$G,3,FALSE)</f>
        <v>0.36</v>
      </c>
      <c r="S527" s="11">
        <f>VLOOKUP(A527,[1]Sheet1!$A:$G,4,FALSE)</f>
        <v>0.19400000000000001</v>
      </c>
      <c r="T527" s="11">
        <f>VLOOKUP(A527,[1]Sheet1!$A:$G,5,FALSE)</f>
        <v>5</v>
      </c>
      <c r="U527" s="11">
        <f>VLOOKUP(A527,[1]Sheet1!$A:$G,6,FALSE)</f>
        <v>20</v>
      </c>
      <c r="V527" s="18">
        <f>VLOOKUP(A527,[1]Sheet1!$A:$G,7,FALSE)</f>
        <v>25</v>
      </c>
    </row>
    <row r="528" spans="1:22" s="13" customFormat="1" ht="30" customHeight="1">
      <c r="A528" s="17">
        <v>524</v>
      </c>
      <c r="B528" s="14">
        <v>40566</v>
      </c>
      <c r="C528" s="8" t="str">
        <f t="shared" si="24"/>
        <v>Sunday</v>
      </c>
      <c r="D528" s="9">
        <v>1</v>
      </c>
      <c r="E528" s="9">
        <v>0</v>
      </c>
      <c r="F528" s="9">
        <v>1</v>
      </c>
      <c r="G528" s="7">
        <v>22</v>
      </c>
      <c r="H528" s="9" t="b">
        <v>0</v>
      </c>
      <c r="I528" s="9">
        <v>0</v>
      </c>
      <c r="J528" s="38" t="str">
        <f>CHOOSE(Table1[[#This Row],[Weekday]]+1,"Sunday","Monday","Tuesday","Wednesday","Thursday","Friday","Saturday")</f>
        <v>Sunday</v>
      </c>
      <c r="K528" s="9">
        <v>1</v>
      </c>
      <c r="L528" s="38" t="str">
        <f>IF(Table1[[#This Row],[Weather_code]]=1,"Clear",IF(Table1[[#This Row],[Weather_code]]=2,"Cloudy",IF(Table1[[#This Row],[Weather_code]]=3,"Light Rain",IF(Table1[[#This Row],[Weather_code]]=4,"Heavy Rain"))))</f>
        <v>Clear</v>
      </c>
      <c r="M528" s="10">
        <v>0.08</v>
      </c>
      <c r="N528" s="11" t="str">
        <f t="shared" si="25"/>
        <v>Winter</v>
      </c>
      <c r="O528" s="11" t="str">
        <f t="shared" si="26"/>
        <v>Weekend</v>
      </c>
      <c r="P528" s="11">
        <f>VLOOKUP(A528,[1]Sheet1!$A:$H,2, FALSE)</f>
        <v>9.0899999999999995E-2</v>
      </c>
      <c r="Q528" s="40">
        <f>Table1[[#This Row],[A_Temperature]]*41</f>
        <v>3.7268999999999997</v>
      </c>
      <c r="R528" s="11">
        <f>VLOOKUP(A528,[1]Sheet1!$A:$G,3,FALSE)</f>
        <v>0.38</v>
      </c>
      <c r="S528" s="11">
        <f>VLOOKUP(A528,[1]Sheet1!$A:$G,4,FALSE)</f>
        <v>0.19400000000000001</v>
      </c>
      <c r="T528" s="11">
        <f>VLOOKUP(A528,[1]Sheet1!$A:$G,5,FALSE)</f>
        <v>5</v>
      </c>
      <c r="U528" s="11">
        <f>VLOOKUP(A528,[1]Sheet1!$A:$G,6,FALSE)</f>
        <v>23</v>
      </c>
      <c r="V528" s="18">
        <f>VLOOKUP(A528,[1]Sheet1!$A:$G,7,FALSE)</f>
        <v>28</v>
      </c>
    </row>
    <row r="529" spans="1:22" s="13" customFormat="1" ht="30" customHeight="1">
      <c r="A529" s="17">
        <v>525</v>
      </c>
      <c r="B529" s="14">
        <v>40566</v>
      </c>
      <c r="C529" s="8" t="str">
        <f t="shared" si="24"/>
        <v>Sunday</v>
      </c>
      <c r="D529" s="9">
        <v>1</v>
      </c>
      <c r="E529" s="9">
        <v>0</v>
      </c>
      <c r="F529" s="9">
        <v>1</v>
      </c>
      <c r="G529" s="7">
        <v>23</v>
      </c>
      <c r="H529" s="9" t="b">
        <v>0</v>
      </c>
      <c r="I529" s="9">
        <v>0</v>
      </c>
      <c r="J529" s="38" t="str">
        <f>CHOOSE(Table1[[#This Row],[Weekday]]+1,"Sunday","Monday","Tuesday","Wednesday","Thursday","Friday","Saturday")</f>
        <v>Sunday</v>
      </c>
      <c r="K529" s="9">
        <v>1</v>
      </c>
      <c r="L529" s="38" t="str">
        <f>IF(Table1[[#This Row],[Weather_code]]=1,"Clear",IF(Table1[[#This Row],[Weather_code]]=2,"Cloudy",IF(Table1[[#This Row],[Weather_code]]=3,"Light Rain",IF(Table1[[#This Row],[Weather_code]]=4,"Heavy Rain"))))</f>
        <v>Clear</v>
      </c>
      <c r="M529" s="10">
        <v>0.06</v>
      </c>
      <c r="N529" s="11" t="str">
        <f t="shared" si="25"/>
        <v>Winter</v>
      </c>
      <c r="O529" s="11" t="str">
        <f t="shared" si="26"/>
        <v>Weekend</v>
      </c>
      <c r="P529" s="11">
        <f>VLOOKUP(A529,[1]Sheet1!$A:$H,2, FALSE)</f>
        <v>6.0600000000000001E-2</v>
      </c>
      <c r="Q529" s="40">
        <f>Table1[[#This Row],[A_Temperature]]*41</f>
        <v>2.4845999999999999</v>
      </c>
      <c r="R529" s="11">
        <f>VLOOKUP(A529,[1]Sheet1!$A:$G,3,FALSE)</f>
        <v>0.41</v>
      </c>
      <c r="S529" s="11">
        <f>VLOOKUP(A529,[1]Sheet1!$A:$G,4,FALSE)</f>
        <v>0.22389999999999999</v>
      </c>
      <c r="T529" s="11">
        <f>VLOOKUP(A529,[1]Sheet1!$A:$G,5,FALSE)</f>
        <v>4</v>
      </c>
      <c r="U529" s="11">
        <f>VLOOKUP(A529,[1]Sheet1!$A:$G,6,FALSE)</f>
        <v>17</v>
      </c>
      <c r="V529" s="18">
        <f>VLOOKUP(A529,[1]Sheet1!$A:$G,7,FALSE)</f>
        <v>21</v>
      </c>
    </row>
    <row r="530" spans="1:22" s="13" customFormat="1" ht="30" customHeight="1">
      <c r="A530" s="17">
        <v>526</v>
      </c>
      <c r="B530" s="14">
        <v>40567</v>
      </c>
      <c r="C530" s="8" t="str">
        <f t="shared" si="24"/>
        <v>Monday</v>
      </c>
      <c r="D530" s="9">
        <v>1</v>
      </c>
      <c r="E530" s="9">
        <v>0</v>
      </c>
      <c r="F530" s="9">
        <v>1</v>
      </c>
      <c r="G530" s="7">
        <v>0</v>
      </c>
      <c r="H530" s="9" t="b">
        <v>0</v>
      </c>
      <c r="I530" s="9">
        <v>1</v>
      </c>
      <c r="J530" s="38" t="str">
        <f>CHOOSE(Table1[[#This Row],[Weekday]]+1,"Sunday","Monday","Tuesday","Wednesday","Thursday","Friday","Saturday")</f>
        <v>Monday</v>
      </c>
      <c r="K530" s="9">
        <v>1</v>
      </c>
      <c r="L530" s="38" t="str">
        <f>IF(Table1[[#This Row],[Weather_code]]=1,"Clear",IF(Table1[[#This Row],[Weather_code]]=2,"Cloudy",IF(Table1[[#This Row],[Weather_code]]=3,"Light Rain",IF(Table1[[#This Row],[Weather_code]]=4,"Heavy Rain"))))</f>
        <v>Clear</v>
      </c>
      <c r="M530" s="10">
        <v>0.06</v>
      </c>
      <c r="N530" s="11" t="str">
        <f t="shared" si="25"/>
        <v>Winter</v>
      </c>
      <c r="O530" s="11" t="str">
        <f t="shared" si="26"/>
        <v>Weekday</v>
      </c>
      <c r="P530" s="11">
        <f>VLOOKUP(A530,[1]Sheet1!$A:$H,2, FALSE)</f>
        <v>6.0600000000000001E-2</v>
      </c>
      <c r="Q530" s="40">
        <f>Table1[[#This Row],[A_Temperature]]*41</f>
        <v>2.4845999999999999</v>
      </c>
      <c r="R530" s="11">
        <f>VLOOKUP(A530,[1]Sheet1!$A:$G,3,FALSE)</f>
        <v>0.41</v>
      </c>
      <c r="S530" s="11">
        <f>VLOOKUP(A530,[1]Sheet1!$A:$G,4,FALSE)</f>
        <v>0.19400000000000001</v>
      </c>
      <c r="T530" s="11">
        <f>VLOOKUP(A530,[1]Sheet1!$A:$G,5,FALSE)</f>
        <v>0</v>
      </c>
      <c r="U530" s="11">
        <f>VLOOKUP(A530,[1]Sheet1!$A:$G,6,FALSE)</f>
        <v>7</v>
      </c>
      <c r="V530" s="18">
        <f>VLOOKUP(A530,[1]Sheet1!$A:$G,7,FALSE)</f>
        <v>7</v>
      </c>
    </row>
    <row r="531" spans="1:22" s="13" customFormat="1" ht="30" customHeight="1">
      <c r="A531" s="17">
        <v>527</v>
      </c>
      <c r="B531" s="14">
        <v>40567</v>
      </c>
      <c r="C531" s="8" t="str">
        <f t="shared" si="24"/>
        <v>Monday</v>
      </c>
      <c r="D531" s="9">
        <v>1</v>
      </c>
      <c r="E531" s="9">
        <v>0</v>
      </c>
      <c r="F531" s="9">
        <v>1</v>
      </c>
      <c r="G531" s="7">
        <v>1</v>
      </c>
      <c r="H531" s="9" t="b">
        <v>0</v>
      </c>
      <c r="I531" s="9">
        <v>1</v>
      </c>
      <c r="J531" s="38" t="str">
        <f>CHOOSE(Table1[[#This Row],[Weekday]]+1,"Sunday","Monday","Tuesday","Wednesday","Thursday","Friday","Saturday")</f>
        <v>Monday</v>
      </c>
      <c r="K531" s="9">
        <v>1</v>
      </c>
      <c r="L531" s="38" t="str">
        <f>IF(Table1[[#This Row],[Weather_code]]=1,"Clear",IF(Table1[[#This Row],[Weather_code]]=2,"Cloudy",IF(Table1[[#This Row],[Weather_code]]=3,"Light Rain",IF(Table1[[#This Row],[Weather_code]]=4,"Heavy Rain"))))</f>
        <v>Clear</v>
      </c>
      <c r="M531" s="10">
        <v>0.04</v>
      </c>
      <c r="N531" s="11" t="str">
        <f t="shared" si="25"/>
        <v>Winter</v>
      </c>
      <c r="O531" s="11" t="str">
        <f t="shared" si="26"/>
        <v>Weekday</v>
      </c>
      <c r="P531" s="11">
        <f>VLOOKUP(A531,[1]Sheet1!$A:$H,2, FALSE)</f>
        <v>4.5499999999999999E-2</v>
      </c>
      <c r="Q531" s="40">
        <f>Table1[[#This Row],[A_Temperature]]*41</f>
        <v>1.8654999999999999</v>
      </c>
      <c r="R531" s="11">
        <f>VLOOKUP(A531,[1]Sheet1!$A:$G,3,FALSE)</f>
        <v>0.45</v>
      </c>
      <c r="S531" s="11">
        <f>VLOOKUP(A531,[1]Sheet1!$A:$G,4,FALSE)</f>
        <v>0.19400000000000001</v>
      </c>
      <c r="T531" s="11">
        <f>VLOOKUP(A531,[1]Sheet1!$A:$G,5,FALSE)</f>
        <v>0</v>
      </c>
      <c r="U531" s="11">
        <f>VLOOKUP(A531,[1]Sheet1!$A:$G,6,FALSE)</f>
        <v>1</v>
      </c>
      <c r="V531" s="18">
        <f>VLOOKUP(A531,[1]Sheet1!$A:$G,7,FALSE)</f>
        <v>1</v>
      </c>
    </row>
    <row r="532" spans="1:22" s="13" customFormat="1" ht="30" customHeight="1">
      <c r="A532" s="17">
        <v>528</v>
      </c>
      <c r="B532" s="14">
        <v>40567</v>
      </c>
      <c r="C532" s="8" t="str">
        <f t="shared" si="24"/>
        <v>Monday</v>
      </c>
      <c r="D532" s="9">
        <v>1</v>
      </c>
      <c r="E532" s="9">
        <v>0</v>
      </c>
      <c r="F532" s="9">
        <v>1</v>
      </c>
      <c r="G532" s="7">
        <v>3</v>
      </c>
      <c r="H532" s="9" t="b">
        <v>0</v>
      </c>
      <c r="I532" s="9">
        <v>1</v>
      </c>
      <c r="J532" s="38" t="str">
        <f>CHOOSE(Table1[[#This Row],[Weekday]]+1,"Sunday","Monday","Tuesday","Wednesday","Thursday","Friday","Saturday")</f>
        <v>Monday</v>
      </c>
      <c r="K532" s="9">
        <v>1</v>
      </c>
      <c r="L532" s="38" t="str">
        <f>IF(Table1[[#This Row],[Weather_code]]=1,"Clear",IF(Table1[[#This Row],[Weather_code]]=2,"Cloudy",IF(Table1[[#This Row],[Weather_code]]=3,"Light Rain",IF(Table1[[#This Row],[Weather_code]]=4,"Heavy Rain"))))</f>
        <v>Clear</v>
      </c>
      <c r="M532" s="10">
        <v>0.04</v>
      </c>
      <c r="N532" s="11" t="str">
        <f t="shared" si="25"/>
        <v>Winter</v>
      </c>
      <c r="O532" s="11" t="str">
        <f t="shared" si="26"/>
        <v>Weekday</v>
      </c>
      <c r="P532" s="11">
        <f>VLOOKUP(A532,[1]Sheet1!$A:$H,2, FALSE)</f>
        <v>3.0300000000000001E-2</v>
      </c>
      <c r="Q532" s="40">
        <f>Table1[[#This Row],[A_Temperature]]*41</f>
        <v>1.2423</v>
      </c>
      <c r="R532" s="11">
        <f>VLOOKUP(A532,[1]Sheet1!$A:$G,3,FALSE)</f>
        <v>0.45</v>
      </c>
      <c r="S532" s="11">
        <f>VLOOKUP(A532,[1]Sheet1!$A:$G,4,FALSE)</f>
        <v>0.25369999999999998</v>
      </c>
      <c r="T532" s="11">
        <f>VLOOKUP(A532,[1]Sheet1!$A:$G,5,FALSE)</f>
        <v>0</v>
      </c>
      <c r="U532" s="11">
        <f>VLOOKUP(A532,[1]Sheet1!$A:$G,6,FALSE)</f>
        <v>1</v>
      </c>
      <c r="V532" s="18">
        <f>VLOOKUP(A532,[1]Sheet1!$A:$G,7,FALSE)</f>
        <v>1</v>
      </c>
    </row>
    <row r="533" spans="1:22" s="13" customFormat="1" ht="30" customHeight="1">
      <c r="A533" s="17">
        <v>529</v>
      </c>
      <c r="B533" s="14">
        <v>40567</v>
      </c>
      <c r="C533" s="8" t="str">
        <f t="shared" si="24"/>
        <v>Monday</v>
      </c>
      <c r="D533" s="9">
        <v>1</v>
      </c>
      <c r="E533" s="9">
        <v>0</v>
      </c>
      <c r="F533" s="9">
        <v>1</v>
      </c>
      <c r="G533" s="7">
        <v>4</v>
      </c>
      <c r="H533" s="9" t="b">
        <v>0</v>
      </c>
      <c r="I533" s="9">
        <v>1</v>
      </c>
      <c r="J533" s="38" t="str">
        <f>CHOOSE(Table1[[#This Row],[Weekday]]+1,"Sunday","Monday","Tuesday","Wednesday","Thursday","Friday","Saturday")</f>
        <v>Monday</v>
      </c>
      <c r="K533" s="9">
        <v>1</v>
      </c>
      <c r="L533" s="38" t="str">
        <f>IF(Table1[[#This Row],[Weather_code]]=1,"Clear",IF(Table1[[#This Row],[Weather_code]]=2,"Cloudy",IF(Table1[[#This Row],[Weather_code]]=3,"Light Rain",IF(Table1[[#This Row],[Weather_code]]=4,"Heavy Rain"))))</f>
        <v>Clear</v>
      </c>
      <c r="M533" s="10">
        <v>0.02</v>
      </c>
      <c r="N533" s="11" t="str">
        <f t="shared" si="25"/>
        <v>Winter</v>
      </c>
      <c r="O533" s="11" t="str">
        <f t="shared" si="26"/>
        <v>Weekday</v>
      </c>
      <c r="P533" s="11">
        <f>VLOOKUP(A533,[1]Sheet1!$A:$H,2, FALSE)</f>
        <v>6.0600000000000001E-2</v>
      </c>
      <c r="Q533" s="40">
        <f>Table1[[#This Row],[A_Temperature]]*41</f>
        <v>2.4845999999999999</v>
      </c>
      <c r="R533" s="11">
        <f>VLOOKUP(A533,[1]Sheet1!$A:$G,3,FALSE)</f>
        <v>0.48</v>
      </c>
      <c r="S533" s="11">
        <f>VLOOKUP(A533,[1]Sheet1!$A:$G,4,FALSE)</f>
        <v>0.1343</v>
      </c>
      <c r="T533" s="11">
        <f>VLOOKUP(A533,[1]Sheet1!$A:$G,5,FALSE)</f>
        <v>0</v>
      </c>
      <c r="U533" s="11">
        <f>VLOOKUP(A533,[1]Sheet1!$A:$G,6,FALSE)</f>
        <v>1</v>
      </c>
      <c r="V533" s="18">
        <f>VLOOKUP(A533,[1]Sheet1!$A:$G,7,FALSE)</f>
        <v>1</v>
      </c>
    </row>
    <row r="534" spans="1:22" s="13" customFormat="1" ht="30" customHeight="1">
      <c r="A534" s="17">
        <v>530</v>
      </c>
      <c r="B534" s="14">
        <v>40567</v>
      </c>
      <c r="C534" s="8" t="str">
        <f t="shared" si="24"/>
        <v>Monday</v>
      </c>
      <c r="D534" s="9">
        <v>1</v>
      </c>
      <c r="E534" s="9">
        <v>0</v>
      </c>
      <c r="F534" s="9">
        <v>1</v>
      </c>
      <c r="G534" s="7">
        <v>5</v>
      </c>
      <c r="H534" s="9" t="b">
        <v>0</v>
      </c>
      <c r="I534" s="9">
        <v>1</v>
      </c>
      <c r="J534" s="38" t="str">
        <f>CHOOSE(Table1[[#This Row],[Weekday]]+1,"Sunday","Monday","Tuesday","Wednesday","Thursday","Friday","Saturday")</f>
        <v>Monday</v>
      </c>
      <c r="K534" s="9">
        <v>1</v>
      </c>
      <c r="L534" s="38" t="str">
        <f>IF(Table1[[#This Row],[Weather_code]]=1,"Clear",IF(Table1[[#This Row],[Weather_code]]=2,"Cloudy",IF(Table1[[#This Row],[Weather_code]]=3,"Light Rain",IF(Table1[[#This Row],[Weather_code]]=4,"Heavy Rain"))))</f>
        <v>Clear</v>
      </c>
      <c r="M534" s="10">
        <v>0.02</v>
      </c>
      <c r="N534" s="11" t="str">
        <f t="shared" si="25"/>
        <v>Winter</v>
      </c>
      <c r="O534" s="11" t="str">
        <f t="shared" si="26"/>
        <v>Weekday</v>
      </c>
      <c r="P534" s="11">
        <f>VLOOKUP(A534,[1]Sheet1!$A:$H,2, FALSE)</f>
        <v>6.0600000000000001E-2</v>
      </c>
      <c r="Q534" s="40">
        <f>Table1[[#This Row],[A_Temperature]]*41</f>
        <v>2.4845999999999999</v>
      </c>
      <c r="R534" s="11">
        <f>VLOOKUP(A534,[1]Sheet1!$A:$G,3,FALSE)</f>
        <v>0.48</v>
      </c>
      <c r="S534" s="11">
        <f>VLOOKUP(A534,[1]Sheet1!$A:$G,4,FALSE)</f>
        <v>0.1343</v>
      </c>
      <c r="T534" s="11">
        <f>VLOOKUP(A534,[1]Sheet1!$A:$G,5,FALSE)</f>
        <v>0</v>
      </c>
      <c r="U534" s="11">
        <f>VLOOKUP(A534,[1]Sheet1!$A:$G,6,FALSE)</f>
        <v>5</v>
      </c>
      <c r="V534" s="18">
        <f>VLOOKUP(A534,[1]Sheet1!$A:$G,7,FALSE)</f>
        <v>5</v>
      </c>
    </row>
    <row r="535" spans="1:22" s="13" customFormat="1" ht="30" customHeight="1">
      <c r="A535" s="17">
        <v>531</v>
      </c>
      <c r="B535" s="14">
        <v>40567</v>
      </c>
      <c r="C535" s="8" t="str">
        <f t="shared" si="24"/>
        <v>Monday</v>
      </c>
      <c r="D535" s="9">
        <v>1</v>
      </c>
      <c r="E535" s="9">
        <v>0</v>
      </c>
      <c r="F535" s="9">
        <v>1</v>
      </c>
      <c r="G535" s="7">
        <v>6</v>
      </c>
      <c r="H535" s="9" t="b">
        <v>0</v>
      </c>
      <c r="I535" s="9">
        <v>1</v>
      </c>
      <c r="J535" s="38" t="str">
        <f>CHOOSE(Table1[[#This Row],[Weekday]]+1,"Sunday","Monday","Tuesday","Wednesday","Thursday","Friday","Saturday")</f>
        <v>Monday</v>
      </c>
      <c r="K535" s="9">
        <v>1</v>
      </c>
      <c r="L535" s="38" t="str">
        <f>IF(Table1[[#This Row],[Weather_code]]=1,"Clear",IF(Table1[[#This Row],[Weather_code]]=2,"Cloudy",IF(Table1[[#This Row],[Weather_code]]=3,"Light Rain",IF(Table1[[#This Row],[Weather_code]]=4,"Heavy Rain"))))</f>
        <v>Clear</v>
      </c>
      <c r="M535" s="10">
        <v>0.02</v>
      </c>
      <c r="N535" s="11" t="str">
        <f t="shared" si="25"/>
        <v>Winter</v>
      </c>
      <c r="O535" s="11" t="str">
        <f t="shared" si="26"/>
        <v>Weekday</v>
      </c>
      <c r="P535" s="11">
        <f>VLOOKUP(A535,[1]Sheet1!$A:$H,2, FALSE)</f>
        <v>7.5800000000000006E-2</v>
      </c>
      <c r="Q535" s="40">
        <f>Table1[[#This Row],[A_Temperature]]*41</f>
        <v>3.1078000000000001</v>
      </c>
      <c r="R535" s="11">
        <f>VLOOKUP(A535,[1]Sheet1!$A:$G,3,FALSE)</f>
        <v>0.48</v>
      </c>
      <c r="S535" s="11">
        <f>VLOOKUP(A535,[1]Sheet1!$A:$G,4,FALSE)</f>
        <v>8.9599999999999999E-2</v>
      </c>
      <c r="T535" s="11">
        <f>VLOOKUP(A535,[1]Sheet1!$A:$G,5,FALSE)</f>
        <v>0</v>
      </c>
      <c r="U535" s="11">
        <f>VLOOKUP(A535,[1]Sheet1!$A:$G,6,FALSE)</f>
        <v>15</v>
      </c>
      <c r="V535" s="18">
        <f>VLOOKUP(A535,[1]Sheet1!$A:$G,7,FALSE)</f>
        <v>15</v>
      </c>
    </row>
    <row r="536" spans="1:22" s="13" customFormat="1" ht="30" customHeight="1">
      <c r="A536" s="17">
        <v>532</v>
      </c>
      <c r="B536" s="14">
        <v>40567</v>
      </c>
      <c r="C536" s="8" t="str">
        <f t="shared" si="24"/>
        <v>Monday</v>
      </c>
      <c r="D536" s="9">
        <v>1</v>
      </c>
      <c r="E536" s="9">
        <v>0</v>
      </c>
      <c r="F536" s="9">
        <v>1</v>
      </c>
      <c r="G536" s="7">
        <v>7</v>
      </c>
      <c r="H536" s="9" t="b">
        <v>0</v>
      </c>
      <c r="I536" s="9">
        <v>1</v>
      </c>
      <c r="J536" s="38" t="str">
        <f>CHOOSE(Table1[[#This Row],[Weekday]]+1,"Sunday","Monday","Tuesday","Wednesday","Thursday","Friday","Saturday")</f>
        <v>Monday</v>
      </c>
      <c r="K536" s="9">
        <v>1</v>
      </c>
      <c r="L536" s="38" t="str">
        <f>IF(Table1[[#This Row],[Weather_code]]=1,"Clear",IF(Table1[[#This Row],[Weather_code]]=2,"Cloudy",IF(Table1[[#This Row],[Weather_code]]=3,"Light Rain",IF(Table1[[#This Row],[Weather_code]]=4,"Heavy Rain"))))</f>
        <v>Clear</v>
      </c>
      <c r="M536" s="10">
        <v>0.02</v>
      </c>
      <c r="N536" s="11" t="str">
        <f t="shared" si="25"/>
        <v>Winter</v>
      </c>
      <c r="O536" s="11" t="str">
        <f t="shared" si="26"/>
        <v>Weekday</v>
      </c>
      <c r="P536" s="11">
        <f>VLOOKUP(A536,[1]Sheet1!$A:$H,2, FALSE)</f>
        <v>0.1212</v>
      </c>
      <c r="Q536" s="40">
        <f>Table1[[#This Row],[A_Temperature]]*41</f>
        <v>4.9691999999999998</v>
      </c>
      <c r="R536" s="11">
        <f>VLOOKUP(A536,[1]Sheet1!$A:$G,3,FALSE)</f>
        <v>0.48</v>
      </c>
      <c r="S536" s="11">
        <f>VLOOKUP(A536,[1]Sheet1!$A:$G,4,FALSE)</f>
        <v>0</v>
      </c>
      <c r="T536" s="11">
        <f>VLOOKUP(A536,[1]Sheet1!$A:$G,5,FALSE)</f>
        <v>5</v>
      </c>
      <c r="U536" s="11">
        <f>VLOOKUP(A536,[1]Sheet1!$A:$G,6,FALSE)</f>
        <v>79</v>
      </c>
      <c r="V536" s="18">
        <f>VLOOKUP(A536,[1]Sheet1!$A:$G,7,FALSE)</f>
        <v>84</v>
      </c>
    </row>
    <row r="537" spans="1:22" s="13" customFormat="1" ht="30" customHeight="1">
      <c r="A537" s="17">
        <v>533</v>
      </c>
      <c r="B537" s="14">
        <v>40567</v>
      </c>
      <c r="C537" s="8" t="str">
        <f t="shared" si="24"/>
        <v>Monday</v>
      </c>
      <c r="D537" s="9">
        <v>1</v>
      </c>
      <c r="E537" s="9">
        <v>0</v>
      </c>
      <c r="F537" s="9">
        <v>1</v>
      </c>
      <c r="G537" s="7">
        <v>8</v>
      </c>
      <c r="H537" s="9" t="b">
        <v>0</v>
      </c>
      <c r="I537" s="9">
        <v>1</v>
      </c>
      <c r="J537" s="38" t="str">
        <f>CHOOSE(Table1[[#This Row],[Weekday]]+1,"Sunday","Monday","Tuesday","Wednesday","Thursday","Friday","Saturday")</f>
        <v>Monday</v>
      </c>
      <c r="K537" s="9">
        <v>1</v>
      </c>
      <c r="L537" s="38" t="str">
        <f>IF(Table1[[#This Row],[Weather_code]]=1,"Clear",IF(Table1[[#This Row],[Weather_code]]=2,"Cloudy",IF(Table1[[#This Row],[Weather_code]]=3,"Light Rain",IF(Table1[[#This Row],[Weather_code]]=4,"Heavy Rain"))))</f>
        <v>Clear</v>
      </c>
      <c r="M537" s="10">
        <v>0.04</v>
      </c>
      <c r="N537" s="11" t="str">
        <f t="shared" si="25"/>
        <v>Winter</v>
      </c>
      <c r="O537" s="11" t="str">
        <f t="shared" si="26"/>
        <v>Weekday</v>
      </c>
      <c r="P537" s="11">
        <f>VLOOKUP(A537,[1]Sheet1!$A:$H,2, FALSE)</f>
        <v>0.13639999999999999</v>
      </c>
      <c r="Q537" s="40">
        <f>Table1[[#This Row],[A_Temperature]]*41</f>
        <v>5.5923999999999996</v>
      </c>
      <c r="R537" s="11">
        <f>VLOOKUP(A537,[1]Sheet1!$A:$G,3,FALSE)</f>
        <v>0.49</v>
      </c>
      <c r="S537" s="11">
        <f>VLOOKUP(A537,[1]Sheet1!$A:$G,4,FALSE)</f>
        <v>0</v>
      </c>
      <c r="T537" s="11">
        <f>VLOOKUP(A537,[1]Sheet1!$A:$G,5,FALSE)</f>
        <v>6</v>
      </c>
      <c r="U537" s="11">
        <f>VLOOKUP(A537,[1]Sheet1!$A:$G,6,FALSE)</f>
        <v>171</v>
      </c>
      <c r="V537" s="18">
        <f>VLOOKUP(A537,[1]Sheet1!$A:$G,7,FALSE)</f>
        <v>177</v>
      </c>
    </row>
    <row r="538" spans="1:22" s="13" customFormat="1" ht="30" customHeight="1">
      <c r="A538" s="17">
        <v>534</v>
      </c>
      <c r="B538" s="14">
        <v>40567</v>
      </c>
      <c r="C538" s="8" t="str">
        <f t="shared" si="24"/>
        <v>Monday</v>
      </c>
      <c r="D538" s="9">
        <v>1</v>
      </c>
      <c r="E538" s="9">
        <v>0</v>
      </c>
      <c r="F538" s="9">
        <v>1</v>
      </c>
      <c r="G538" s="7">
        <v>9</v>
      </c>
      <c r="H538" s="9" t="b">
        <v>0</v>
      </c>
      <c r="I538" s="9">
        <v>1</v>
      </c>
      <c r="J538" s="38" t="str">
        <f>CHOOSE(Table1[[#This Row],[Weekday]]+1,"Sunday","Monday","Tuesday","Wednesday","Thursday","Friday","Saturday")</f>
        <v>Monday</v>
      </c>
      <c r="K538" s="9">
        <v>1</v>
      </c>
      <c r="L538" s="38" t="str">
        <f>IF(Table1[[#This Row],[Weather_code]]=1,"Clear",IF(Table1[[#This Row],[Weather_code]]=2,"Cloudy",IF(Table1[[#This Row],[Weather_code]]=3,"Light Rain",IF(Table1[[#This Row],[Weather_code]]=4,"Heavy Rain"))))</f>
        <v>Clear</v>
      </c>
      <c r="M538" s="10">
        <v>0.06</v>
      </c>
      <c r="N538" s="11" t="str">
        <f t="shared" si="25"/>
        <v>Winter</v>
      </c>
      <c r="O538" s="11" t="str">
        <f t="shared" si="26"/>
        <v>Weekday</v>
      </c>
      <c r="P538" s="11">
        <f>VLOOKUP(A538,[1]Sheet1!$A:$H,2, FALSE)</f>
        <v>0.1515</v>
      </c>
      <c r="Q538" s="40">
        <f>Table1[[#This Row],[A_Temperature]]*41</f>
        <v>6.2115</v>
      </c>
      <c r="R538" s="11">
        <f>VLOOKUP(A538,[1]Sheet1!$A:$G,3,FALSE)</f>
        <v>0.41</v>
      </c>
      <c r="S538" s="11">
        <f>VLOOKUP(A538,[1]Sheet1!$A:$G,4,FALSE)</f>
        <v>0</v>
      </c>
      <c r="T538" s="11">
        <f>VLOOKUP(A538,[1]Sheet1!$A:$G,5,FALSE)</f>
        <v>4</v>
      </c>
      <c r="U538" s="11">
        <f>VLOOKUP(A538,[1]Sheet1!$A:$G,6,FALSE)</f>
        <v>98</v>
      </c>
      <c r="V538" s="18">
        <f>VLOOKUP(A538,[1]Sheet1!$A:$G,7,FALSE)</f>
        <v>102</v>
      </c>
    </row>
    <row r="539" spans="1:22" s="13" customFormat="1" ht="30" customHeight="1">
      <c r="A539" s="17">
        <v>535</v>
      </c>
      <c r="B539" s="14">
        <v>40567</v>
      </c>
      <c r="C539" s="8" t="str">
        <f t="shared" si="24"/>
        <v>Monday</v>
      </c>
      <c r="D539" s="9">
        <v>1</v>
      </c>
      <c r="E539" s="9">
        <v>0</v>
      </c>
      <c r="F539" s="9">
        <v>1</v>
      </c>
      <c r="G539" s="7">
        <v>10</v>
      </c>
      <c r="H539" s="9" t="b">
        <v>0</v>
      </c>
      <c r="I539" s="9">
        <v>1</v>
      </c>
      <c r="J539" s="38" t="str">
        <f>CHOOSE(Table1[[#This Row],[Weekday]]+1,"Sunday","Monday","Tuesday","Wednesday","Thursday","Friday","Saturday")</f>
        <v>Monday</v>
      </c>
      <c r="K539" s="9">
        <v>1</v>
      </c>
      <c r="L539" s="38" t="str">
        <f>IF(Table1[[#This Row],[Weather_code]]=1,"Clear",IF(Table1[[#This Row],[Weather_code]]=2,"Cloudy",IF(Table1[[#This Row],[Weather_code]]=3,"Light Rain",IF(Table1[[#This Row],[Weather_code]]=4,"Heavy Rain"))))</f>
        <v>Clear</v>
      </c>
      <c r="M539" s="10">
        <v>0.1</v>
      </c>
      <c r="N539" s="11" t="str">
        <f t="shared" si="25"/>
        <v>Winter</v>
      </c>
      <c r="O539" s="11" t="str">
        <f t="shared" si="26"/>
        <v>Weekday</v>
      </c>
      <c r="P539" s="11">
        <f>VLOOKUP(A539,[1]Sheet1!$A:$H,2, FALSE)</f>
        <v>0.13639999999999999</v>
      </c>
      <c r="Q539" s="40">
        <f>Table1[[#This Row],[A_Temperature]]*41</f>
        <v>5.5923999999999996</v>
      </c>
      <c r="R539" s="11">
        <f>VLOOKUP(A539,[1]Sheet1!$A:$G,3,FALSE)</f>
        <v>0.42</v>
      </c>
      <c r="S539" s="11">
        <f>VLOOKUP(A539,[1]Sheet1!$A:$G,4,FALSE)</f>
        <v>0</v>
      </c>
      <c r="T539" s="11">
        <f>VLOOKUP(A539,[1]Sheet1!$A:$G,5,FALSE)</f>
        <v>6</v>
      </c>
      <c r="U539" s="11">
        <f>VLOOKUP(A539,[1]Sheet1!$A:$G,6,FALSE)</f>
        <v>34</v>
      </c>
      <c r="V539" s="18">
        <f>VLOOKUP(A539,[1]Sheet1!$A:$G,7,FALSE)</f>
        <v>40</v>
      </c>
    </row>
    <row r="540" spans="1:22" s="13" customFormat="1" ht="30" customHeight="1">
      <c r="A540" s="17">
        <v>536</v>
      </c>
      <c r="B540" s="14">
        <v>40567</v>
      </c>
      <c r="C540" s="8" t="str">
        <f t="shared" si="24"/>
        <v>Monday</v>
      </c>
      <c r="D540" s="9">
        <v>1</v>
      </c>
      <c r="E540" s="9">
        <v>0</v>
      </c>
      <c r="F540" s="9">
        <v>1</v>
      </c>
      <c r="G540" s="7">
        <v>11</v>
      </c>
      <c r="H540" s="9" t="b">
        <v>0</v>
      </c>
      <c r="I540" s="9">
        <v>1</v>
      </c>
      <c r="J540" s="38" t="str">
        <f>CHOOSE(Table1[[#This Row],[Weekday]]+1,"Sunday","Monday","Tuesday","Wednesday","Thursday","Friday","Saturday")</f>
        <v>Monday</v>
      </c>
      <c r="K540" s="9">
        <v>1</v>
      </c>
      <c r="L540" s="38" t="str">
        <f>IF(Table1[[#This Row],[Weather_code]]=1,"Clear",IF(Table1[[#This Row],[Weather_code]]=2,"Cloudy",IF(Table1[[#This Row],[Weather_code]]=3,"Light Rain",IF(Table1[[#This Row],[Weather_code]]=4,"Heavy Rain"))))</f>
        <v>Clear</v>
      </c>
      <c r="M540" s="10">
        <v>0.1</v>
      </c>
      <c r="N540" s="11" t="str">
        <f t="shared" si="25"/>
        <v>Winter</v>
      </c>
      <c r="O540" s="11" t="str">
        <f t="shared" si="26"/>
        <v>Weekday</v>
      </c>
      <c r="P540" s="11">
        <f>VLOOKUP(A540,[1]Sheet1!$A:$H,2, FALSE)</f>
        <v>0.1212</v>
      </c>
      <c r="Q540" s="40">
        <f>Table1[[#This Row],[A_Temperature]]*41</f>
        <v>4.9691999999999998</v>
      </c>
      <c r="R540" s="11">
        <f>VLOOKUP(A540,[1]Sheet1!$A:$G,3,FALSE)</f>
        <v>0.46</v>
      </c>
      <c r="S540" s="11">
        <f>VLOOKUP(A540,[1]Sheet1!$A:$G,4,FALSE)</f>
        <v>0.1343</v>
      </c>
      <c r="T540" s="11">
        <f>VLOOKUP(A540,[1]Sheet1!$A:$G,5,FALSE)</f>
        <v>3</v>
      </c>
      <c r="U540" s="11">
        <f>VLOOKUP(A540,[1]Sheet1!$A:$G,6,FALSE)</f>
        <v>43</v>
      </c>
      <c r="V540" s="18">
        <f>VLOOKUP(A540,[1]Sheet1!$A:$G,7,FALSE)</f>
        <v>46</v>
      </c>
    </row>
    <row r="541" spans="1:22" s="13" customFormat="1" ht="30" customHeight="1">
      <c r="A541" s="17">
        <v>537</v>
      </c>
      <c r="B541" s="14">
        <v>40567</v>
      </c>
      <c r="C541" s="8" t="str">
        <f t="shared" ref="C541:C604" si="27">TEXT(B541,"DDDD")</f>
        <v>Monday</v>
      </c>
      <c r="D541" s="9">
        <v>1</v>
      </c>
      <c r="E541" s="9">
        <v>0</v>
      </c>
      <c r="F541" s="9">
        <v>1</v>
      </c>
      <c r="G541" s="7">
        <v>12</v>
      </c>
      <c r="H541" s="9" t="b">
        <v>0</v>
      </c>
      <c r="I541" s="9">
        <v>1</v>
      </c>
      <c r="J541" s="38" t="str">
        <f>CHOOSE(Table1[[#This Row],[Weekday]]+1,"Sunday","Monday","Tuesday","Wednesday","Thursday","Friday","Saturday")</f>
        <v>Monday</v>
      </c>
      <c r="K541" s="9">
        <v>2</v>
      </c>
      <c r="L541" s="38" t="str">
        <f>IF(Table1[[#This Row],[Weather_code]]=1,"Clear",IF(Table1[[#This Row],[Weather_code]]=2,"Cloudy",IF(Table1[[#This Row],[Weather_code]]=3,"Light Rain",IF(Table1[[#This Row],[Weather_code]]=4,"Heavy Rain"))))</f>
        <v>Cloudy</v>
      </c>
      <c r="M541" s="10">
        <v>0.12</v>
      </c>
      <c r="N541" s="11" t="str">
        <f t="shared" si="25"/>
        <v>Winter</v>
      </c>
      <c r="O541" s="11" t="str">
        <f t="shared" si="26"/>
        <v>Weekday</v>
      </c>
      <c r="P541" s="11">
        <f>VLOOKUP(A541,[1]Sheet1!$A:$H,2, FALSE)</f>
        <v>0.13639999999999999</v>
      </c>
      <c r="Q541" s="40">
        <f>Table1[[#This Row],[A_Temperature]]*41</f>
        <v>5.5923999999999996</v>
      </c>
      <c r="R541" s="11">
        <f>VLOOKUP(A541,[1]Sheet1!$A:$G,3,FALSE)</f>
        <v>0.42</v>
      </c>
      <c r="S541" s="11">
        <f>VLOOKUP(A541,[1]Sheet1!$A:$G,4,FALSE)</f>
        <v>0.19400000000000001</v>
      </c>
      <c r="T541" s="11">
        <f>VLOOKUP(A541,[1]Sheet1!$A:$G,5,FALSE)</f>
        <v>11</v>
      </c>
      <c r="U541" s="11">
        <f>VLOOKUP(A541,[1]Sheet1!$A:$G,6,FALSE)</f>
        <v>52</v>
      </c>
      <c r="V541" s="18">
        <f>VLOOKUP(A541,[1]Sheet1!$A:$G,7,FALSE)</f>
        <v>63</v>
      </c>
    </row>
    <row r="542" spans="1:22" s="13" customFormat="1" ht="30" customHeight="1">
      <c r="A542" s="17">
        <v>538</v>
      </c>
      <c r="B542" s="14">
        <v>40567</v>
      </c>
      <c r="C542" s="8" t="str">
        <f t="shared" si="27"/>
        <v>Monday</v>
      </c>
      <c r="D542" s="9">
        <v>1</v>
      </c>
      <c r="E542" s="9">
        <v>0</v>
      </c>
      <c r="F542" s="9">
        <v>1</v>
      </c>
      <c r="G542" s="7">
        <v>13</v>
      </c>
      <c r="H542" s="9" t="b">
        <v>0</v>
      </c>
      <c r="I542" s="9">
        <v>1</v>
      </c>
      <c r="J542" s="38" t="str">
        <f>CHOOSE(Table1[[#This Row],[Weekday]]+1,"Sunday","Monday","Tuesday","Wednesday","Thursday","Friday","Saturday")</f>
        <v>Monday</v>
      </c>
      <c r="K542" s="9">
        <v>2</v>
      </c>
      <c r="L542" s="38" t="str">
        <f>IF(Table1[[#This Row],[Weather_code]]=1,"Clear",IF(Table1[[#This Row],[Weather_code]]=2,"Cloudy",IF(Table1[[#This Row],[Weather_code]]=3,"Light Rain",IF(Table1[[#This Row],[Weather_code]]=4,"Heavy Rain"))))</f>
        <v>Cloudy</v>
      </c>
      <c r="M542" s="10">
        <v>0.14000000000000001</v>
      </c>
      <c r="N542" s="11" t="str">
        <f t="shared" si="25"/>
        <v>Winter</v>
      </c>
      <c r="O542" s="11" t="str">
        <f t="shared" si="26"/>
        <v>Weekday</v>
      </c>
      <c r="P542" s="11">
        <f>VLOOKUP(A542,[1]Sheet1!$A:$H,2, FALSE)</f>
        <v>0.13639999999999999</v>
      </c>
      <c r="Q542" s="40">
        <f>Table1[[#This Row],[A_Temperature]]*41</f>
        <v>5.5923999999999996</v>
      </c>
      <c r="R542" s="11">
        <f>VLOOKUP(A542,[1]Sheet1!$A:$G,3,FALSE)</f>
        <v>0.43</v>
      </c>
      <c r="S542" s="11">
        <f>VLOOKUP(A542,[1]Sheet1!$A:$G,4,FALSE)</f>
        <v>0.22389999999999999</v>
      </c>
      <c r="T542" s="11">
        <f>VLOOKUP(A542,[1]Sheet1!$A:$G,5,FALSE)</f>
        <v>6</v>
      </c>
      <c r="U542" s="11">
        <f>VLOOKUP(A542,[1]Sheet1!$A:$G,6,FALSE)</f>
        <v>54</v>
      </c>
      <c r="V542" s="18">
        <f>VLOOKUP(A542,[1]Sheet1!$A:$G,7,FALSE)</f>
        <v>60</v>
      </c>
    </row>
    <row r="543" spans="1:22" s="13" customFormat="1" ht="30" customHeight="1">
      <c r="A543" s="17">
        <v>539</v>
      </c>
      <c r="B543" s="14">
        <v>40567</v>
      </c>
      <c r="C543" s="8" t="str">
        <f t="shared" si="27"/>
        <v>Monday</v>
      </c>
      <c r="D543" s="9">
        <v>1</v>
      </c>
      <c r="E543" s="9">
        <v>0</v>
      </c>
      <c r="F543" s="9">
        <v>1</v>
      </c>
      <c r="G543" s="7">
        <v>14</v>
      </c>
      <c r="H543" s="9" t="b">
        <v>0</v>
      </c>
      <c r="I543" s="9">
        <v>1</v>
      </c>
      <c r="J543" s="38" t="str">
        <f>CHOOSE(Table1[[#This Row],[Weekday]]+1,"Sunday","Monday","Tuesday","Wednesday","Thursday","Friday","Saturday")</f>
        <v>Monday</v>
      </c>
      <c r="K543" s="9">
        <v>2</v>
      </c>
      <c r="L543" s="38" t="str">
        <f>IF(Table1[[#This Row],[Weather_code]]=1,"Clear",IF(Table1[[#This Row],[Weather_code]]=2,"Cloudy",IF(Table1[[#This Row],[Weather_code]]=3,"Light Rain",IF(Table1[[#This Row],[Weather_code]]=4,"Heavy Rain"))))</f>
        <v>Cloudy</v>
      </c>
      <c r="M543" s="10">
        <v>0.14000000000000001</v>
      </c>
      <c r="N543" s="11" t="str">
        <f t="shared" si="25"/>
        <v>Winter</v>
      </c>
      <c r="O543" s="11" t="str">
        <f t="shared" si="26"/>
        <v>Weekday</v>
      </c>
      <c r="P543" s="11">
        <f>VLOOKUP(A543,[1]Sheet1!$A:$H,2, FALSE)</f>
        <v>0.13639999999999999</v>
      </c>
      <c r="Q543" s="40">
        <f>Table1[[#This Row],[A_Temperature]]*41</f>
        <v>5.5923999999999996</v>
      </c>
      <c r="R543" s="11">
        <f>VLOOKUP(A543,[1]Sheet1!$A:$G,3,FALSE)</f>
        <v>0.46</v>
      </c>
      <c r="S543" s="11">
        <f>VLOOKUP(A543,[1]Sheet1!$A:$G,4,FALSE)</f>
        <v>0.22389999999999999</v>
      </c>
      <c r="T543" s="11">
        <f>VLOOKUP(A543,[1]Sheet1!$A:$G,5,FALSE)</f>
        <v>2</v>
      </c>
      <c r="U543" s="11">
        <f>VLOOKUP(A543,[1]Sheet1!$A:$G,6,FALSE)</f>
        <v>43</v>
      </c>
      <c r="V543" s="18">
        <f>VLOOKUP(A543,[1]Sheet1!$A:$G,7,FALSE)</f>
        <v>45</v>
      </c>
    </row>
    <row r="544" spans="1:22" s="13" customFormat="1" ht="30" customHeight="1">
      <c r="A544" s="17">
        <v>540</v>
      </c>
      <c r="B544" s="14">
        <v>40567</v>
      </c>
      <c r="C544" s="8" t="str">
        <f t="shared" si="27"/>
        <v>Monday</v>
      </c>
      <c r="D544" s="9">
        <v>1</v>
      </c>
      <c r="E544" s="9">
        <v>0</v>
      </c>
      <c r="F544" s="9">
        <v>1</v>
      </c>
      <c r="G544" s="7">
        <v>15</v>
      </c>
      <c r="H544" s="9" t="b">
        <v>0</v>
      </c>
      <c r="I544" s="9">
        <v>1</v>
      </c>
      <c r="J544" s="38" t="str">
        <f>CHOOSE(Table1[[#This Row],[Weekday]]+1,"Sunday","Monday","Tuesday","Wednesday","Thursday","Friday","Saturday")</f>
        <v>Monday</v>
      </c>
      <c r="K544" s="9">
        <v>1</v>
      </c>
      <c r="L544" s="38" t="str">
        <f>IF(Table1[[#This Row],[Weather_code]]=1,"Clear",IF(Table1[[#This Row],[Weather_code]]=2,"Cloudy",IF(Table1[[#This Row],[Weather_code]]=3,"Light Rain",IF(Table1[[#This Row],[Weather_code]]=4,"Heavy Rain"))))</f>
        <v>Clear</v>
      </c>
      <c r="M544" s="10">
        <v>0.16</v>
      </c>
      <c r="N544" s="11" t="str">
        <f t="shared" si="25"/>
        <v>Winter</v>
      </c>
      <c r="O544" s="11" t="str">
        <f t="shared" si="26"/>
        <v>Weekday</v>
      </c>
      <c r="P544" s="11">
        <f>VLOOKUP(A544,[1]Sheet1!$A:$H,2, FALSE)</f>
        <v>0.16669999999999999</v>
      </c>
      <c r="Q544" s="40">
        <f>Table1[[#This Row],[A_Temperature]]*41</f>
        <v>6.8346999999999998</v>
      </c>
      <c r="R544" s="11">
        <f>VLOOKUP(A544,[1]Sheet1!$A:$G,3,FALSE)</f>
        <v>0.4</v>
      </c>
      <c r="S544" s="11">
        <f>VLOOKUP(A544,[1]Sheet1!$A:$G,4,FALSE)</f>
        <v>0.16420000000000001</v>
      </c>
      <c r="T544" s="11">
        <f>VLOOKUP(A544,[1]Sheet1!$A:$G,5,FALSE)</f>
        <v>7</v>
      </c>
      <c r="U544" s="11">
        <f>VLOOKUP(A544,[1]Sheet1!$A:$G,6,FALSE)</f>
        <v>50</v>
      </c>
      <c r="V544" s="18">
        <f>VLOOKUP(A544,[1]Sheet1!$A:$G,7,FALSE)</f>
        <v>57</v>
      </c>
    </row>
    <row r="545" spans="1:22" s="13" customFormat="1" ht="30" customHeight="1">
      <c r="A545" s="17">
        <v>541</v>
      </c>
      <c r="B545" s="14">
        <v>40567</v>
      </c>
      <c r="C545" s="8" t="str">
        <f t="shared" si="27"/>
        <v>Monday</v>
      </c>
      <c r="D545" s="9">
        <v>1</v>
      </c>
      <c r="E545" s="9">
        <v>0</v>
      </c>
      <c r="F545" s="9">
        <v>1</v>
      </c>
      <c r="G545" s="7">
        <v>16</v>
      </c>
      <c r="H545" s="9" t="b">
        <v>0</v>
      </c>
      <c r="I545" s="9">
        <v>1</v>
      </c>
      <c r="J545" s="38" t="str">
        <f>CHOOSE(Table1[[#This Row],[Weekday]]+1,"Sunday","Monday","Tuesday","Wednesday","Thursday","Friday","Saturday")</f>
        <v>Monday</v>
      </c>
      <c r="K545" s="9">
        <v>1</v>
      </c>
      <c r="L545" s="38" t="str">
        <f>IF(Table1[[#This Row],[Weather_code]]=1,"Clear",IF(Table1[[#This Row],[Weather_code]]=2,"Cloudy",IF(Table1[[#This Row],[Weather_code]]=3,"Light Rain",IF(Table1[[#This Row],[Weather_code]]=4,"Heavy Rain"))))</f>
        <v>Clear</v>
      </c>
      <c r="M545" s="10">
        <v>0.16</v>
      </c>
      <c r="N545" s="11" t="str">
        <f t="shared" si="25"/>
        <v>Winter</v>
      </c>
      <c r="O545" s="11" t="str">
        <f t="shared" si="26"/>
        <v>Weekday</v>
      </c>
      <c r="P545" s="11">
        <f>VLOOKUP(A545,[1]Sheet1!$A:$H,2, FALSE)</f>
        <v>0.1515</v>
      </c>
      <c r="Q545" s="40">
        <f>Table1[[#This Row],[A_Temperature]]*41</f>
        <v>6.2115</v>
      </c>
      <c r="R545" s="11">
        <f>VLOOKUP(A545,[1]Sheet1!$A:$G,3,FALSE)</f>
        <v>0.47</v>
      </c>
      <c r="S545" s="11">
        <f>VLOOKUP(A545,[1]Sheet1!$A:$G,4,FALSE)</f>
        <v>0.25369999999999998</v>
      </c>
      <c r="T545" s="11">
        <f>VLOOKUP(A545,[1]Sheet1!$A:$G,5,FALSE)</f>
        <v>4</v>
      </c>
      <c r="U545" s="11">
        <f>VLOOKUP(A545,[1]Sheet1!$A:$G,6,FALSE)</f>
        <v>66</v>
      </c>
      <c r="V545" s="18">
        <f>VLOOKUP(A545,[1]Sheet1!$A:$G,7,FALSE)</f>
        <v>70</v>
      </c>
    </row>
    <row r="546" spans="1:22" s="13" customFormat="1" ht="30" customHeight="1">
      <c r="A546" s="17">
        <v>542</v>
      </c>
      <c r="B546" s="14">
        <v>40567</v>
      </c>
      <c r="C546" s="8" t="str">
        <f t="shared" si="27"/>
        <v>Monday</v>
      </c>
      <c r="D546" s="9">
        <v>1</v>
      </c>
      <c r="E546" s="9">
        <v>0</v>
      </c>
      <c r="F546" s="9">
        <v>1</v>
      </c>
      <c r="G546" s="7">
        <v>17</v>
      </c>
      <c r="H546" s="9" t="b">
        <v>0</v>
      </c>
      <c r="I546" s="9">
        <v>1</v>
      </c>
      <c r="J546" s="38" t="str">
        <f>CHOOSE(Table1[[#This Row],[Weekday]]+1,"Sunday","Monday","Tuesday","Wednesday","Thursday","Friday","Saturday")</f>
        <v>Monday</v>
      </c>
      <c r="K546" s="9">
        <v>1</v>
      </c>
      <c r="L546" s="38" t="str">
        <f>IF(Table1[[#This Row],[Weather_code]]=1,"Clear",IF(Table1[[#This Row],[Weather_code]]=2,"Cloudy",IF(Table1[[#This Row],[Weather_code]]=3,"Light Rain",IF(Table1[[#This Row],[Weather_code]]=4,"Heavy Rain"))))</f>
        <v>Clear</v>
      </c>
      <c r="M546" s="10">
        <v>0.14000000000000001</v>
      </c>
      <c r="N546" s="11" t="str">
        <f t="shared" si="25"/>
        <v>Winter</v>
      </c>
      <c r="O546" s="11" t="str">
        <f t="shared" si="26"/>
        <v>Weekday</v>
      </c>
      <c r="P546" s="11">
        <f>VLOOKUP(A546,[1]Sheet1!$A:$H,2, FALSE)</f>
        <v>0.1212</v>
      </c>
      <c r="Q546" s="40">
        <f>Table1[[#This Row],[A_Temperature]]*41</f>
        <v>4.9691999999999998</v>
      </c>
      <c r="R546" s="11">
        <f>VLOOKUP(A546,[1]Sheet1!$A:$G,3,FALSE)</f>
        <v>0.5</v>
      </c>
      <c r="S546" s="11">
        <f>VLOOKUP(A546,[1]Sheet1!$A:$G,4,FALSE)</f>
        <v>0.25369999999999998</v>
      </c>
      <c r="T546" s="11">
        <f>VLOOKUP(A546,[1]Sheet1!$A:$G,5,FALSE)</f>
        <v>6</v>
      </c>
      <c r="U546" s="11">
        <f>VLOOKUP(A546,[1]Sheet1!$A:$G,6,FALSE)</f>
        <v>178</v>
      </c>
      <c r="V546" s="18">
        <f>VLOOKUP(A546,[1]Sheet1!$A:$G,7,FALSE)</f>
        <v>184</v>
      </c>
    </row>
    <row r="547" spans="1:22" s="13" customFormat="1" ht="30" customHeight="1">
      <c r="A547" s="17">
        <v>543</v>
      </c>
      <c r="B547" s="14">
        <v>40567</v>
      </c>
      <c r="C547" s="8" t="str">
        <f t="shared" si="27"/>
        <v>Monday</v>
      </c>
      <c r="D547" s="9">
        <v>1</v>
      </c>
      <c r="E547" s="9">
        <v>0</v>
      </c>
      <c r="F547" s="9">
        <v>1</v>
      </c>
      <c r="G547" s="7">
        <v>18</v>
      </c>
      <c r="H547" s="9" t="b">
        <v>0</v>
      </c>
      <c r="I547" s="9">
        <v>1</v>
      </c>
      <c r="J547" s="38" t="str">
        <f>CHOOSE(Table1[[#This Row],[Weekday]]+1,"Sunday","Monday","Tuesday","Wednesday","Thursday","Friday","Saturday")</f>
        <v>Monday</v>
      </c>
      <c r="K547" s="9">
        <v>1</v>
      </c>
      <c r="L547" s="38" t="str">
        <f>IF(Table1[[#This Row],[Weather_code]]=1,"Clear",IF(Table1[[#This Row],[Weather_code]]=2,"Cloudy",IF(Table1[[#This Row],[Weather_code]]=3,"Light Rain",IF(Table1[[#This Row],[Weather_code]]=4,"Heavy Rain"))))</f>
        <v>Clear</v>
      </c>
      <c r="M547" s="10">
        <v>0.14000000000000001</v>
      </c>
      <c r="N547" s="11" t="str">
        <f t="shared" si="25"/>
        <v>Winter</v>
      </c>
      <c r="O547" s="11" t="str">
        <f t="shared" si="26"/>
        <v>Weekday</v>
      </c>
      <c r="P547" s="11">
        <f>VLOOKUP(A547,[1]Sheet1!$A:$H,2, FALSE)</f>
        <v>0.13639999999999999</v>
      </c>
      <c r="Q547" s="40">
        <f>Table1[[#This Row],[A_Temperature]]*41</f>
        <v>5.5923999999999996</v>
      </c>
      <c r="R547" s="11">
        <f>VLOOKUP(A547,[1]Sheet1!$A:$G,3,FALSE)</f>
        <v>0.59</v>
      </c>
      <c r="S547" s="11">
        <f>VLOOKUP(A547,[1]Sheet1!$A:$G,4,FALSE)</f>
        <v>0.19400000000000001</v>
      </c>
      <c r="T547" s="11">
        <f>VLOOKUP(A547,[1]Sheet1!$A:$G,5,FALSE)</f>
        <v>8</v>
      </c>
      <c r="U547" s="11">
        <f>VLOOKUP(A547,[1]Sheet1!$A:$G,6,FALSE)</f>
        <v>145</v>
      </c>
      <c r="V547" s="18">
        <f>VLOOKUP(A547,[1]Sheet1!$A:$G,7,FALSE)</f>
        <v>153</v>
      </c>
    </row>
    <row r="548" spans="1:22" s="13" customFormat="1" ht="30" customHeight="1">
      <c r="A548" s="17">
        <v>544</v>
      </c>
      <c r="B548" s="14">
        <v>40567</v>
      </c>
      <c r="C548" s="8" t="str">
        <f t="shared" si="27"/>
        <v>Monday</v>
      </c>
      <c r="D548" s="9">
        <v>1</v>
      </c>
      <c r="E548" s="9">
        <v>0</v>
      </c>
      <c r="F548" s="9">
        <v>1</v>
      </c>
      <c r="G548" s="7">
        <v>19</v>
      </c>
      <c r="H548" s="9" t="b">
        <v>0</v>
      </c>
      <c r="I548" s="9">
        <v>1</v>
      </c>
      <c r="J548" s="38" t="str">
        <f>CHOOSE(Table1[[#This Row],[Weekday]]+1,"Sunday","Monday","Tuesday","Wednesday","Thursday","Friday","Saturday")</f>
        <v>Monday</v>
      </c>
      <c r="K548" s="9">
        <v>1</v>
      </c>
      <c r="L548" s="38" t="str">
        <f>IF(Table1[[#This Row],[Weather_code]]=1,"Clear",IF(Table1[[#This Row],[Weather_code]]=2,"Cloudy",IF(Table1[[#This Row],[Weather_code]]=3,"Light Rain",IF(Table1[[#This Row],[Weather_code]]=4,"Heavy Rain"))))</f>
        <v>Clear</v>
      </c>
      <c r="M548" s="10">
        <v>0.14000000000000001</v>
      </c>
      <c r="N548" s="11" t="str">
        <f t="shared" si="25"/>
        <v>Winter</v>
      </c>
      <c r="O548" s="11" t="str">
        <f t="shared" si="26"/>
        <v>Weekday</v>
      </c>
      <c r="P548" s="11">
        <f>VLOOKUP(A548,[1]Sheet1!$A:$H,2, FALSE)</f>
        <v>0.1515</v>
      </c>
      <c r="Q548" s="40">
        <f>Table1[[#This Row],[A_Temperature]]*41</f>
        <v>6.2115</v>
      </c>
      <c r="R548" s="11">
        <f>VLOOKUP(A548,[1]Sheet1!$A:$G,3,FALSE)</f>
        <v>0.54</v>
      </c>
      <c r="S548" s="11">
        <f>VLOOKUP(A548,[1]Sheet1!$A:$G,4,FALSE)</f>
        <v>0.16420000000000001</v>
      </c>
      <c r="T548" s="11">
        <f>VLOOKUP(A548,[1]Sheet1!$A:$G,5,FALSE)</f>
        <v>5</v>
      </c>
      <c r="U548" s="11">
        <f>VLOOKUP(A548,[1]Sheet1!$A:$G,6,FALSE)</f>
        <v>101</v>
      </c>
      <c r="V548" s="18">
        <f>VLOOKUP(A548,[1]Sheet1!$A:$G,7,FALSE)</f>
        <v>106</v>
      </c>
    </row>
    <row r="549" spans="1:22" s="13" customFormat="1" ht="30" customHeight="1">
      <c r="A549" s="17">
        <v>545</v>
      </c>
      <c r="B549" s="14">
        <v>40567</v>
      </c>
      <c r="C549" s="8" t="str">
        <f t="shared" si="27"/>
        <v>Monday</v>
      </c>
      <c r="D549" s="9">
        <v>1</v>
      </c>
      <c r="E549" s="9">
        <v>0</v>
      </c>
      <c r="F549" s="9">
        <v>1</v>
      </c>
      <c r="G549" s="7">
        <v>20</v>
      </c>
      <c r="H549" s="9" t="b">
        <v>0</v>
      </c>
      <c r="I549" s="9">
        <v>1</v>
      </c>
      <c r="J549" s="38" t="str">
        <f>CHOOSE(Table1[[#This Row],[Weekday]]+1,"Sunday","Monday","Tuesday","Wednesday","Thursday","Friday","Saturday")</f>
        <v>Monday</v>
      </c>
      <c r="K549" s="9">
        <v>1</v>
      </c>
      <c r="L549" s="38" t="str">
        <f>IF(Table1[[#This Row],[Weather_code]]=1,"Clear",IF(Table1[[#This Row],[Weather_code]]=2,"Cloudy",IF(Table1[[#This Row],[Weather_code]]=3,"Light Rain",IF(Table1[[#This Row],[Weather_code]]=4,"Heavy Rain"))))</f>
        <v>Clear</v>
      </c>
      <c r="M549" s="10">
        <v>0.14000000000000001</v>
      </c>
      <c r="N549" s="11" t="str">
        <f t="shared" si="25"/>
        <v>Winter</v>
      </c>
      <c r="O549" s="11" t="str">
        <f t="shared" si="26"/>
        <v>Weekday</v>
      </c>
      <c r="P549" s="11">
        <f>VLOOKUP(A549,[1]Sheet1!$A:$H,2, FALSE)</f>
        <v>0.13639999999999999</v>
      </c>
      <c r="Q549" s="40">
        <f>Table1[[#This Row],[A_Temperature]]*41</f>
        <v>5.5923999999999996</v>
      </c>
      <c r="R549" s="11">
        <f>VLOOKUP(A549,[1]Sheet1!$A:$G,3,FALSE)</f>
        <v>0.59</v>
      </c>
      <c r="S549" s="11">
        <f>VLOOKUP(A549,[1]Sheet1!$A:$G,4,FALSE)</f>
        <v>0.19400000000000001</v>
      </c>
      <c r="T549" s="11">
        <f>VLOOKUP(A549,[1]Sheet1!$A:$G,5,FALSE)</f>
        <v>1</v>
      </c>
      <c r="U549" s="11">
        <f>VLOOKUP(A549,[1]Sheet1!$A:$G,6,FALSE)</f>
        <v>80</v>
      </c>
      <c r="V549" s="18">
        <f>VLOOKUP(A549,[1]Sheet1!$A:$G,7,FALSE)</f>
        <v>81</v>
      </c>
    </row>
    <row r="550" spans="1:22" s="13" customFormat="1" ht="30" customHeight="1">
      <c r="A550" s="17">
        <v>546</v>
      </c>
      <c r="B550" s="14">
        <v>40567</v>
      </c>
      <c r="C550" s="8" t="str">
        <f t="shared" si="27"/>
        <v>Monday</v>
      </c>
      <c r="D550" s="9">
        <v>1</v>
      </c>
      <c r="E550" s="9">
        <v>0</v>
      </c>
      <c r="F550" s="9">
        <v>1</v>
      </c>
      <c r="G550" s="7">
        <v>21</v>
      </c>
      <c r="H550" s="9" t="b">
        <v>0</v>
      </c>
      <c r="I550" s="9">
        <v>1</v>
      </c>
      <c r="J550" s="38" t="str">
        <f>CHOOSE(Table1[[#This Row],[Weekday]]+1,"Sunday","Monday","Tuesday","Wednesday","Thursday","Friday","Saturday")</f>
        <v>Monday</v>
      </c>
      <c r="K550" s="9">
        <v>1</v>
      </c>
      <c r="L550" s="38" t="str">
        <f>IF(Table1[[#This Row],[Weather_code]]=1,"Clear",IF(Table1[[#This Row],[Weather_code]]=2,"Cloudy",IF(Table1[[#This Row],[Weather_code]]=3,"Light Rain",IF(Table1[[#This Row],[Weather_code]]=4,"Heavy Rain"))))</f>
        <v>Clear</v>
      </c>
      <c r="M550" s="10">
        <v>0.14000000000000001</v>
      </c>
      <c r="N550" s="11" t="str">
        <f t="shared" si="25"/>
        <v>Winter</v>
      </c>
      <c r="O550" s="11" t="str">
        <f t="shared" si="26"/>
        <v>Weekday</v>
      </c>
      <c r="P550" s="11">
        <f>VLOOKUP(A550,[1]Sheet1!$A:$H,2, FALSE)</f>
        <v>0.1515</v>
      </c>
      <c r="Q550" s="40">
        <f>Table1[[#This Row],[A_Temperature]]*41</f>
        <v>6.2115</v>
      </c>
      <c r="R550" s="11">
        <f>VLOOKUP(A550,[1]Sheet1!$A:$G,3,FALSE)</f>
        <v>0.63</v>
      </c>
      <c r="S550" s="11">
        <f>VLOOKUP(A550,[1]Sheet1!$A:$G,4,FALSE)</f>
        <v>0.16420000000000001</v>
      </c>
      <c r="T550" s="11">
        <f>VLOOKUP(A550,[1]Sheet1!$A:$G,5,FALSE)</f>
        <v>6</v>
      </c>
      <c r="U550" s="11">
        <f>VLOOKUP(A550,[1]Sheet1!$A:$G,6,FALSE)</f>
        <v>53</v>
      </c>
      <c r="V550" s="18">
        <f>VLOOKUP(A550,[1]Sheet1!$A:$G,7,FALSE)</f>
        <v>59</v>
      </c>
    </row>
    <row r="551" spans="1:22" s="13" customFormat="1" ht="30" customHeight="1">
      <c r="A551" s="17">
        <v>547</v>
      </c>
      <c r="B551" s="14">
        <v>40567</v>
      </c>
      <c r="C551" s="8" t="str">
        <f t="shared" si="27"/>
        <v>Monday</v>
      </c>
      <c r="D551" s="9">
        <v>1</v>
      </c>
      <c r="E551" s="9">
        <v>0</v>
      </c>
      <c r="F551" s="9">
        <v>1</v>
      </c>
      <c r="G551" s="7">
        <v>22</v>
      </c>
      <c r="H551" s="9" t="b">
        <v>0</v>
      </c>
      <c r="I551" s="9">
        <v>1</v>
      </c>
      <c r="J551" s="38" t="str">
        <f>CHOOSE(Table1[[#This Row],[Weekday]]+1,"Sunday","Monday","Tuesday","Wednesday","Thursday","Friday","Saturday")</f>
        <v>Monday</v>
      </c>
      <c r="K551" s="9">
        <v>2</v>
      </c>
      <c r="L551" s="38" t="str">
        <f>IF(Table1[[#This Row],[Weather_code]]=1,"Clear",IF(Table1[[#This Row],[Weather_code]]=2,"Cloudy",IF(Table1[[#This Row],[Weather_code]]=3,"Light Rain",IF(Table1[[#This Row],[Weather_code]]=4,"Heavy Rain"))))</f>
        <v>Cloudy</v>
      </c>
      <c r="M551" s="10">
        <v>0.14000000000000001</v>
      </c>
      <c r="N551" s="11" t="str">
        <f t="shared" si="25"/>
        <v>Winter</v>
      </c>
      <c r="O551" s="11" t="str">
        <f t="shared" si="26"/>
        <v>Weekday</v>
      </c>
      <c r="P551" s="11">
        <f>VLOOKUP(A551,[1]Sheet1!$A:$H,2, FALSE)</f>
        <v>0.13639999999999999</v>
      </c>
      <c r="Q551" s="40">
        <f>Table1[[#This Row],[A_Temperature]]*41</f>
        <v>5.5923999999999996</v>
      </c>
      <c r="R551" s="11">
        <f>VLOOKUP(A551,[1]Sheet1!$A:$G,3,FALSE)</f>
        <v>0.63</v>
      </c>
      <c r="S551" s="11">
        <f>VLOOKUP(A551,[1]Sheet1!$A:$G,4,FALSE)</f>
        <v>0.22389999999999999</v>
      </c>
      <c r="T551" s="11">
        <f>VLOOKUP(A551,[1]Sheet1!$A:$G,5,FALSE)</f>
        <v>3</v>
      </c>
      <c r="U551" s="11">
        <f>VLOOKUP(A551,[1]Sheet1!$A:$G,6,FALSE)</f>
        <v>32</v>
      </c>
      <c r="V551" s="18">
        <f>VLOOKUP(A551,[1]Sheet1!$A:$G,7,FALSE)</f>
        <v>35</v>
      </c>
    </row>
    <row r="552" spans="1:22" s="13" customFormat="1" ht="30" customHeight="1">
      <c r="A552" s="17">
        <v>548</v>
      </c>
      <c r="B552" s="14">
        <v>40567</v>
      </c>
      <c r="C552" s="8" t="str">
        <f t="shared" si="27"/>
        <v>Monday</v>
      </c>
      <c r="D552" s="9">
        <v>1</v>
      </c>
      <c r="E552" s="9">
        <v>0</v>
      </c>
      <c r="F552" s="9">
        <v>1</v>
      </c>
      <c r="G552" s="7">
        <v>23</v>
      </c>
      <c r="H552" s="9" t="b">
        <v>0</v>
      </c>
      <c r="I552" s="9">
        <v>1</v>
      </c>
      <c r="J552" s="38" t="str">
        <f>CHOOSE(Table1[[#This Row],[Weekday]]+1,"Sunday","Monday","Tuesday","Wednesday","Thursday","Friday","Saturday")</f>
        <v>Monday</v>
      </c>
      <c r="K552" s="9">
        <v>2</v>
      </c>
      <c r="L552" s="38" t="str">
        <f>IF(Table1[[#This Row],[Weather_code]]=1,"Clear",IF(Table1[[#This Row],[Weather_code]]=2,"Cloudy",IF(Table1[[#This Row],[Weather_code]]=3,"Light Rain",IF(Table1[[#This Row],[Weather_code]]=4,"Heavy Rain"))))</f>
        <v>Cloudy</v>
      </c>
      <c r="M552" s="10">
        <v>0.16</v>
      </c>
      <c r="N552" s="11" t="str">
        <f t="shared" si="25"/>
        <v>Winter</v>
      </c>
      <c r="O552" s="11" t="str">
        <f t="shared" si="26"/>
        <v>Weekday</v>
      </c>
      <c r="P552" s="11">
        <f>VLOOKUP(A552,[1]Sheet1!$A:$H,2, FALSE)</f>
        <v>0.1515</v>
      </c>
      <c r="Q552" s="40">
        <f>Table1[[#This Row],[A_Temperature]]*41</f>
        <v>6.2115</v>
      </c>
      <c r="R552" s="11">
        <f>VLOOKUP(A552,[1]Sheet1!$A:$G,3,FALSE)</f>
        <v>0.64</v>
      </c>
      <c r="S552" s="11">
        <f>VLOOKUP(A552,[1]Sheet1!$A:$G,4,FALSE)</f>
        <v>0.25369999999999998</v>
      </c>
      <c r="T552" s="11">
        <f>VLOOKUP(A552,[1]Sheet1!$A:$G,5,FALSE)</f>
        <v>3</v>
      </c>
      <c r="U552" s="11">
        <f>VLOOKUP(A552,[1]Sheet1!$A:$G,6,FALSE)</f>
        <v>21</v>
      </c>
      <c r="V552" s="18">
        <f>VLOOKUP(A552,[1]Sheet1!$A:$G,7,FALSE)</f>
        <v>24</v>
      </c>
    </row>
    <row r="553" spans="1:22" s="13" customFormat="1" ht="30" customHeight="1">
      <c r="A553" s="17">
        <v>549</v>
      </c>
      <c r="B553" s="14">
        <v>40568</v>
      </c>
      <c r="C553" s="8" t="str">
        <f t="shared" si="27"/>
        <v>Tuesday</v>
      </c>
      <c r="D553" s="9">
        <v>1</v>
      </c>
      <c r="E553" s="9">
        <v>0</v>
      </c>
      <c r="F553" s="9">
        <v>1</v>
      </c>
      <c r="G553" s="7">
        <v>0</v>
      </c>
      <c r="H553" s="9" t="b">
        <v>0</v>
      </c>
      <c r="I553" s="9">
        <v>2</v>
      </c>
      <c r="J553" s="38" t="str">
        <f>CHOOSE(Table1[[#This Row],[Weekday]]+1,"Sunday","Monday","Tuesday","Wednesday","Thursday","Friday","Saturday")</f>
        <v>Tuesday</v>
      </c>
      <c r="K553" s="9">
        <v>2</v>
      </c>
      <c r="L553" s="38" t="str">
        <f>IF(Table1[[#This Row],[Weather_code]]=1,"Clear",IF(Table1[[#This Row],[Weather_code]]=2,"Cloudy",IF(Table1[[#This Row],[Weather_code]]=3,"Light Rain",IF(Table1[[#This Row],[Weather_code]]=4,"Heavy Rain"))))</f>
        <v>Cloudy</v>
      </c>
      <c r="M553" s="10">
        <v>0.16</v>
      </c>
      <c r="N553" s="11" t="str">
        <f t="shared" si="25"/>
        <v>Winter</v>
      </c>
      <c r="O553" s="11" t="str">
        <f t="shared" si="26"/>
        <v>Weekday</v>
      </c>
      <c r="P553" s="11">
        <f>VLOOKUP(A553,[1]Sheet1!$A:$H,2, FALSE)</f>
        <v>0.13639999999999999</v>
      </c>
      <c r="Q553" s="40">
        <f>Table1[[#This Row],[A_Temperature]]*41</f>
        <v>5.5923999999999996</v>
      </c>
      <c r="R553" s="11">
        <f>VLOOKUP(A553,[1]Sheet1!$A:$G,3,FALSE)</f>
        <v>0.69</v>
      </c>
      <c r="S553" s="11">
        <f>VLOOKUP(A553,[1]Sheet1!$A:$G,4,FALSE)</f>
        <v>0.28360000000000002</v>
      </c>
      <c r="T553" s="11">
        <f>VLOOKUP(A553,[1]Sheet1!$A:$G,5,FALSE)</f>
        <v>3</v>
      </c>
      <c r="U553" s="11">
        <f>VLOOKUP(A553,[1]Sheet1!$A:$G,6,FALSE)</f>
        <v>6</v>
      </c>
      <c r="V553" s="18">
        <f>VLOOKUP(A553,[1]Sheet1!$A:$G,7,FALSE)</f>
        <v>9</v>
      </c>
    </row>
    <row r="554" spans="1:22" s="13" customFormat="1" ht="30" customHeight="1">
      <c r="A554" s="17">
        <v>550</v>
      </c>
      <c r="B554" s="14">
        <v>40568</v>
      </c>
      <c r="C554" s="8" t="str">
        <f t="shared" si="27"/>
        <v>Tuesday</v>
      </c>
      <c r="D554" s="9">
        <v>1</v>
      </c>
      <c r="E554" s="9">
        <v>0</v>
      </c>
      <c r="F554" s="9">
        <v>1</v>
      </c>
      <c r="G554" s="7">
        <v>1</v>
      </c>
      <c r="H554" s="9" t="b">
        <v>0</v>
      </c>
      <c r="I554" s="9">
        <v>2</v>
      </c>
      <c r="J554" s="38" t="str">
        <f>CHOOSE(Table1[[#This Row],[Weekday]]+1,"Sunday","Monday","Tuesday","Wednesday","Thursday","Friday","Saturday")</f>
        <v>Tuesday</v>
      </c>
      <c r="K554" s="9">
        <v>2</v>
      </c>
      <c r="L554" s="38" t="str">
        <f>IF(Table1[[#This Row],[Weather_code]]=1,"Clear",IF(Table1[[#This Row],[Weather_code]]=2,"Cloudy",IF(Table1[[#This Row],[Weather_code]]=3,"Light Rain",IF(Table1[[#This Row],[Weather_code]]=4,"Heavy Rain"))))</f>
        <v>Cloudy</v>
      </c>
      <c r="M554" s="10">
        <v>0.16</v>
      </c>
      <c r="N554" s="11" t="str">
        <f t="shared" si="25"/>
        <v>Winter</v>
      </c>
      <c r="O554" s="11" t="str">
        <f t="shared" si="26"/>
        <v>Weekday</v>
      </c>
      <c r="P554" s="11">
        <f>VLOOKUP(A554,[1]Sheet1!$A:$H,2, FALSE)</f>
        <v>0.16669999999999999</v>
      </c>
      <c r="Q554" s="40">
        <f>Table1[[#This Row],[A_Temperature]]*41</f>
        <v>6.8346999999999998</v>
      </c>
      <c r="R554" s="11">
        <f>VLOOKUP(A554,[1]Sheet1!$A:$G,3,FALSE)</f>
        <v>0.69</v>
      </c>
      <c r="S554" s="11">
        <f>VLOOKUP(A554,[1]Sheet1!$A:$G,4,FALSE)</f>
        <v>0.16420000000000001</v>
      </c>
      <c r="T554" s="11">
        <f>VLOOKUP(A554,[1]Sheet1!$A:$G,5,FALSE)</f>
        <v>0</v>
      </c>
      <c r="U554" s="11">
        <f>VLOOKUP(A554,[1]Sheet1!$A:$G,6,FALSE)</f>
        <v>5</v>
      </c>
      <c r="V554" s="18">
        <f>VLOOKUP(A554,[1]Sheet1!$A:$G,7,FALSE)</f>
        <v>5</v>
      </c>
    </row>
    <row r="555" spans="1:22" s="13" customFormat="1" ht="30" customHeight="1">
      <c r="A555" s="17">
        <v>551</v>
      </c>
      <c r="B555" s="14">
        <v>40568</v>
      </c>
      <c r="C555" s="8" t="str">
        <f t="shared" si="27"/>
        <v>Tuesday</v>
      </c>
      <c r="D555" s="9">
        <v>1</v>
      </c>
      <c r="E555" s="9">
        <v>0</v>
      </c>
      <c r="F555" s="9">
        <v>1</v>
      </c>
      <c r="G555" s="7">
        <v>2</v>
      </c>
      <c r="H555" s="9" t="b">
        <v>0</v>
      </c>
      <c r="I555" s="9">
        <v>2</v>
      </c>
      <c r="J555" s="38" t="str">
        <f>CHOOSE(Table1[[#This Row],[Weekday]]+1,"Sunday","Monday","Tuesday","Wednesday","Thursday","Friday","Saturday")</f>
        <v>Tuesday</v>
      </c>
      <c r="K555" s="9">
        <v>1</v>
      </c>
      <c r="L555" s="38" t="str">
        <f>IF(Table1[[#This Row],[Weather_code]]=1,"Clear",IF(Table1[[#This Row],[Weather_code]]=2,"Cloudy",IF(Table1[[#This Row],[Weather_code]]=3,"Light Rain",IF(Table1[[#This Row],[Weather_code]]=4,"Heavy Rain"))))</f>
        <v>Clear</v>
      </c>
      <c r="M555" s="10">
        <v>0.16</v>
      </c>
      <c r="N555" s="11" t="str">
        <f t="shared" si="25"/>
        <v>Winter</v>
      </c>
      <c r="O555" s="11" t="str">
        <f t="shared" si="26"/>
        <v>Weekday</v>
      </c>
      <c r="P555" s="11">
        <f>VLOOKUP(A555,[1]Sheet1!$A:$H,2, FALSE)</f>
        <v>0.1515</v>
      </c>
      <c r="Q555" s="40">
        <f>Table1[[#This Row],[A_Temperature]]*41</f>
        <v>6.2115</v>
      </c>
      <c r="R555" s="11">
        <f>VLOOKUP(A555,[1]Sheet1!$A:$G,3,FALSE)</f>
        <v>0.69</v>
      </c>
      <c r="S555" s="11">
        <f>VLOOKUP(A555,[1]Sheet1!$A:$G,4,FALSE)</f>
        <v>0.22389999999999999</v>
      </c>
      <c r="T555" s="11">
        <f>VLOOKUP(A555,[1]Sheet1!$A:$G,5,FALSE)</f>
        <v>0</v>
      </c>
      <c r="U555" s="11">
        <f>VLOOKUP(A555,[1]Sheet1!$A:$G,6,FALSE)</f>
        <v>2</v>
      </c>
      <c r="V555" s="18">
        <f>VLOOKUP(A555,[1]Sheet1!$A:$G,7,FALSE)</f>
        <v>2</v>
      </c>
    </row>
    <row r="556" spans="1:22" s="13" customFormat="1" ht="30" customHeight="1">
      <c r="A556" s="17">
        <v>552</v>
      </c>
      <c r="B556" s="14">
        <v>40568</v>
      </c>
      <c r="C556" s="8" t="str">
        <f t="shared" si="27"/>
        <v>Tuesday</v>
      </c>
      <c r="D556" s="9">
        <v>1</v>
      </c>
      <c r="E556" s="9">
        <v>0</v>
      </c>
      <c r="F556" s="9">
        <v>1</v>
      </c>
      <c r="G556" s="7">
        <v>4</v>
      </c>
      <c r="H556" s="9" t="b">
        <v>0</v>
      </c>
      <c r="I556" s="9">
        <v>2</v>
      </c>
      <c r="J556" s="38" t="str">
        <f>CHOOSE(Table1[[#This Row],[Weekday]]+1,"Sunday","Monday","Tuesday","Wednesday","Thursday","Friday","Saturday")</f>
        <v>Tuesday</v>
      </c>
      <c r="K556" s="9">
        <v>1</v>
      </c>
      <c r="L556" s="38" t="str">
        <f>IF(Table1[[#This Row],[Weather_code]]=1,"Clear",IF(Table1[[#This Row],[Weather_code]]=2,"Cloudy",IF(Table1[[#This Row],[Weather_code]]=3,"Light Rain",IF(Table1[[#This Row],[Weather_code]]=4,"Heavy Rain"))))</f>
        <v>Clear</v>
      </c>
      <c r="M556" s="10">
        <v>0.14000000000000001</v>
      </c>
      <c r="N556" s="11" t="str">
        <f t="shared" si="25"/>
        <v>Winter</v>
      </c>
      <c r="O556" s="11" t="str">
        <f t="shared" si="26"/>
        <v>Weekday</v>
      </c>
      <c r="P556" s="11">
        <f>VLOOKUP(A556,[1]Sheet1!$A:$H,2, FALSE)</f>
        <v>0.16669999999999999</v>
      </c>
      <c r="Q556" s="40">
        <f>Table1[[#This Row],[A_Temperature]]*41</f>
        <v>6.8346999999999998</v>
      </c>
      <c r="R556" s="11">
        <f>VLOOKUP(A556,[1]Sheet1!$A:$G,3,FALSE)</f>
        <v>0.74</v>
      </c>
      <c r="S556" s="11">
        <f>VLOOKUP(A556,[1]Sheet1!$A:$G,4,FALSE)</f>
        <v>0.1045</v>
      </c>
      <c r="T556" s="11">
        <f>VLOOKUP(A556,[1]Sheet1!$A:$G,5,FALSE)</f>
        <v>0</v>
      </c>
      <c r="U556" s="11">
        <f>VLOOKUP(A556,[1]Sheet1!$A:$G,6,FALSE)</f>
        <v>1</v>
      </c>
      <c r="V556" s="18">
        <f>VLOOKUP(A556,[1]Sheet1!$A:$G,7,FALSE)</f>
        <v>1</v>
      </c>
    </row>
    <row r="557" spans="1:22" s="13" customFormat="1" ht="30" customHeight="1">
      <c r="A557" s="17">
        <v>553</v>
      </c>
      <c r="B557" s="14">
        <v>40568</v>
      </c>
      <c r="C557" s="8" t="str">
        <f t="shared" si="27"/>
        <v>Tuesday</v>
      </c>
      <c r="D557" s="9">
        <v>1</v>
      </c>
      <c r="E557" s="9">
        <v>0</v>
      </c>
      <c r="F557" s="9">
        <v>1</v>
      </c>
      <c r="G557" s="7">
        <v>5</v>
      </c>
      <c r="H557" s="9" t="b">
        <v>0</v>
      </c>
      <c r="I557" s="9">
        <v>2</v>
      </c>
      <c r="J557" s="38" t="str">
        <f>CHOOSE(Table1[[#This Row],[Weekday]]+1,"Sunday","Monday","Tuesday","Wednesday","Thursday","Friday","Saturday")</f>
        <v>Tuesday</v>
      </c>
      <c r="K557" s="9">
        <v>1</v>
      </c>
      <c r="L557" s="38" t="str">
        <f>IF(Table1[[#This Row],[Weather_code]]=1,"Clear",IF(Table1[[#This Row],[Weather_code]]=2,"Cloudy",IF(Table1[[#This Row],[Weather_code]]=3,"Light Rain",IF(Table1[[#This Row],[Weather_code]]=4,"Heavy Rain"))))</f>
        <v>Clear</v>
      </c>
      <c r="M557" s="10">
        <v>0.14000000000000001</v>
      </c>
      <c r="N557" s="11" t="str">
        <f t="shared" si="25"/>
        <v>Winter</v>
      </c>
      <c r="O557" s="11" t="str">
        <f t="shared" si="26"/>
        <v>Weekday</v>
      </c>
      <c r="P557" s="11">
        <f>VLOOKUP(A557,[1]Sheet1!$A:$H,2, FALSE)</f>
        <v>0.13639999999999999</v>
      </c>
      <c r="Q557" s="40">
        <f>Table1[[#This Row],[A_Temperature]]*41</f>
        <v>5.5923999999999996</v>
      </c>
      <c r="R557" s="11">
        <f>VLOOKUP(A557,[1]Sheet1!$A:$G,3,FALSE)</f>
        <v>0.74</v>
      </c>
      <c r="S557" s="11">
        <f>VLOOKUP(A557,[1]Sheet1!$A:$G,4,FALSE)</f>
        <v>0.22389999999999999</v>
      </c>
      <c r="T557" s="11">
        <f>VLOOKUP(A557,[1]Sheet1!$A:$G,5,FALSE)</f>
        <v>0</v>
      </c>
      <c r="U557" s="11">
        <f>VLOOKUP(A557,[1]Sheet1!$A:$G,6,FALSE)</f>
        <v>9</v>
      </c>
      <c r="V557" s="18">
        <f>VLOOKUP(A557,[1]Sheet1!$A:$G,7,FALSE)</f>
        <v>9</v>
      </c>
    </row>
    <row r="558" spans="1:22" s="13" customFormat="1" ht="30" customHeight="1">
      <c r="A558" s="17">
        <v>554</v>
      </c>
      <c r="B558" s="14">
        <v>40568</v>
      </c>
      <c r="C558" s="8" t="str">
        <f t="shared" si="27"/>
        <v>Tuesday</v>
      </c>
      <c r="D558" s="9">
        <v>1</v>
      </c>
      <c r="E558" s="9">
        <v>0</v>
      </c>
      <c r="F558" s="9">
        <v>1</v>
      </c>
      <c r="G558" s="7">
        <v>6</v>
      </c>
      <c r="H558" s="9" t="b">
        <v>0</v>
      </c>
      <c r="I558" s="9">
        <v>2</v>
      </c>
      <c r="J558" s="38" t="str">
        <f>CHOOSE(Table1[[#This Row],[Weekday]]+1,"Sunday","Monday","Tuesday","Wednesday","Thursday","Friday","Saturday")</f>
        <v>Tuesday</v>
      </c>
      <c r="K558" s="9">
        <v>1</v>
      </c>
      <c r="L558" s="38" t="str">
        <f>IF(Table1[[#This Row],[Weather_code]]=1,"Clear",IF(Table1[[#This Row],[Weather_code]]=2,"Cloudy",IF(Table1[[#This Row],[Weather_code]]=3,"Light Rain",IF(Table1[[#This Row],[Weather_code]]=4,"Heavy Rain"))))</f>
        <v>Clear</v>
      </c>
      <c r="M558" s="10">
        <v>0.16</v>
      </c>
      <c r="N558" s="11" t="str">
        <f t="shared" si="25"/>
        <v>Winter</v>
      </c>
      <c r="O558" s="11" t="str">
        <f t="shared" si="26"/>
        <v>Weekday</v>
      </c>
      <c r="P558" s="11">
        <f>VLOOKUP(A558,[1]Sheet1!$A:$H,2, FALSE)</f>
        <v>0.18179999999999999</v>
      </c>
      <c r="Q558" s="40">
        <f>Table1[[#This Row],[A_Temperature]]*41</f>
        <v>7.4537999999999993</v>
      </c>
      <c r="R558" s="11">
        <f>VLOOKUP(A558,[1]Sheet1!$A:$G,3,FALSE)</f>
        <v>0.74</v>
      </c>
      <c r="S558" s="11">
        <f>VLOOKUP(A558,[1]Sheet1!$A:$G,4,FALSE)</f>
        <v>0.1045</v>
      </c>
      <c r="T558" s="11">
        <f>VLOOKUP(A558,[1]Sheet1!$A:$G,5,FALSE)</f>
        <v>1</v>
      </c>
      <c r="U558" s="11">
        <f>VLOOKUP(A558,[1]Sheet1!$A:$G,6,FALSE)</f>
        <v>35</v>
      </c>
      <c r="V558" s="18">
        <f>VLOOKUP(A558,[1]Sheet1!$A:$G,7,FALSE)</f>
        <v>36</v>
      </c>
    </row>
    <row r="559" spans="1:22" s="13" customFormat="1" ht="30" customHeight="1">
      <c r="A559" s="17">
        <v>555</v>
      </c>
      <c r="B559" s="14">
        <v>40568</v>
      </c>
      <c r="C559" s="8" t="str">
        <f t="shared" si="27"/>
        <v>Tuesday</v>
      </c>
      <c r="D559" s="9">
        <v>1</v>
      </c>
      <c r="E559" s="9">
        <v>0</v>
      </c>
      <c r="F559" s="9">
        <v>1</v>
      </c>
      <c r="G559" s="7">
        <v>7</v>
      </c>
      <c r="H559" s="9" t="b">
        <v>0</v>
      </c>
      <c r="I559" s="9">
        <v>2</v>
      </c>
      <c r="J559" s="38" t="str">
        <f>CHOOSE(Table1[[#This Row],[Weekday]]+1,"Sunday","Monday","Tuesday","Wednesday","Thursday","Friday","Saturday")</f>
        <v>Tuesday</v>
      </c>
      <c r="K559" s="9">
        <v>1</v>
      </c>
      <c r="L559" s="38" t="str">
        <f>IF(Table1[[#This Row],[Weather_code]]=1,"Clear",IF(Table1[[#This Row],[Weather_code]]=2,"Cloudy",IF(Table1[[#This Row],[Weather_code]]=3,"Light Rain",IF(Table1[[#This Row],[Weather_code]]=4,"Heavy Rain"))))</f>
        <v>Clear</v>
      </c>
      <c r="M559" s="10">
        <v>0.16</v>
      </c>
      <c r="N559" s="11" t="str">
        <f t="shared" si="25"/>
        <v>Winter</v>
      </c>
      <c r="O559" s="11" t="str">
        <f t="shared" si="26"/>
        <v>Weekday</v>
      </c>
      <c r="P559" s="11">
        <f>VLOOKUP(A559,[1]Sheet1!$A:$H,2, FALSE)</f>
        <v>0.1515</v>
      </c>
      <c r="Q559" s="40">
        <f>Table1[[#This Row],[A_Temperature]]*41</f>
        <v>6.2115</v>
      </c>
      <c r="R559" s="11">
        <f>VLOOKUP(A559,[1]Sheet1!$A:$G,3,FALSE)</f>
        <v>0.74</v>
      </c>
      <c r="S559" s="11">
        <f>VLOOKUP(A559,[1]Sheet1!$A:$G,4,FALSE)</f>
        <v>0.22389999999999999</v>
      </c>
      <c r="T559" s="11">
        <f>VLOOKUP(A559,[1]Sheet1!$A:$G,5,FALSE)</f>
        <v>5</v>
      </c>
      <c r="U559" s="11">
        <f>VLOOKUP(A559,[1]Sheet1!$A:$G,6,FALSE)</f>
        <v>103</v>
      </c>
      <c r="V559" s="18">
        <f>VLOOKUP(A559,[1]Sheet1!$A:$G,7,FALSE)</f>
        <v>108</v>
      </c>
    </row>
    <row r="560" spans="1:22" s="13" customFormat="1" ht="30" customHeight="1">
      <c r="A560" s="17">
        <v>556</v>
      </c>
      <c r="B560" s="14">
        <v>40568</v>
      </c>
      <c r="C560" s="8" t="str">
        <f t="shared" si="27"/>
        <v>Tuesday</v>
      </c>
      <c r="D560" s="9">
        <v>1</v>
      </c>
      <c r="E560" s="9">
        <v>0</v>
      </c>
      <c r="F560" s="9">
        <v>1</v>
      </c>
      <c r="G560" s="7">
        <v>8</v>
      </c>
      <c r="H560" s="9" t="b">
        <v>0</v>
      </c>
      <c r="I560" s="9">
        <v>2</v>
      </c>
      <c r="J560" s="38" t="str">
        <f>CHOOSE(Table1[[#This Row],[Weekday]]+1,"Sunday","Monday","Tuesday","Wednesday","Thursday","Friday","Saturday")</f>
        <v>Tuesday</v>
      </c>
      <c r="K560" s="9">
        <v>2</v>
      </c>
      <c r="L560" s="38" t="str">
        <f>IF(Table1[[#This Row],[Weather_code]]=1,"Clear",IF(Table1[[#This Row],[Weather_code]]=2,"Cloudy",IF(Table1[[#This Row],[Weather_code]]=3,"Light Rain",IF(Table1[[#This Row],[Weather_code]]=4,"Heavy Rain"))))</f>
        <v>Cloudy</v>
      </c>
      <c r="M560" s="10">
        <v>0.16</v>
      </c>
      <c r="N560" s="11" t="str">
        <f t="shared" si="25"/>
        <v>Winter</v>
      </c>
      <c r="O560" s="11" t="str">
        <f t="shared" si="26"/>
        <v>Weekday</v>
      </c>
      <c r="P560" s="11">
        <f>VLOOKUP(A560,[1]Sheet1!$A:$H,2, FALSE)</f>
        <v>0.18179999999999999</v>
      </c>
      <c r="Q560" s="40">
        <f>Table1[[#This Row],[A_Temperature]]*41</f>
        <v>7.4537999999999993</v>
      </c>
      <c r="R560" s="11">
        <f>VLOOKUP(A560,[1]Sheet1!$A:$G,3,FALSE)</f>
        <v>0.74</v>
      </c>
      <c r="S560" s="11">
        <f>VLOOKUP(A560,[1]Sheet1!$A:$G,4,FALSE)</f>
        <v>0.1343</v>
      </c>
      <c r="T560" s="11">
        <f>VLOOKUP(A560,[1]Sheet1!$A:$G,5,FALSE)</f>
        <v>5</v>
      </c>
      <c r="U560" s="11">
        <f>VLOOKUP(A560,[1]Sheet1!$A:$G,6,FALSE)</f>
        <v>233</v>
      </c>
      <c r="V560" s="18">
        <f>VLOOKUP(A560,[1]Sheet1!$A:$G,7,FALSE)</f>
        <v>238</v>
      </c>
    </row>
    <row r="561" spans="1:22" s="13" customFormat="1" ht="30" customHeight="1">
      <c r="A561" s="17">
        <v>557</v>
      </c>
      <c r="B561" s="14">
        <v>40568</v>
      </c>
      <c r="C561" s="8" t="str">
        <f t="shared" si="27"/>
        <v>Tuesday</v>
      </c>
      <c r="D561" s="9">
        <v>1</v>
      </c>
      <c r="E561" s="9">
        <v>0</v>
      </c>
      <c r="F561" s="9">
        <v>1</v>
      </c>
      <c r="G561" s="7">
        <v>9</v>
      </c>
      <c r="H561" s="9" t="b">
        <v>0</v>
      </c>
      <c r="I561" s="9">
        <v>2</v>
      </c>
      <c r="J561" s="38" t="str">
        <f>CHOOSE(Table1[[#This Row],[Weekday]]+1,"Sunday","Monday","Tuesday","Wednesday","Thursday","Friday","Saturday")</f>
        <v>Tuesday</v>
      </c>
      <c r="K561" s="9">
        <v>2</v>
      </c>
      <c r="L561" s="38" t="str">
        <f>IF(Table1[[#This Row],[Weather_code]]=1,"Clear",IF(Table1[[#This Row],[Weather_code]]=2,"Cloudy",IF(Table1[[#This Row],[Weather_code]]=3,"Light Rain",IF(Table1[[#This Row],[Weather_code]]=4,"Heavy Rain"))))</f>
        <v>Cloudy</v>
      </c>
      <c r="M561" s="10">
        <v>0.2</v>
      </c>
      <c r="N561" s="11" t="str">
        <f t="shared" si="25"/>
        <v>Winter</v>
      </c>
      <c r="O561" s="11" t="str">
        <f t="shared" si="26"/>
        <v>Weekday</v>
      </c>
      <c r="P561" s="11">
        <f>VLOOKUP(A561,[1]Sheet1!$A:$H,2, FALSE)</f>
        <v>0.2273</v>
      </c>
      <c r="Q561" s="40">
        <f>Table1[[#This Row],[A_Temperature]]*41</f>
        <v>9.3193000000000001</v>
      </c>
      <c r="R561" s="11">
        <f>VLOOKUP(A561,[1]Sheet1!$A:$G,3,FALSE)</f>
        <v>0.64</v>
      </c>
      <c r="S561" s="11">
        <f>VLOOKUP(A561,[1]Sheet1!$A:$G,4,FALSE)</f>
        <v>8.9599999999999999E-2</v>
      </c>
      <c r="T561" s="11">
        <f>VLOOKUP(A561,[1]Sheet1!$A:$G,5,FALSE)</f>
        <v>10</v>
      </c>
      <c r="U561" s="11">
        <f>VLOOKUP(A561,[1]Sheet1!$A:$G,6,FALSE)</f>
        <v>134</v>
      </c>
      <c r="V561" s="18">
        <f>VLOOKUP(A561,[1]Sheet1!$A:$G,7,FALSE)</f>
        <v>144</v>
      </c>
    </row>
    <row r="562" spans="1:22" s="13" customFormat="1" ht="30" customHeight="1">
      <c r="A562" s="17">
        <v>558</v>
      </c>
      <c r="B562" s="14">
        <v>40568</v>
      </c>
      <c r="C562" s="8" t="str">
        <f t="shared" si="27"/>
        <v>Tuesday</v>
      </c>
      <c r="D562" s="9">
        <v>1</v>
      </c>
      <c r="E562" s="9">
        <v>0</v>
      </c>
      <c r="F562" s="9">
        <v>1</v>
      </c>
      <c r="G562" s="7">
        <v>10</v>
      </c>
      <c r="H562" s="9" t="b">
        <v>0</v>
      </c>
      <c r="I562" s="9">
        <v>2</v>
      </c>
      <c r="J562" s="38" t="str">
        <f>CHOOSE(Table1[[#This Row],[Weekday]]+1,"Sunday","Monday","Tuesday","Wednesday","Thursday","Friday","Saturday")</f>
        <v>Tuesday</v>
      </c>
      <c r="K562" s="9">
        <v>2</v>
      </c>
      <c r="L562" s="38" t="str">
        <f>IF(Table1[[#This Row],[Weather_code]]=1,"Clear",IF(Table1[[#This Row],[Weather_code]]=2,"Cloudy",IF(Table1[[#This Row],[Weather_code]]=3,"Light Rain",IF(Table1[[#This Row],[Weather_code]]=4,"Heavy Rain"))))</f>
        <v>Cloudy</v>
      </c>
      <c r="M562" s="10">
        <v>0.22</v>
      </c>
      <c r="N562" s="11" t="str">
        <f t="shared" si="25"/>
        <v>Winter</v>
      </c>
      <c r="O562" s="11" t="str">
        <f t="shared" si="26"/>
        <v>Weekday</v>
      </c>
      <c r="P562" s="11">
        <f>VLOOKUP(A562,[1]Sheet1!$A:$H,2, FALSE)</f>
        <v>0.2424</v>
      </c>
      <c r="Q562" s="40">
        <f>Table1[[#This Row],[A_Temperature]]*41</f>
        <v>9.9383999999999997</v>
      </c>
      <c r="R562" s="11">
        <f>VLOOKUP(A562,[1]Sheet1!$A:$G,3,FALSE)</f>
        <v>0.6</v>
      </c>
      <c r="S562" s="11">
        <f>VLOOKUP(A562,[1]Sheet1!$A:$G,4,FALSE)</f>
        <v>0.1045</v>
      </c>
      <c r="T562" s="11">
        <f>VLOOKUP(A562,[1]Sheet1!$A:$G,5,FALSE)</f>
        <v>6</v>
      </c>
      <c r="U562" s="11">
        <f>VLOOKUP(A562,[1]Sheet1!$A:$G,6,FALSE)</f>
        <v>49</v>
      </c>
      <c r="V562" s="18">
        <f>VLOOKUP(A562,[1]Sheet1!$A:$G,7,FALSE)</f>
        <v>55</v>
      </c>
    </row>
    <row r="563" spans="1:22" s="13" customFormat="1" ht="30" customHeight="1">
      <c r="A563" s="17">
        <v>559</v>
      </c>
      <c r="B563" s="14">
        <v>40568</v>
      </c>
      <c r="C563" s="8" t="str">
        <f t="shared" si="27"/>
        <v>Tuesday</v>
      </c>
      <c r="D563" s="9">
        <v>1</v>
      </c>
      <c r="E563" s="9">
        <v>0</v>
      </c>
      <c r="F563" s="9">
        <v>1</v>
      </c>
      <c r="G563" s="7">
        <v>11</v>
      </c>
      <c r="H563" s="9" t="b">
        <v>0</v>
      </c>
      <c r="I563" s="9">
        <v>2</v>
      </c>
      <c r="J563" s="38" t="str">
        <f>CHOOSE(Table1[[#This Row],[Weekday]]+1,"Sunday","Monday","Tuesday","Wednesday","Thursday","Friday","Saturday")</f>
        <v>Tuesday</v>
      </c>
      <c r="K563" s="9">
        <v>2</v>
      </c>
      <c r="L563" s="38" t="str">
        <f>IF(Table1[[#This Row],[Weather_code]]=1,"Clear",IF(Table1[[#This Row],[Weather_code]]=2,"Cloudy",IF(Table1[[#This Row],[Weather_code]]=3,"Light Rain",IF(Table1[[#This Row],[Weather_code]]=4,"Heavy Rain"))))</f>
        <v>Cloudy</v>
      </c>
      <c r="M563" s="10">
        <v>0.24</v>
      </c>
      <c r="N563" s="11" t="str">
        <f t="shared" si="25"/>
        <v>Winter</v>
      </c>
      <c r="O563" s="11" t="str">
        <f t="shared" si="26"/>
        <v>Weekday</v>
      </c>
      <c r="P563" s="11">
        <f>VLOOKUP(A563,[1]Sheet1!$A:$H,2, FALSE)</f>
        <v>0.2424</v>
      </c>
      <c r="Q563" s="40">
        <f>Table1[[#This Row],[A_Temperature]]*41</f>
        <v>9.9383999999999997</v>
      </c>
      <c r="R563" s="11">
        <f>VLOOKUP(A563,[1]Sheet1!$A:$G,3,FALSE)</f>
        <v>0.6</v>
      </c>
      <c r="S563" s="11">
        <f>VLOOKUP(A563,[1]Sheet1!$A:$G,4,FALSE)</f>
        <v>0.1343</v>
      </c>
      <c r="T563" s="11">
        <f>VLOOKUP(A563,[1]Sheet1!$A:$G,5,FALSE)</f>
        <v>6</v>
      </c>
      <c r="U563" s="11">
        <f>VLOOKUP(A563,[1]Sheet1!$A:$G,6,FALSE)</f>
        <v>55</v>
      </c>
      <c r="V563" s="18">
        <f>VLOOKUP(A563,[1]Sheet1!$A:$G,7,FALSE)</f>
        <v>61</v>
      </c>
    </row>
    <row r="564" spans="1:22" s="13" customFormat="1" ht="30" customHeight="1">
      <c r="A564" s="17">
        <v>560</v>
      </c>
      <c r="B564" s="14">
        <v>40568</v>
      </c>
      <c r="C564" s="8" t="str">
        <f t="shared" si="27"/>
        <v>Tuesday</v>
      </c>
      <c r="D564" s="9">
        <v>1</v>
      </c>
      <c r="E564" s="9">
        <v>0</v>
      </c>
      <c r="F564" s="9">
        <v>1</v>
      </c>
      <c r="G564" s="7">
        <v>12</v>
      </c>
      <c r="H564" s="9" t="b">
        <v>0</v>
      </c>
      <c r="I564" s="9">
        <v>2</v>
      </c>
      <c r="J564" s="38" t="str">
        <f>CHOOSE(Table1[[#This Row],[Weekday]]+1,"Sunday","Monday","Tuesday","Wednesday","Thursday","Friday","Saturday")</f>
        <v>Tuesday</v>
      </c>
      <c r="K564" s="9">
        <v>2</v>
      </c>
      <c r="L564" s="38" t="str">
        <f>IF(Table1[[#This Row],[Weather_code]]=1,"Clear",IF(Table1[[#This Row],[Weather_code]]=2,"Cloudy",IF(Table1[[#This Row],[Weather_code]]=3,"Light Rain",IF(Table1[[#This Row],[Weather_code]]=4,"Heavy Rain"))))</f>
        <v>Cloudy</v>
      </c>
      <c r="M564" s="10">
        <v>0.26</v>
      </c>
      <c r="N564" s="11" t="str">
        <f t="shared" si="25"/>
        <v>Winter</v>
      </c>
      <c r="O564" s="11" t="str">
        <f t="shared" si="26"/>
        <v>Weekday</v>
      </c>
      <c r="P564" s="11">
        <f>VLOOKUP(A564,[1]Sheet1!$A:$H,2, FALSE)</f>
        <v>0.28789999999999999</v>
      </c>
      <c r="Q564" s="40">
        <f>Table1[[#This Row],[A_Temperature]]*41</f>
        <v>11.803899999999999</v>
      </c>
      <c r="R564" s="11">
        <f>VLOOKUP(A564,[1]Sheet1!$A:$G,3,FALSE)</f>
        <v>0.56000000000000005</v>
      </c>
      <c r="S564" s="11">
        <f>VLOOKUP(A564,[1]Sheet1!$A:$G,4,FALSE)</f>
        <v>8.9599999999999999E-2</v>
      </c>
      <c r="T564" s="11">
        <f>VLOOKUP(A564,[1]Sheet1!$A:$G,5,FALSE)</f>
        <v>21</v>
      </c>
      <c r="U564" s="11">
        <f>VLOOKUP(A564,[1]Sheet1!$A:$G,6,FALSE)</f>
        <v>85</v>
      </c>
      <c r="V564" s="18">
        <f>VLOOKUP(A564,[1]Sheet1!$A:$G,7,FALSE)</f>
        <v>106</v>
      </c>
    </row>
    <row r="565" spans="1:22" s="13" customFormat="1" ht="30" customHeight="1">
      <c r="A565" s="17">
        <v>561</v>
      </c>
      <c r="B565" s="14">
        <v>40568</v>
      </c>
      <c r="C565" s="8" t="str">
        <f t="shared" si="27"/>
        <v>Tuesday</v>
      </c>
      <c r="D565" s="9">
        <v>1</v>
      </c>
      <c r="E565" s="9">
        <v>0</v>
      </c>
      <c r="F565" s="9">
        <v>1</v>
      </c>
      <c r="G565" s="7">
        <v>13</v>
      </c>
      <c r="H565" s="9" t="b">
        <v>0</v>
      </c>
      <c r="I565" s="9">
        <v>2</v>
      </c>
      <c r="J565" s="38" t="str">
        <f>CHOOSE(Table1[[#This Row],[Weekday]]+1,"Sunday","Monday","Tuesday","Wednesday","Thursday","Friday","Saturday")</f>
        <v>Tuesday</v>
      </c>
      <c r="K565" s="9">
        <v>2</v>
      </c>
      <c r="L565" s="38" t="str">
        <f>IF(Table1[[#This Row],[Weather_code]]=1,"Clear",IF(Table1[[#This Row],[Weather_code]]=2,"Cloudy",IF(Table1[[#This Row],[Weather_code]]=3,"Light Rain",IF(Table1[[#This Row],[Weather_code]]=4,"Heavy Rain"))))</f>
        <v>Cloudy</v>
      </c>
      <c r="M565" s="10">
        <v>0.26</v>
      </c>
      <c r="N565" s="11" t="str">
        <f t="shared" si="25"/>
        <v>Winter</v>
      </c>
      <c r="O565" s="11" t="str">
        <f t="shared" si="26"/>
        <v>Weekday</v>
      </c>
      <c r="P565" s="11">
        <f>VLOOKUP(A565,[1]Sheet1!$A:$H,2, FALSE)</f>
        <v>0.2727</v>
      </c>
      <c r="Q565" s="40">
        <f>Table1[[#This Row],[A_Temperature]]*41</f>
        <v>11.1807</v>
      </c>
      <c r="R565" s="11">
        <f>VLOOKUP(A565,[1]Sheet1!$A:$G,3,FALSE)</f>
        <v>0.56000000000000005</v>
      </c>
      <c r="S565" s="11">
        <f>VLOOKUP(A565,[1]Sheet1!$A:$G,4,FALSE)</f>
        <v>0.1343</v>
      </c>
      <c r="T565" s="11">
        <f>VLOOKUP(A565,[1]Sheet1!$A:$G,5,FALSE)</f>
        <v>21</v>
      </c>
      <c r="U565" s="11">
        <f>VLOOKUP(A565,[1]Sheet1!$A:$G,6,FALSE)</f>
        <v>72</v>
      </c>
      <c r="V565" s="18">
        <f>VLOOKUP(A565,[1]Sheet1!$A:$G,7,FALSE)</f>
        <v>93</v>
      </c>
    </row>
    <row r="566" spans="1:22" s="13" customFormat="1" ht="30" customHeight="1">
      <c r="A566" s="17">
        <v>562</v>
      </c>
      <c r="B566" s="14">
        <v>40568</v>
      </c>
      <c r="C566" s="8" t="str">
        <f t="shared" si="27"/>
        <v>Tuesday</v>
      </c>
      <c r="D566" s="9">
        <v>1</v>
      </c>
      <c r="E566" s="9">
        <v>0</v>
      </c>
      <c r="F566" s="9">
        <v>1</v>
      </c>
      <c r="G566" s="7">
        <v>14</v>
      </c>
      <c r="H566" s="9" t="b">
        <v>0</v>
      </c>
      <c r="I566" s="9">
        <v>2</v>
      </c>
      <c r="J566" s="38" t="str">
        <f>CHOOSE(Table1[[#This Row],[Weekday]]+1,"Sunday","Monday","Tuesday","Wednesday","Thursday","Friday","Saturday")</f>
        <v>Tuesday</v>
      </c>
      <c r="K566" s="9">
        <v>2</v>
      </c>
      <c r="L566" s="38" t="str">
        <f>IF(Table1[[#This Row],[Weather_code]]=1,"Clear",IF(Table1[[#This Row],[Weather_code]]=2,"Cloudy",IF(Table1[[#This Row],[Weather_code]]=3,"Light Rain",IF(Table1[[#This Row],[Weather_code]]=4,"Heavy Rain"))))</f>
        <v>Cloudy</v>
      </c>
      <c r="M566" s="10">
        <v>0.3</v>
      </c>
      <c r="N566" s="11" t="str">
        <f t="shared" si="25"/>
        <v>Winter</v>
      </c>
      <c r="O566" s="11" t="str">
        <f t="shared" si="26"/>
        <v>Weekday</v>
      </c>
      <c r="P566" s="11">
        <f>VLOOKUP(A566,[1]Sheet1!$A:$H,2, FALSE)</f>
        <v>0.33329999999999999</v>
      </c>
      <c r="Q566" s="40">
        <f>Table1[[#This Row],[A_Temperature]]*41</f>
        <v>13.6653</v>
      </c>
      <c r="R566" s="11">
        <f>VLOOKUP(A566,[1]Sheet1!$A:$G,3,FALSE)</f>
        <v>0.45</v>
      </c>
      <c r="S566" s="11">
        <f>VLOOKUP(A566,[1]Sheet1!$A:$G,4,FALSE)</f>
        <v>0</v>
      </c>
      <c r="T566" s="11">
        <f>VLOOKUP(A566,[1]Sheet1!$A:$G,5,FALSE)</f>
        <v>11</v>
      </c>
      <c r="U566" s="11">
        <f>VLOOKUP(A566,[1]Sheet1!$A:$G,6,FALSE)</f>
        <v>57</v>
      </c>
      <c r="V566" s="18">
        <f>VLOOKUP(A566,[1]Sheet1!$A:$G,7,FALSE)</f>
        <v>68</v>
      </c>
    </row>
    <row r="567" spans="1:22" s="13" customFormat="1" ht="30" customHeight="1">
      <c r="A567" s="17">
        <v>563</v>
      </c>
      <c r="B567" s="14">
        <v>40568</v>
      </c>
      <c r="C567" s="8" t="str">
        <f t="shared" si="27"/>
        <v>Tuesday</v>
      </c>
      <c r="D567" s="9">
        <v>1</v>
      </c>
      <c r="E567" s="9">
        <v>0</v>
      </c>
      <c r="F567" s="9">
        <v>1</v>
      </c>
      <c r="G567" s="7">
        <v>15</v>
      </c>
      <c r="H567" s="9" t="b">
        <v>0</v>
      </c>
      <c r="I567" s="9">
        <v>2</v>
      </c>
      <c r="J567" s="38" t="str">
        <f>CHOOSE(Table1[[#This Row],[Weekday]]+1,"Sunday","Monday","Tuesday","Wednesday","Thursday","Friday","Saturday")</f>
        <v>Tuesday</v>
      </c>
      <c r="K567" s="9">
        <v>2</v>
      </c>
      <c r="L567" s="38" t="str">
        <f>IF(Table1[[#This Row],[Weather_code]]=1,"Clear",IF(Table1[[#This Row],[Weather_code]]=2,"Cloudy",IF(Table1[[#This Row],[Weather_code]]=3,"Light Rain",IF(Table1[[#This Row],[Weather_code]]=4,"Heavy Rain"))))</f>
        <v>Cloudy</v>
      </c>
      <c r="M567" s="10">
        <v>0.32</v>
      </c>
      <c r="N567" s="11" t="str">
        <f t="shared" si="25"/>
        <v>Winter</v>
      </c>
      <c r="O567" s="11" t="str">
        <f t="shared" si="26"/>
        <v>Weekday</v>
      </c>
      <c r="P567" s="11">
        <f>VLOOKUP(A567,[1]Sheet1!$A:$H,2, FALSE)</f>
        <v>0.34849999999999998</v>
      </c>
      <c r="Q567" s="40">
        <f>Table1[[#This Row],[A_Temperature]]*41</f>
        <v>14.288499999999999</v>
      </c>
      <c r="R567" s="11">
        <f>VLOOKUP(A567,[1]Sheet1!$A:$G,3,FALSE)</f>
        <v>0.42</v>
      </c>
      <c r="S567" s="11">
        <f>VLOOKUP(A567,[1]Sheet1!$A:$G,4,FALSE)</f>
        <v>0</v>
      </c>
      <c r="T567" s="11">
        <f>VLOOKUP(A567,[1]Sheet1!$A:$G,5,FALSE)</f>
        <v>21</v>
      </c>
      <c r="U567" s="11">
        <f>VLOOKUP(A567,[1]Sheet1!$A:$G,6,FALSE)</f>
        <v>63</v>
      </c>
      <c r="V567" s="18">
        <f>VLOOKUP(A567,[1]Sheet1!$A:$G,7,FALSE)</f>
        <v>84</v>
      </c>
    </row>
    <row r="568" spans="1:22" s="13" customFormat="1" ht="30" customHeight="1">
      <c r="A568" s="17">
        <v>564</v>
      </c>
      <c r="B568" s="14">
        <v>40568</v>
      </c>
      <c r="C568" s="8" t="str">
        <f t="shared" si="27"/>
        <v>Tuesday</v>
      </c>
      <c r="D568" s="9">
        <v>1</v>
      </c>
      <c r="E568" s="9">
        <v>0</v>
      </c>
      <c r="F568" s="9">
        <v>1</v>
      </c>
      <c r="G568" s="7">
        <v>16</v>
      </c>
      <c r="H568" s="9" t="b">
        <v>0</v>
      </c>
      <c r="I568" s="9">
        <v>2</v>
      </c>
      <c r="J568" s="38" t="str">
        <f>CHOOSE(Table1[[#This Row],[Weekday]]+1,"Sunday","Monday","Tuesday","Wednesday","Thursday","Friday","Saturday")</f>
        <v>Tuesday</v>
      </c>
      <c r="K568" s="9">
        <v>2</v>
      </c>
      <c r="L568" s="38" t="str">
        <f>IF(Table1[[#This Row],[Weather_code]]=1,"Clear",IF(Table1[[#This Row],[Weather_code]]=2,"Cloudy",IF(Table1[[#This Row],[Weather_code]]=3,"Light Rain",IF(Table1[[#This Row],[Weather_code]]=4,"Heavy Rain"))))</f>
        <v>Cloudy</v>
      </c>
      <c r="M568" s="10">
        <v>0.32</v>
      </c>
      <c r="N568" s="11" t="str">
        <f t="shared" si="25"/>
        <v>Winter</v>
      </c>
      <c r="O568" s="11" t="str">
        <f t="shared" si="26"/>
        <v>Weekday</v>
      </c>
      <c r="P568" s="11">
        <f>VLOOKUP(A568,[1]Sheet1!$A:$H,2, FALSE)</f>
        <v>0.34849999999999998</v>
      </c>
      <c r="Q568" s="40">
        <f>Table1[[#This Row],[A_Temperature]]*41</f>
        <v>14.288499999999999</v>
      </c>
      <c r="R568" s="11">
        <f>VLOOKUP(A568,[1]Sheet1!$A:$G,3,FALSE)</f>
        <v>0.42</v>
      </c>
      <c r="S568" s="11">
        <f>VLOOKUP(A568,[1]Sheet1!$A:$G,4,FALSE)</f>
        <v>0</v>
      </c>
      <c r="T568" s="11">
        <f>VLOOKUP(A568,[1]Sheet1!$A:$G,5,FALSE)</f>
        <v>14</v>
      </c>
      <c r="U568" s="11">
        <f>VLOOKUP(A568,[1]Sheet1!$A:$G,6,FALSE)</f>
        <v>102</v>
      </c>
      <c r="V568" s="18">
        <f>VLOOKUP(A568,[1]Sheet1!$A:$G,7,FALSE)</f>
        <v>116</v>
      </c>
    </row>
    <row r="569" spans="1:22" s="13" customFormat="1" ht="30" customHeight="1">
      <c r="A569" s="17">
        <v>565</v>
      </c>
      <c r="B569" s="14">
        <v>40568</v>
      </c>
      <c r="C569" s="8" t="str">
        <f t="shared" si="27"/>
        <v>Tuesday</v>
      </c>
      <c r="D569" s="9">
        <v>1</v>
      </c>
      <c r="E569" s="9">
        <v>0</v>
      </c>
      <c r="F569" s="9">
        <v>1</v>
      </c>
      <c r="G569" s="7">
        <v>17</v>
      </c>
      <c r="H569" s="9" t="b">
        <v>0</v>
      </c>
      <c r="I569" s="9">
        <v>2</v>
      </c>
      <c r="J569" s="38" t="str">
        <f>CHOOSE(Table1[[#This Row],[Weekday]]+1,"Sunday","Monday","Tuesday","Wednesday","Thursday","Friday","Saturday")</f>
        <v>Tuesday</v>
      </c>
      <c r="K569" s="9">
        <v>1</v>
      </c>
      <c r="L569" s="38" t="str">
        <f>IF(Table1[[#This Row],[Weather_code]]=1,"Clear",IF(Table1[[#This Row],[Weather_code]]=2,"Cloudy",IF(Table1[[#This Row],[Weather_code]]=3,"Light Rain",IF(Table1[[#This Row],[Weather_code]]=4,"Heavy Rain"))))</f>
        <v>Clear</v>
      </c>
      <c r="M569" s="10">
        <v>0.3</v>
      </c>
      <c r="N569" s="11" t="str">
        <f t="shared" si="25"/>
        <v>Winter</v>
      </c>
      <c r="O569" s="11" t="str">
        <f t="shared" si="26"/>
        <v>Weekday</v>
      </c>
      <c r="P569" s="11">
        <f>VLOOKUP(A569,[1]Sheet1!$A:$H,2, FALSE)</f>
        <v>0.33329999999999999</v>
      </c>
      <c r="Q569" s="40">
        <f>Table1[[#This Row],[A_Temperature]]*41</f>
        <v>13.6653</v>
      </c>
      <c r="R569" s="11">
        <f>VLOOKUP(A569,[1]Sheet1!$A:$G,3,FALSE)</f>
        <v>0.45</v>
      </c>
      <c r="S569" s="11">
        <f>VLOOKUP(A569,[1]Sheet1!$A:$G,4,FALSE)</f>
        <v>0</v>
      </c>
      <c r="T569" s="11">
        <f>VLOOKUP(A569,[1]Sheet1!$A:$G,5,FALSE)</f>
        <v>14</v>
      </c>
      <c r="U569" s="11">
        <f>VLOOKUP(A569,[1]Sheet1!$A:$G,6,FALSE)</f>
        <v>208</v>
      </c>
      <c r="V569" s="18">
        <f>VLOOKUP(A569,[1]Sheet1!$A:$G,7,FALSE)</f>
        <v>222</v>
      </c>
    </row>
    <row r="570" spans="1:22" s="13" customFormat="1" ht="30" customHeight="1">
      <c r="A570" s="17">
        <v>566</v>
      </c>
      <c r="B570" s="14">
        <v>40568</v>
      </c>
      <c r="C570" s="8" t="str">
        <f t="shared" si="27"/>
        <v>Tuesday</v>
      </c>
      <c r="D570" s="9">
        <v>1</v>
      </c>
      <c r="E570" s="9">
        <v>0</v>
      </c>
      <c r="F570" s="9">
        <v>1</v>
      </c>
      <c r="G570" s="7">
        <v>18</v>
      </c>
      <c r="H570" s="9" t="b">
        <v>0</v>
      </c>
      <c r="I570" s="9">
        <v>2</v>
      </c>
      <c r="J570" s="38" t="str">
        <f>CHOOSE(Table1[[#This Row],[Weekday]]+1,"Sunday","Monday","Tuesday","Wednesday","Thursday","Friday","Saturday")</f>
        <v>Tuesday</v>
      </c>
      <c r="K570" s="9">
        <v>2</v>
      </c>
      <c r="L570" s="38" t="str">
        <f>IF(Table1[[#This Row],[Weather_code]]=1,"Clear",IF(Table1[[#This Row],[Weather_code]]=2,"Cloudy",IF(Table1[[#This Row],[Weather_code]]=3,"Light Rain",IF(Table1[[#This Row],[Weather_code]]=4,"Heavy Rain"))))</f>
        <v>Cloudy</v>
      </c>
      <c r="M570" s="10">
        <v>0.3</v>
      </c>
      <c r="N570" s="11" t="str">
        <f t="shared" si="25"/>
        <v>Winter</v>
      </c>
      <c r="O570" s="11" t="str">
        <f t="shared" si="26"/>
        <v>Weekday</v>
      </c>
      <c r="P570" s="11">
        <f>VLOOKUP(A570,[1]Sheet1!$A:$H,2, FALSE)</f>
        <v>0.31819999999999998</v>
      </c>
      <c r="Q570" s="40">
        <f>Table1[[#This Row],[A_Temperature]]*41</f>
        <v>13.046199999999999</v>
      </c>
      <c r="R570" s="11">
        <f>VLOOKUP(A570,[1]Sheet1!$A:$G,3,FALSE)</f>
        <v>0.49</v>
      </c>
      <c r="S570" s="11">
        <f>VLOOKUP(A570,[1]Sheet1!$A:$G,4,FALSE)</f>
        <v>8.9599999999999999E-2</v>
      </c>
      <c r="T570" s="11">
        <f>VLOOKUP(A570,[1]Sheet1!$A:$G,5,FALSE)</f>
        <v>7</v>
      </c>
      <c r="U570" s="11">
        <f>VLOOKUP(A570,[1]Sheet1!$A:$G,6,FALSE)</f>
        <v>218</v>
      </c>
      <c r="V570" s="18">
        <f>VLOOKUP(A570,[1]Sheet1!$A:$G,7,FALSE)</f>
        <v>225</v>
      </c>
    </row>
    <row r="571" spans="1:22" s="13" customFormat="1" ht="30" customHeight="1">
      <c r="A571" s="17">
        <v>567</v>
      </c>
      <c r="B571" s="14">
        <v>40568</v>
      </c>
      <c r="C571" s="8" t="str">
        <f t="shared" si="27"/>
        <v>Tuesday</v>
      </c>
      <c r="D571" s="9">
        <v>1</v>
      </c>
      <c r="E571" s="9">
        <v>0</v>
      </c>
      <c r="F571" s="9">
        <v>1</v>
      </c>
      <c r="G571" s="7">
        <v>19</v>
      </c>
      <c r="H571" s="9" t="b">
        <v>0</v>
      </c>
      <c r="I571" s="9">
        <v>2</v>
      </c>
      <c r="J571" s="38" t="str">
        <f>CHOOSE(Table1[[#This Row],[Weekday]]+1,"Sunday","Monday","Tuesday","Wednesday","Thursday","Friday","Saturday")</f>
        <v>Tuesday</v>
      </c>
      <c r="K571" s="9">
        <v>2</v>
      </c>
      <c r="L571" s="38" t="str">
        <f>IF(Table1[[#This Row],[Weather_code]]=1,"Clear",IF(Table1[[#This Row],[Weather_code]]=2,"Cloudy",IF(Table1[[#This Row],[Weather_code]]=3,"Light Rain",IF(Table1[[#This Row],[Weather_code]]=4,"Heavy Rain"))))</f>
        <v>Cloudy</v>
      </c>
      <c r="M571" s="10">
        <v>0.26</v>
      </c>
      <c r="N571" s="11" t="str">
        <f t="shared" si="25"/>
        <v>Winter</v>
      </c>
      <c r="O571" s="11" t="str">
        <f t="shared" si="26"/>
        <v>Weekday</v>
      </c>
      <c r="P571" s="11">
        <f>VLOOKUP(A571,[1]Sheet1!$A:$H,2, FALSE)</f>
        <v>0.2576</v>
      </c>
      <c r="Q571" s="40">
        <f>Table1[[#This Row],[A_Temperature]]*41</f>
        <v>10.5616</v>
      </c>
      <c r="R571" s="11">
        <f>VLOOKUP(A571,[1]Sheet1!$A:$G,3,FALSE)</f>
        <v>0.65</v>
      </c>
      <c r="S571" s="11">
        <f>VLOOKUP(A571,[1]Sheet1!$A:$G,4,FALSE)</f>
        <v>0.16420000000000001</v>
      </c>
      <c r="T571" s="11">
        <f>VLOOKUP(A571,[1]Sheet1!$A:$G,5,FALSE)</f>
        <v>13</v>
      </c>
      <c r="U571" s="11">
        <f>VLOOKUP(A571,[1]Sheet1!$A:$G,6,FALSE)</f>
        <v>133</v>
      </c>
      <c r="V571" s="18">
        <f>VLOOKUP(A571,[1]Sheet1!$A:$G,7,FALSE)</f>
        <v>146</v>
      </c>
    </row>
    <row r="572" spans="1:22" s="13" customFormat="1" ht="30" customHeight="1">
      <c r="A572" s="17">
        <v>568</v>
      </c>
      <c r="B572" s="14">
        <v>40568</v>
      </c>
      <c r="C572" s="8" t="str">
        <f t="shared" si="27"/>
        <v>Tuesday</v>
      </c>
      <c r="D572" s="9">
        <v>1</v>
      </c>
      <c r="E572" s="9">
        <v>0</v>
      </c>
      <c r="F572" s="9">
        <v>1</v>
      </c>
      <c r="G572" s="7">
        <v>20</v>
      </c>
      <c r="H572" s="9" t="b">
        <v>0</v>
      </c>
      <c r="I572" s="9">
        <v>2</v>
      </c>
      <c r="J572" s="38" t="str">
        <f>CHOOSE(Table1[[#This Row],[Weekday]]+1,"Sunday","Monday","Tuesday","Wednesday","Thursday","Friday","Saturday")</f>
        <v>Tuesday</v>
      </c>
      <c r="K572" s="9">
        <v>1</v>
      </c>
      <c r="L572" s="38" t="str">
        <f>IF(Table1[[#This Row],[Weather_code]]=1,"Clear",IF(Table1[[#This Row],[Weather_code]]=2,"Cloudy",IF(Table1[[#This Row],[Weather_code]]=3,"Light Rain",IF(Table1[[#This Row],[Weather_code]]=4,"Heavy Rain"))))</f>
        <v>Clear</v>
      </c>
      <c r="M572" s="10">
        <v>0.24</v>
      </c>
      <c r="N572" s="11" t="str">
        <f t="shared" si="25"/>
        <v>Winter</v>
      </c>
      <c r="O572" s="11" t="str">
        <f t="shared" si="26"/>
        <v>Weekday</v>
      </c>
      <c r="P572" s="11">
        <f>VLOOKUP(A572,[1]Sheet1!$A:$H,2, FALSE)</f>
        <v>0.2273</v>
      </c>
      <c r="Q572" s="40">
        <f>Table1[[#This Row],[A_Temperature]]*41</f>
        <v>9.3193000000000001</v>
      </c>
      <c r="R572" s="11">
        <f>VLOOKUP(A572,[1]Sheet1!$A:$G,3,FALSE)</f>
        <v>0.65</v>
      </c>
      <c r="S572" s="11">
        <f>VLOOKUP(A572,[1]Sheet1!$A:$G,4,FALSE)</f>
        <v>0.19400000000000001</v>
      </c>
      <c r="T572" s="11">
        <f>VLOOKUP(A572,[1]Sheet1!$A:$G,5,FALSE)</f>
        <v>16</v>
      </c>
      <c r="U572" s="11">
        <f>VLOOKUP(A572,[1]Sheet1!$A:$G,6,FALSE)</f>
        <v>103</v>
      </c>
      <c r="V572" s="18">
        <f>VLOOKUP(A572,[1]Sheet1!$A:$G,7,FALSE)</f>
        <v>119</v>
      </c>
    </row>
    <row r="573" spans="1:22" s="13" customFormat="1" ht="30" customHeight="1">
      <c r="A573" s="17">
        <v>569</v>
      </c>
      <c r="B573" s="14">
        <v>40568</v>
      </c>
      <c r="C573" s="8" t="str">
        <f t="shared" si="27"/>
        <v>Tuesday</v>
      </c>
      <c r="D573" s="9">
        <v>1</v>
      </c>
      <c r="E573" s="9">
        <v>0</v>
      </c>
      <c r="F573" s="9">
        <v>1</v>
      </c>
      <c r="G573" s="7">
        <v>21</v>
      </c>
      <c r="H573" s="9" t="b">
        <v>0</v>
      </c>
      <c r="I573" s="9">
        <v>2</v>
      </c>
      <c r="J573" s="38" t="str">
        <f>CHOOSE(Table1[[#This Row],[Weekday]]+1,"Sunday","Monday","Tuesday","Wednesday","Thursday","Friday","Saturday")</f>
        <v>Tuesday</v>
      </c>
      <c r="K573" s="9">
        <v>1</v>
      </c>
      <c r="L573" s="38" t="str">
        <f>IF(Table1[[#This Row],[Weather_code]]=1,"Clear",IF(Table1[[#This Row],[Weather_code]]=2,"Cloudy",IF(Table1[[#This Row],[Weather_code]]=3,"Light Rain",IF(Table1[[#This Row],[Weather_code]]=4,"Heavy Rain"))))</f>
        <v>Clear</v>
      </c>
      <c r="M573" s="10">
        <v>0.24</v>
      </c>
      <c r="N573" s="11" t="str">
        <f t="shared" si="25"/>
        <v>Winter</v>
      </c>
      <c r="O573" s="11" t="str">
        <f t="shared" si="26"/>
        <v>Weekday</v>
      </c>
      <c r="P573" s="11">
        <f>VLOOKUP(A573,[1]Sheet1!$A:$H,2, FALSE)</f>
        <v>0.2273</v>
      </c>
      <c r="Q573" s="40">
        <f>Table1[[#This Row],[A_Temperature]]*41</f>
        <v>9.3193000000000001</v>
      </c>
      <c r="R573" s="11">
        <f>VLOOKUP(A573,[1]Sheet1!$A:$G,3,FALSE)</f>
        <v>0.65</v>
      </c>
      <c r="S573" s="11">
        <f>VLOOKUP(A573,[1]Sheet1!$A:$G,4,FALSE)</f>
        <v>0.19400000000000001</v>
      </c>
      <c r="T573" s="11">
        <f>VLOOKUP(A573,[1]Sheet1!$A:$G,5,FALSE)</f>
        <v>5</v>
      </c>
      <c r="U573" s="11">
        <f>VLOOKUP(A573,[1]Sheet1!$A:$G,6,FALSE)</f>
        <v>40</v>
      </c>
      <c r="V573" s="18">
        <f>VLOOKUP(A573,[1]Sheet1!$A:$G,7,FALSE)</f>
        <v>45</v>
      </c>
    </row>
    <row r="574" spans="1:22" s="13" customFormat="1" ht="30" customHeight="1">
      <c r="A574" s="17">
        <v>570</v>
      </c>
      <c r="B574" s="14">
        <v>40568</v>
      </c>
      <c r="C574" s="8" t="str">
        <f t="shared" si="27"/>
        <v>Tuesday</v>
      </c>
      <c r="D574" s="9">
        <v>1</v>
      </c>
      <c r="E574" s="9">
        <v>0</v>
      </c>
      <c r="F574" s="9">
        <v>1</v>
      </c>
      <c r="G574" s="7">
        <v>22</v>
      </c>
      <c r="H574" s="9" t="b">
        <v>0</v>
      </c>
      <c r="I574" s="9">
        <v>2</v>
      </c>
      <c r="J574" s="38" t="str">
        <f>CHOOSE(Table1[[#This Row],[Weekday]]+1,"Sunday","Monday","Tuesday","Wednesday","Thursday","Friday","Saturday")</f>
        <v>Tuesday</v>
      </c>
      <c r="K574" s="9">
        <v>1</v>
      </c>
      <c r="L574" s="38" t="str">
        <f>IF(Table1[[#This Row],[Weather_code]]=1,"Clear",IF(Table1[[#This Row],[Weather_code]]=2,"Cloudy",IF(Table1[[#This Row],[Weather_code]]=3,"Light Rain",IF(Table1[[#This Row],[Weather_code]]=4,"Heavy Rain"))))</f>
        <v>Clear</v>
      </c>
      <c r="M574" s="10">
        <v>0.22</v>
      </c>
      <c r="N574" s="11" t="str">
        <f t="shared" si="25"/>
        <v>Winter</v>
      </c>
      <c r="O574" s="11" t="str">
        <f t="shared" si="26"/>
        <v>Weekday</v>
      </c>
      <c r="P574" s="11">
        <f>VLOOKUP(A574,[1]Sheet1!$A:$H,2, FALSE)</f>
        <v>0.2273</v>
      </c>
      <c r="Q574" s="40">
        <f>Table1[[#This Row],[A_Temperature]]*41</f>
        <v>9.3193000000000001</v>
      </c>
      <c r="R574" s="11">
        <f>VLOOKUP(A574,[1]Sheet1!$A:$G,3,FALSE)</f>
        <v>0.64</v>
      </c>
      <c r="S574" s="11">
        <f>VLOOKUP(A574,[1]Sheet1!$A:$G,4,FALSE)</f>
        <v>0.16420000000000001</v>
      </c>
      <c r="T574" s="11">
        <f>VLOOKUP(A574,[1]Sheet1!$A:$G,5,FALSE)</f>
        <v>4</v>
      </c>
      <c r="U574" s="11">
        <f>VLOOKUP(A574,[1]Sheet1!$A:$G,6,FALSE)</f>
        <v>49</v>
      </c>
      <c r="V574" s="18">
        <f>VLOOKUP(A574,[1]Sheet1!$A:$G,7,FALSE)</f>
        <v>53</v>
      </c>
    </row>
    <row r="575" spans="1:22" s="13" customFormat="1" ht="30" customHeight="1">
      <c r="A575" s="17">
        <v>571</v>
      </c>
      <c r="B575" s="14">
        <v>40568</v>
      </c>
      <c r="C575" s="8" t="str">
        <f t="shared" si="27"/>
        <v>Tuesday</v>
      </c>
      <c r="D575" s="9">
        <v>1</v>
      </c>
      <c r="E575" s="9">
        <v>0</v>
      </c>
      <c r="F575" s="9">
        <v>1</v>
      </c>
      <c r="G575" s="7">
        <v>23</v>
      </c>
      <c r="H575" s="9" t="b">
        <v>0</v>
      </c>
      <c r="I575" s="9">
        <v>2</v>
      </c>
      <c r="J575" s="38" t="str">
        <f>CHOOSE(Table1[[#This Row],[Weekday]]+1,"Sunday","Monday","Tuesday","Wednesday","Thursday","Friday","Saturday")</f>
        <v>Tuesday</v>
      </c>
      <c r="K575" s="9">
        <v>2</v>
      </c>
      <c r="L575" s="38" t="str">
        <f>IF(Table1[[#This Row],[Weather_code]]=1,"Clear",IF(Table1[[#This Row],[Weather_code]]=2,"Cloudy",IF(Table1[[#This Row],[Weather_code]]=3,"Light Rain",IF(Table1[[#This Row],[Weather_code]]=4,"Heavy Rain"))))</f>
        <v>Cloudy</v>
      </c>
      <c r="M575" s="10">
        <v>0.22</v>
      </c>
      <c r="N575" s="11" t="str">
        <f t="shared" si="25"/>
        <v>Winter</v>
      </c>
      <c r="O575" s="11" t="str">
        <f t="shared" si="26"/>
        <v>Weekday</v>
      </c>
      <c r="P575" s="11">
        <f>VLOOKUP(A575,[1]Sheet1!$A:$H,2, FALSE)</f>
        <v>0.2273</v>
      </c>
      <c r="Q575" s="40">
        <f>Table1[[#This Row],[A_Temperature]]*41</f>
        <v>9.3193000000000001</v>
      </c>
      <c r="R575" s="11">
        <f>VLOOKUP(A575,[1]Sheet1!$A:$G,3,FALSE)</f>
        <v>0.64</v>
      </c>
      <c r="S575" s="11">
        <f>VLOOKUP(A575,[1]Sheet1!$A:$G,4,FALSE)</f>
        <v>0.16420000000000001</v>
      </c>
      <c r="T575" s="11">
        <f>VLOOKUP(A575,[1]Sheet1!$A:$G,5,FALSE)</f>
        <v>3</v>
      </c>
      <c r="U575" s="11">
        <f>VLOOKUP(A575,[1]Sheet1!$A:$G,6,FALSE)</f>
        <v>37</v>
      </c>
      <c r="V575" s="18">
        <f>VLOOKUP(A575,[1]Sheet1!$A:$G,7,FALSE)</f>
        <v>40</v>
      </c>
    </row>
    <row r="576" spans="1:22" s="13" customFormat="1" ht="30" customHeight="1">
      <c r="A576" s="17">
        <v>572</v>
      </c>
      <c r="B576" s="14">
        <v>40569</v>
      </c>
      <c r="C576" s="8" t="str">
        <f t="shared" si="27"/>
        <v>Wednesday</v>
      </c>
      <c r="D576" s="9">
        <v>1</v>
      </c>
      <c r="E576" s="9">
        <v>0</v>
      </c>
      <c r="F576" s="9">
        <v>1</v>
      </c>
      <c r="G576" s="7">
        <v>0</v>
      </c>
      <c r="H576" s="9" t="b">
        <v>0</v>
      </c>
      <c r="I576" s="9">
        <v>3</v>
      </c>
      <c r="J576" s="38" t="str">
        <f>CHOOSE(Table1[[#This Row],[Weekday]]+1,"Sunday","Monday","Tuesday","Wednesday","Thursday","Friday","Saturday")</f>
        <v>Wednesday</v>
      </c>
      <c r="K576" s="9">
        <v>2</v>
      </c>
      <c r="L576" s="38" t="str">
        <f>IF(Table1[[#This Row],[Weather_code]]=1,"Clear",IF(Table1[[#This Row],[Weather_code]]=2,"Cloudy",IF(Table1[[#This Row],[Weather_code]]=3,"Light Rain",IF(Table1[[#This Row],[Weather_code]]=4,"Heavy Rain"))))</f>
        <v>Cloudy</v>
      </c>
      <c r="M576" s="10">
        <v>0.22</v>
      </c>
      <c r="N576" s="11" t="str">
        <f t="shared" si="25"/>
        <v>Winter</v>
      </c>
      <c r="O576" s="11" t="str">
        <f t="shared" si="26"/>
        <v>Weekday</v>
      </c>
      <c r="P576" s="11">
        <f>VLOOKUP(A576,[1]Sheet1!$A:$H,2, FALSE)</f>
        <v>0.2273</v>
      </c>
      <c r="Q576" s="40">
        <f>Table1[[#This Row],[A_Temperature]]*41</f>
        <v>9.3193000000000001</v>
      </c>
      <c r="R576" s="11">
        <f>VLOOKUP(A576,[1]Sheet1!$A:$G,3,FALSE)</f>
        <v>0.69</v>
      </c>
      <c r="S576" s="11">
        <f>VLOOKUP(A576,[1]Sheet1!$A:$G,4,FALSE)</f>
        <v>0.1343</v>
      </c>
      <c r="T576" s="11">
        <f>VLOOKUP(A576,[1]Sheet1!$A:$G,5,FALSE)</f>
        <v>3</v>
      </c>
      <c r="U576" s="11">
        <f>VLOOKUP(A576,[1]Sheet1!$A:$G,6,FALSE)</f>
        <v>14</v>
      </c>
      <c r="V576" s="18">
        <f>VLOOKUP(A576,[1]Sheet1!$A:$G,7,FALSE)</f>
        <v>17</v>
      </c>
    </row>
    <row r="577" spans="1:22" s="13" customFormat="1" ht="30" customHeight="1">
      <c r="A577" s="17">
        <v>573</v>
      </c>
      <c r="B577" s="14">
        <v>40569</v>
      </c>
      <c r="C577" s="8" t="str">
        <f t="shared" si="27"/>
        <v>Wednesday</v>
      </c>
      <c r="D577" s="9">
        <v>1</v>
      </c>
      <c r="E577" s="9">
        <v>0</v>
      </c>
      <c r="F577" s="9">
        <v>1</v>
      </c>
      <c r="G577" s="7">
        <v>1</v>
      </c>
      <c r="H577" s="9" t="b">
        <v>0</v>
      </c>
      <c r="I577" s="9">
        <v>3</v>
      </c>
      <c r="J577" s="38" t="str">
        <f>CHOOSE(Table1[[#This Row],[Weekday]]+1,"Sunday","Monday","Tuesday","Wednesday","Thursday","Friday","Saturday")</f>
        <v>Wednesday</v>
      </c>
      <c r="K577" s="9">
        <v>2</v>
      </c>
      <c r="L577" s="38" t="str">
        <f>IF(Table1[[#This Row],[Weather_code]]=1,"Clear",IF(Table1[[#This Row],[Weather_code]]=2,"Cloudy",IF(Table1[[#This Row],[Weather_code]]=3,"Light Rain",IF(Table1[[#This Row],[Weather_code]]=4,"Heavy Rain"))))</f>
        <v>Cloudy</v>
      </c>
      <c r="M577" s="10">
        <v>0.24</v>
      </c>
      <c r="N577" s="11" t="str">
        <f t="shared" si="25"/>
        <v>Winter</v>
      </c>
      <c r="O577" s="11" t="str">
        <f t="shared" si="26"/>
        <v>Weekday</v>
      </c>
      <c r="P577" s="11">
        <f>VLOOKUP(A577,[1]Sheet1!$A:$H,2, FALSE)</f>
        <v>0.2424</v>
      </c>
      <c r="Q577" s="40">
        <f>Table1[[#This Row],[A_Temperature]]*41</f>
        <v>9.9383999999999997</v>
      </c>
      <c r="R577" s="11">
        <f>VLOOKUP(A577,[1]Sheet1!$A:$G,3,FALSE)</f>
        <v>0.65</v>
      </c>
      <c r="S577" s="11">
        <f>VLOOKUP(A577,[1]Sheet1!$A:$G,4,FALSE)</f>
        <v>0.1343</v>
      </c>
      <c r="T577" s="11">
        <f>VLOOKUP(A577,[1]Sheet1!$A:$G,5,FALSE)</f>
        <v>0</v>
      </c>
      <c r="U577" s="11">
        <f>VLOOKUP(A577,[1]Sheet1!$A:$G,6,FALSE)</f>
        <v>5</v>
      </c>
      <c r="V577" s="18">
        <f>VLOOKUP(A577,[1]Sheet1!$A:$G,7,FALSE)</f>
        <v>5</v>
      </c>
    </row>
    <row r="578" spans="1:22" s="13" customFormat="1" ht="30" customHeight="1">
      <c r="A578" s="17">
        <v>574</v>
      </c>
      <c r="B578" s="14">
        <v>40569</v>
      </c>
      <c r="C578" s="8" t="str">
        <f t="shared" si="27"/>
        <v>Wednesday</v>
      </c>
      <c r="D578" s="9">
        <v>1</v>
      </c>
      <c r="E578" s="9">
        <v>0</v>
      </c>
      <c r="F578" s="9">
        <v>1</v>
      </c>
      <c r="G578" s="7">
        <v>2</v>
      </c>
      <c r="H578" s="9" t="b">
        <v>0</v>
      </c>
      <c r="I578" s="9">
        <v>3</v>
      </c>
      <c r="J578" s="38" t="str">
        <f>CHOOSE(Table1[[#This Row],[Weekday]]+1,"Sunday","Monday","Tuesday","Wednesday","Thursday","Friday","Saturday")</f>
        <v>Wednesday</v>
      </c>
      <c r="K578" s="9">
        <v>3</v>
      </c>
      <c r="L578" s="38" t="str">
        <f>IF(Table1[[#This Row],[Weather_code]]=1,"Clear",IF(Table1[[#This Row],[Weather_code]]=2,"Cloudy",IF(Table1[[#This Row],[Weather_code]]=3,"Light Rain",IF(Table1[[#This Row],[Weather_code]]=4,"Heavy Rain"))))</f>
        <v>Light Rain</v>
      </c>
      <c r="M578" s="10">
        <v>0.22</v>
      </c>
      <c r="N578" s="11" t="str">
        <f t="shared" si="25"/>
        <v>Winter</v>
      </c>
      <c r="O578" s="11" t="str">
        <f t="shared" si="26"/>
        <v>Weekday</v>
      </c>
      <c r="P578" s="11">
        <f>VLOOKUP(A578,[1]Sheet1!$A:$H,2, FALSE)</f>
        <v>0.2273</v>
      </c>
      <c r="Q578" s="40">
        <f>Table1[[#This Row],[A_Temperature]]*41</f>
        <v>9.3193000000000001</v>
      </c>
      <c r="R578" s="11">
        <f>VLOOKUP(A578,[1]Sheet1!$A:$G,3,FALSE)</f>
        <v>0.69</v>
      </c>
      <c r="S578" s="11">
        <f>VLOOKUP(A578,[1]Sheet1!$A:$G,4,FALSE)</f>
        <v>0.19400000000000001</v>
      </c>
      <c r="T578" s="11">
        <f>VLOOKUP(A578,[1]Sheet1!$A:$G,5,FALSE)</f>
        <v>3</v>
      </c>
      <c r="U578" s="11">
        <f>VLOOKUP(A578,[1]Sheet1!$A:$G,6,FALSE)</f>
        <v>7</v>
      </c>
      <c r="V578" s="18">
        <f>VLOOKUP(A578,[1]Sheet1!$A:$G,7,FALSE)</f>
        <v>10</v>
      </c>
    </row>
    <row r="579" spans="1:22" s="13" customFormat="1" ht="30" customHeight="1">
      <c r="A579" s="17">
        <v>575</v>
      </c>
      <c r="B579" s="14">
        <v>40569</v>
      </c>
      <c r="C579" s="8" t="str">
        <f t="shared" si="27"/>
        <v>Wednesday</v>
      </c>
      <c r="D579" s="9">
        <v>1</v>
      </c>
      <c r="E579" s="9">
        <v>0</v>
      </c>
      <c r="F579" s="9">
        <v>1</v>
      </c>
      <c r="G579" s="7">
        <v>5</v>
      </c>
      <c r="H579" s="9" t="b">
        <v>0</v>
      </c>
      <c r="I579" s="9">
        <v>3</v>
      </c>
      <c r="J579" s="38" t="str">
        <f>CHOOSE(Table1[[#This Row],[Weekday]]+1,"Sunday","Monday","Tuesday","Wednesday","Thursday","Friday","Saturday")</f>
        <v>Wednesday</v>
      </c>
      <c r="K579" s="9">
        <v>3</v>
      </c>
      <c r="L579" s="38" t="str">
        <f>IF(Table1[[#This Row],[Weather_code]]=1,"Clear",IF(Table1[[#This Row],[Weather_code]]=2,"Cloudy",IF(Table1[[#This Row],[Weather_code]]=3,"Light Rain",IF(Table1[[#This Row],[Weather_code]]=4,"Heavy Rain"))))</f>
        <v>Light Rain</v>
      </c>
      <c r="M579" s="10">
        <v>0.2</v>
      </c>
      <c r="N579" s="11" t="str">
        <f t="shared" si="25"/>
        <v>Winter</v>
      </c>
      <c r="O579" s="11" t="str">
        <f t="shared" si="26"/>
        <v>Weekday</v>
      </c>
      <c r="P579" s="11">
        <f>VLOOKUP(A579,[1]Sheet1!$A:$H,2, FALSE)</f>
        <v>0.18179999999999999</v>
      </c>
      <c r="Q579" s="40">
        <f>Table1[[#This Row],[A_Temperature]]*41</f>
        <v>7.4537999999999993</v>
      </c>
      <c r="R579" s="11">
        <f>VLOOKUP(A579,[1]Sheet1!$A:$G,3,FALSE)</f>
        <v>0.86</v>
      </c>
      <c r="S579" s="11">
        <f>VLOOKUP(A579,[1]Sheet1!$A:$G,4,FALSE)</f>
        <v>0.28360000000000002</v>
      </c>
      <c r="T579" s="11">
        <f>VLOOKUP(A579,[1]Sheet1!$A:$G,5,FALSE)</f>
        <v>0</v>
      </c>
      <c r="U579" s="11">
        <f>VLOOKUP(A579,[1]Sheet1!$A:$G,6,FALSE)</f>
        <v>1</v>
      </c>
      <c r="V579" s="18">
        <f>VLOOKUP(A579,[1]Sheet1!$A:$G,7,FALSE)</f>
        <v>1</v>
      </c>
    </row>
    <row r="580" spans="1:22" s="13" customFormat="1" ht="30" customHeight="1">
      <c r="A580" s="17">
        <v>576</v>
      </c>
      <c r="B580" s="14">
        <v>40569</v>
      </c>
      <c r="C580" s="8" t="str">
        <f t="shared" si="27"/>
        <v>Wednesday</v>
      </c>
      <c r="D580" s="9">
        <v>1</v>
      </c>
      <c r="E580" s="9">
        <v>0</v>
      </c>
      <c r="F580" s="9">
        <v>1</v>
      </c>
      <c r="G580" s="7">
        <v>6</v>
      </c>
      <c r="H580" s="9" t="b">
        <v>0</v>
      </c>
      <c r="I580" s="9">
        <v>3</v>
      </c>
      <c r="J580" s="38" t="str">
        <f>CHOOSE(Table1[[#This Row],[Weekday]]+1,"Sunday","Monday","Tuesday","Wednesday","Thursday","Friday","Saturday")</f>
        <v>Wednesday</v>
      </c>
      <c r="K580" s="9">
        <v>3</v>
      </c>
      <c r="L580" s="38" t="str">
        <f>IF(Table1[[#This Row],[Weather_code]]=1,"Clear",IF(Table1[[#This Row],[Weather_code]]=2,"Cloudy",IF(Table1[[#This Row],[Weather_code]]=3,"Light Rain",IF(Table1[[#This Row],[Weather_code]]=4,"Heavy Rain"))))</f>
        <v>Light Rain</v>
      </c>
      <c r="M580" s="10">
        <v>0.2</v>
      </c>
      <c r="N580" s="11" t="str">
        <f t="shared" si="25"/>
        <v>Winter</v>
      </c>
      <c r="O580" s="11" t="str">
        <f t="shared" si="26"/>
        <v>Weekday</v>
      </c>
      <c r="P580" s="11">
        <f>VLOOKUP(A580,[1]Sheet1!$A:$H,2, FALSE)</f>
        <v>0.18179999999999999</v>
      </c>
      <c r="Q580" s="40">
        <f>Table1[[#This Row],[A_Temperature]]*41</f>
        <v>7.4537999999999993</v>
      </c>
      <c r="R580" s="11">
        <f>VLOOKUP(A580,[1]Sheet1!$A:$G,3,FALSE)</f>
        <v>0.86</v>
      </c>
      <c r="S580" s="11">
        <f>VLOOKUP(A580,[1]Sheet1!$A:$G,4,FALSE)</f>
        <v>0.28360000000000002</v>
      </c>
      <c r="T580" s="11">
        <f>VLOOKUP(A580,[1]Sheet1!$A:$G,5,FALSE)</f>
        <v>0</v>
      </c>
      <c r="U580" s="11">
        <f>VLOOKUP(A580,[1]Sheet1!$A:$G,6,FALSE)</f>
        <v>8</v>
      </c>
      <c r="V580" s="18">
        <f>VLOOKUP(A580,[1]Sheet1!$A:$G,7,FALSE)</f>
        <v>8</v>
      </c>
    </row>
    <row r="581" spans="1:22" s="13" customFormat="1" ht="30" customHeight="1">
      <c r="A581" s="17">
        <v>577</v>
      </c>
      <c r="B581" s="14">
        <v>40569</v>
      </c>
      <c r="C581" s="8" t="str">
        <f t="shared" si="27"/>
        <v>Wednesday</v>
      </c>
      <c r="D581" s="9">
        <v>1</v>
      </c>
      <c r="E581" s="9">
        <v>0</v>
      </c>
      <c r="F581" s="9">
        <v>1</v>
      </c>
      <c r="G581" s="7">
        <v>7</v>
      </c>
      <c r="H581" s="9" t="b">
        <v>0</v>
      </c>
      <c r="I581" s="9">
        <v>3</v>
      </c>
      <c r="J581" s="38" t="str">
        <f>CHOOSE(Table1[[#This Row],[Weekday]]+1,"Sunday","Monday","Tuesday","Wednesday","Thursday","Friday","Saturday")</f>
        <v>Wednesday</v>
      </c>
      <c r="K581" s="9">
        <v>3</v>
      </c>
      <c r="L581" s="38" t="str">
        <f>IF(Table1[[#This Row],[Weather_code]]=1,"Clear",IF(Table1[[#This Row],[Weather_code]]=2,"Cloudy",IF(Table1[[#This Row],[Weather_code]]=3,"Light Rain",IF(Table1[[#This Row],[Weather_code]]=4,"Heavy Rain"))))</f>
        <v>Light Rain</v>
      </c>
      <c r="M581" s="10">
        <v>0.22</v>
      </c>
      <c r="N581" s="11" t="str">
        <f t="shared" si="25"/>
        <v>Winter</v>
      </c>
      <c r="O581" s="11" t="str">
        <f t="shared" si="26"/>
        <v>Weekday</v>
      </c>
      <c r="P581" s="11">
        <f>VLOOKUP(A581,[1]Sheet1!$A:$H,2, FALSE)</f>
        <v>0.21210000000000001</v>
      </c>
      <c r="Q581" s="40">
        <f>Table1[[#This Row],[A_Temperature]]*41</f>
        <v>8.6961000000000013</v>
      </c>
      <c r="R581" s="11">
        <f>VLOOKUP(A581,[1]Sheet1!$A:$G,3,FALSE)</f>
        <v>0.87</v>
      </c>
      <c r="S581" s="11">
        <f>VLOOKUP(A581,[1]Sheet1!$A:$G,4,FALSE)</f>
        <v>0.29849999999999999</v>
      </c>
      <c r="T581" s="11">
        <f>VLOOKUP(A581,[1]Sheet1!$A:$G,5,FALSE)</f>
        <v>1</v>
      </c>
      <c r="U581" s="11">
        <f>VLOOKUP(A581,[1]Sheet1!$A:$G,6,FALSE)</f>
        <v>29</v>
      </c>
      <c r="V581" s="18">
        <f>VLOOKUP(A581,[1]Sheet1!$A:$G,7,FALSE)</f>
        <v>30</v>
      </c>
    </row>
    <row r="582" spans="1:22" s="13" customFormat="1" ht="30" customHeight="1">
      <c r="A582" s="17">
        <v>578</v>
      </c>
      <c r="B582" s="14">
        <v>40569</v>
      </c>
      <c r="C582" s="8" t="str">
        <f t="shared" si="27"/>
        <v>Wednesday</v>
      </c>
      <c r="D582" s="9">
        <v>1</v>
      </c>
      <c r="E582" s="9">
        <v>0</v>
      </c>
      <c r="F582" s="9">
        <v>1</v>
      </c>
      <c r="G582" s="7">
        <v>8</v>
      </c>
      <c r="H582" s="9" t="b">
        <v>0</v>
      </c>
      <c r="I582" s="9">
        <v>3</v>
      </c>
      <c r="J582" s="38" t="str">
        <f>CHOOSE(Table1[[#This Row],[Weekday]]+1,"Sunday","Monday","Tuesday","Wednesday","Thursday","Friday","Saturday")</f>
        <v>Wednesday</v>
      </c>
      <c r="K582" s="9">
        <v>3</v>
      </c>
      <c r="L582" s="38" t="str">
        <f>IF(Table1[[#This Row],[Weather_code]]=1,"Clear",IF(Table1[[#This Row],[Weather_code]]=2,"Cloudy",IF(Table1[[#This Row],[Weather_code]]=3,"Light Rain",IF(Table1[[#This Row],[Weather_code]]=4,"Heavy Rain"))))</f>
        <v>Light Rain</v>
      </c>
      <c r="M582" s="10">
        <v>0.22</v>
      </c>
      <c r="N582" s="11" t="str">
        <f t="shared" ref="N582:N613" si="28">CHOOSE(D582,"Winter","Spring","Summer","Fall")</f>
        <v>Winter</v>
      </c>
      <c r="O582" s="11" t="str">
        <f t="shared" ref="O582:O645" si="29">IF(OR(WEEKDAY(B582,2)=6,WEEKDAY(B582,2)=7),"Weekend","Weekday")</f>
        <v>Weekday</v>
      </c>
      <c r="P582" s="11">
        <f>VLOOKUP(A582,[1]Sheet1!$A:$H,2, FALSE)</f>
        <v>0.21210000000000001</v>
      </c>
      <c r="Q582" s="40">
        <f>Table1[[#This Row],[A_Temperature]]*41</f>
        <v>8.6961000000000013</v>
      </c>
      <c r="R582" s="11">
        <f>VLOOKUP(A582,[1]Sheet1!$A:$G,3,FALSE)</f>
        <v>0.87</v>
      </c>
      <c r="S582" s="11">
        <f>VLOOKUP(A582,[1]Sheet1!$A:$G,4,FALSE)</f>
        <v>0.29849999999999999</v>
      </c>
      <c r="T582" s="11">
        <f>VLOOKUP(A582,[1]Sheet1!$A:$G,5,FALSE)</f>
        <v>3</v>
      </c>
      <c r="U582" s="11">
        <f>VLOOKUP(A582,[1]Sheet1!$A:$G,6,FALSE)</f>
        <v>69</v>
      </c>
      <c r="V582" s="18">
        <f>VLOOKUP(A582,[1]Sheet1!$A:$G,7,FALSE)</f>
        <v>72</v>
      </c>
    </row>
    <row r="583" spans="1:22" s="13" customFormat="1" ht="30" customHeight="1">
      <c r="A583" s="17">
        <v>579</v>
      </c>
      <c r="B583" s="14">
        <v>40569</v>
      </c>
      <c r="C583" s="8" t="str">
        <f t="shared" si="27"/>
        <v>Wednesday</v>
      </c>
      <c r="D583" s="9">
        <v>1</v>
      </c>
      <c r="E583" s="9">
        <v>0</v>
      </c>
      <c r="F583" s="9">
        <v>1</v>
      </c>
      <c r="G583" s="7">
        <v>9</v>
      </c>
      <c r="H583" s="9" t="b">
        <v>0</v>
      </c>
      <c r="I583" s="9">
        <v>3</v>
      </c>
      <c r="J583" s="38" t="str">
        <f>CHOOSE(Table1[[#This Row],[Weekday]]+1,"Sunday","Monday","Tuesday","Wednesday","Thursday","Friday","Saturday")</f>
        <v>Wednesday</v>
      </c>
      <c r="K583" s="9">
        <v>3</v>
      </c>
      <c r="L583" s="38" t="str">
        <f>IF(Table1[[#This Row],[Weather_code]]=1,"Clear",IF(Table1[[#This Row],[Weather_code]]=2,"Cloudy",IF(Table1[[#This Row],[Weather_code]]=3,"Light Rain",IF(Table1[[#This Row],[Weather_code]]=4,"Heavy Rain"))))</f>
        <v>Light Rain</v>
      </c>
      <c r="M583" s="10">
        <v>0.22</v>
      </c>
      <c r="N583" s="11" t="str">
        <f t="shared" si="28"/>
        <v>Winter</v>
      </c>
      <c r="O583" s="11" t="str">
        <f t="shared" si="29"/>
        <v>Weekday</v>
      </c>
      <c r="P583" s="11">
        <f>VLOOKUP(A583,[1]Sheet1!$A:$H,2, FALSE)</f>
        <v>0.21210000000000001</v>
      </c>
      <c r="Q583" s="40">
        <f>Table1[[#This Row],[A_Temperature]]*41</f>
        <v>8.6961000000000013</v>
      </c>
      <c r="R583" s="11">
        <f>VLOOKUP(A583,[1]Sheet1!$A:$G,3,FALSE)</f>
        <v>0.87</v>
      </c>
      <c r="S583" s="11">
        <f>VLOOKUP(A583,[1]Sheet1!$A:$G,4,FALSE)</f>
        <v>0.29849999999999999</v>
      </c>
      <c r="T583" s="11">
        <f>VLOOKUP(A583,[1]Sheet1!$A:$G,5,FALSE)</f>
        <v>3</v>
      </c>
      <c r="U583" s="11">
        <f>VLOOKUP(A583,[1]Sheet1!$A:$G,6,FALSE)</f>
        <v>55</v>
      </c>
      <c r="V583" s="18">
        <f>VLOOKUP(A583,[1]Sheet1!$A:$G,7,FALSE)</f>
        <v>58</v>
      </c>
    </row>
    <row r="584" spans="1:22" s="13" customFormat="1" ht="30" customHeight="1">
      <c r="A584" s="17">
        <v>580</v>
      </c>
      <c r="B584" s="14">
        <v>40569</v>
      </c>
      <c r="C584" s="8" t="str">
        <f t="shared" si="27"/>
        <v>Wednesday</v>
      </c>
      <c r="D584" s="9">
        <v>1</v>
      </c>
      <c r="E584" s="9">
        <v>0</v>
      </c>
      <c r="F584" s="9">
        <v>1</v>
      </c>
      <c r="G584" s="7">
        <v>10</v>
      </c>
      <c r="H584" s="9" t="b">
        <v>0</v>
      </c>
      <c r="I584" s="9">
        <v>3</v>
      </c>
      <c r="J584" s="38" t="str">
        <f>CHOOSE(Table1[[#This Row],[Weekday]]+1,"Sunday","Monday","Tuesday","Wednesday","Thursday","Friday","Saturday")</f>
        <v>Wednesday</v>
      </c>
      <c r="K584" s="9">
        <v>3</v>
      </c>
      <c r="L584" s="38" t="str">
        <f>IF(Table1[[#This Row],[Weather_code]]=1,"Clear",IF(Table1[[#This Row],[Weather_code]]=2,"Cloudy",IF(Table1[[#This Row],[Weather_code]]=3,"Light Rain",IF(Table1[[#This Row],[Weather_code]]=4,"Heavy Rain"))))</f>
        <v>Light Rain</v>
      </c>
      <c r="M584" s="10">
        <v>0.22</v>
      </c>
      <c r="N584" s="11" t="str">
        <f t="shared" si="28"/>
        <v>Winter</v>
      </c>
      <c r="O584" s="11" t="str">
        <f t="shared" si="29"/>
        <v>Weekday</v>
      </c>
      <c r="P584" s="11">
        <f>VLOOKUP(A584,[1]Sheet1!$A:$H,2, FALSE)</f>
        <v>0.21210000000000001</v>
      </c>
      <c r="Q584" s="40">
        <f>Table1[[#This Row],[A_Temperature]]*41</f>
        <v>8.6961000000000013</v>
      </c>
      <c r="R584" s="11">
        <f>VLOOKUP(A584,[1]Sheet1!$A:$G,3,FALSE)</f>
        <v>0.93</v>
      </c>
      <c r="S584" s="11">
        <f>VLOOKUP(A584,[1]Sheet1!$A:$G,4,FALSE)</f>
        <v>0.28360000000000002</v>
      </c>
      <c r="T584" s="11">
        <f>VLOOKUP(A584,[1]Sheet1!$A:$G,5,FALSE)</f>
        <v>2</v>
      </c>
      <c r="U584" s="11">
        <f>VLOOKUP(A584,[1]Sheet1!$A:$G,6,FALSE)</f>
        <v>26</v>
      </c>
      <c r="V584" s="18">
        <f>VLOOKUP(A584,[1]Sheet1!$A:$G,7,FALSE)</f>
        <v>28</v>
      </c>
    </row>
    <row r="585" spans="1:22" s="13" customFormat="1" ht="30" customHeight="1">
      <c r="A585" s="17">
        <v>581</v>
      </c>
      <c r="B585" s="14">
        <v>40569</v>
      </c>
      <c r="C585" s="8" t="str">
        <f t="shared" si="27"/>
        <v>Wednesday</v>
      </c>
      <c r="D585" s="9">
        <v>1</v>
      </c>
      <c r="E585" s="9">
        <v>0</v>
      </c>
      <c r="F585" s="9">
        <v>1</v>
      </c>
      <c r="G585" s="7">
        <v>11</v>
      </c>
      <c r="H585" s="9" t="b">
        <v>0</v>
      </c>
      <c r="I585" s="9">
        <v>3</v>
      </c>
      <c r="J585" s="38" t="str">
        <f>CHOOSE(Table1[[#This Row],[Weekday]]+1,"Sunday","Monday","Tuesday","Wednesday","Thursday","Friday","Saturday")</f>
        <v>Wednesday</v>
      </c>
      <c r="K585" s="9">
        <v>3</v>
      </c>
      <c r="L585" s="38" t="str">
        <f>IF(Table1[[#This Row],[Weather_code]]=1,"Clear",IF(Table1[[#This Row],[Weather_code]]=2,"Cloudy",IF(Table1[[#This Row],[Weather_code]]=3,"Light Rain",IF(Table1[[#This Row],[Weather_code]]=4,"Heavy Rain"))))</f>
        <v>Light Rain</v>
      </c>
      <c r="M585" s="10">
        <v>0.22</v>
      </c>
      <c r="N585" s="11" t="str">
        <f t="shared" si="28"/>
        <v>Winter</v>
      </c>
      <c r="O585" s="11" t="str">
        <f t="shared" si="29"/>
        <v>Weekday</v>
      </c>
      <c r="P585" s="11">
        <f>VLOOKUP(A585,[1]Sheet1!$A:$H,2, FALSE)</f>
        <v>0.19700000000000001</v>
      </c>
      <c r="Q585" s="40">
        <f>Table1[[#This Row],[A_Temperature]]*41</f>
        <v>8.077</v>
      </c>
      <c r="R585" s="11">
        <f>VLOOKUP(A585,[1]Sheet1!$A:$G,3,FALSE)</f>
        <v>0.93</v>
      </c>
      <c r="S585" s="11">
        <f>VLOOKUP(A585,[1]Sheet1!$A:$G,4,FALSE)</f>
        <v>0.32840000000000003</v>
      </c>
      <c r="T585" s="11">
        <f>VLOOKUP(A585,[1]Sheet1!$A:$G,5,FALSE)</f>
        <v>6</v>
      </c>
      <c r="U585" s="11">
        <f>VLOOKUP(A585,[1]Sheet1!$A:$G,6,FALSE)</f>
        <v>35</v>
      </c>
      <c r="V585" s="18">
        <f>VLOOKUP(A585,[1]Sheet1!$A:$G,7,FALSE)</f>
        <v>41</v>
      </c>
    </row>
    <row r="586" spans="1:22" s="13" customFormat="1" ht="30" customHeight="1">
      <c r="A586" s="17">
        <v>582</v>
      </c>
      <c r="B586" s="14">
        <v>40569</v>
      </c>
      <c r="C586" s="8" t="str">
        <f t="shared" si="27"/>
        <v>Wednesday</v>
      </c>
      <c r="D586" s="9">
        <v>1</v>
      </c>
      <c r="E586" s="9">
        <v>0</v>
      </c>
      <c r="F586" s="9">
        <v>1</v>
      </c>
      <c r="G586" s="7">
        <v>12</v>
      </c>
      <c r="H586" s="9" t="b">
        <v>0</v>
      </c>
      <c r="I586" s="9">
        <v>3</v>
      </c>
      <c r="J586" s="38" t="str">
        <f>CHOOSE(Table1[[#This Row],[Weekday]]+1,"Sunday","Monday","Tuesday","Wednesday","Thursday","Friday","Saturday")</f>
        <v>Wednesday</v>
      </c>
      <c r="K586" s="9">
        <v>3</v>
      </c>
      <c r="L586" s="38" t="str">
        <f>IF(Table1[[#This Row],[Weather_code]]=1,"Clear",IF(Table1[[#This Row],[Weather_code]]=2,"Cloudy",IF(Table1[[#This Row],[Weather_code]]=3,"Light Rain",IF(Table1[[#This Row],[Weather_code]]=4,"Heavy Rain"))))</f>
        <v>Light Rain</v>
      </c>
      <c r="M586" s="10">
        <v>0.22</v>
      </c>
      <c r="N586" s="11" t="str">
        <f t="shared" si="28"/>
        <v>Winter</v>
      </c>
      <c r="O586" s="11" t="str">
        <f t="shared" si="29"/>
        <v>Weekday</v>
      </c>
      <c r="P586" s="11">
        <f>VLOOKUP(A586,[1]Sheet1!$A:$H,2, FALSE)</f>
        <v>0.19700000000000001</v>
      </c>
      <c r="Q586" s="40">
        <f>Table1[[#This Row],[A_Temperature]]*41</f>
        <v>8.077</v>
      </c>
      <c r="R586" s="11">
        <f>VLOOKUP(A586,[1]Sheet1!$A:$G,3,FALSE)</f>
        <v>0.93</v>
      </c>
      <c r="S586" s="11">
        <f>VLOOKUP(A586,[1]Sheet1!$A:$G,4,FALSE)</f>
        <v>0.32840000000000003</v>
      </c>
      <c r="T586" s="11">
        <f>VLOOKUP(A586,[1]Sheet1!$A:$G,5,FALSE)</f>
        <v>7</v>
      </c>
      <c r="U586" s="11">
        <f>VLOOKUP(A586,[1]Sheet1!$A:$G,6,FALSE)</f>
        <v>41</v>
      </c>
      <c r="V586" s="18">
        <f>VLOOKUP(A586,[1]Sheet1!$A:$G,7,FALSE)</f>
        <v>48</v>
      </c>
    </row>
    <row r="587" spans="1:22" s="13" customFormat="1" ht="30" customHeight="1">
      <c r="A587" s="17">
        <v>583</v>
      </c>
      <c r="B587" s="14">
        <v>40569</v>
      </c>
      <c r="C587" s="8" t="str">
        <f t="shared" si="27"/>
        <v>Wednesday</v>
      </c>
      <c r="D587" s="9">
        <v>1</v>
      </c>
      <c r="E587" s="9">
        <v>0</v>
      </c>
      <c r="F587" s="9">
        <v>1</v>
      </c>
      <c r="G587" s="7">
        <v>13</v>
      </c>
      <c r="H587" s="9" t="b">
        <v>0</v>
      </c>
      <c r="I587" s="9">
        <v>3</v>
      </c>
      <c r="J587" s="38" t="str">
        <f>CHOOSE(Table1[[#This Row],[Weekday]]+1,"Sunday","Monday","Tuesday","Wednesday","Thursday","Friday","Saturday")</f>
        <v>Wednesday</v>
      </c>
      <c r="K587" s="9">
        <v>3</v>
      </c>
      <c r="L587" s="38" t="str">
        <f>IF(Table1[[#This Row],[Weather_code]]=1,"Clear",IF(Table1[[#This Row],[Weather_code]]=2,"Cloudy",IF(Table1[[#This Row],[Weather_code]]=3,"Light Rain",IF(Table1[[#This Row],[Weather_code]]=4,"Heavy Rain"))))</f>
        <v>Light Rain</v>
      </c>
      <c r="M587" s="10">
        <v>0.22</v>
      </c>
      <c r="N587" s="11" t="str">
        <f t="shared" si="28"/>
        <v>Winter</v>
      </c>
      <c r="O587" s="11" t="str">
        <f t="shared" si="29"/>
        <v>Weekday</v>
      </c>
      <c r="P587" s="11">
        <f>VLOOKUP(A587,[1]Sheet1!$A:$H,2, FALSE)</f>
        <v>0.19700000000000001</v>
      </c>
      <c r="Q587" s="40">
        <f>Table1[[#This Row],[A_Temperature]]*41</f>
        <v>8.077</v>
      </c>
      <c r="R587" s="11">
        <f>VLOOKUP(A587,[1]Sheet1!$A:$G,3,FALSE)</f>
        <v>0.93</v>
      </c>
      <c r="S587" s="11">
        <f>VLOOKUP(A587,[1]Sheet1!$A:$G,4,FALSE)</f>
        <v>0.32840000000000003</v>
      </c>
      <c r="T587" s="11">
        <f>VLOOKUP(A587,[1]Sheet1!$A:$G,5,FALSE)</f>
        <v>4</v>
      </c>
      <c r="U587" s="11">
        <f>VLOOKUP(A587,[1]Sheet1!$A:$G,6,FALSE)</f>
        <v>43</v>
      </c>
      <c r="V587" s="18">
        <f>VLOOKUP(A587,[1]Sheet1!$A:$G,7,FALSE)</f>
        <v>47</v>
      </c>
    </row>
    <row r="588" spans="1:22" s="13" customFormat="1" ht="30" customHeight="1">
      <c r="A588" s="17">
        <v>584</v>
      </c>
      <c r="B588" s="14">
        <v>40569</v>
      </c>
      <c r="C588" s="8" t="str">
        <f t="shared" si="27"/>
        <v>Wednesday</v>
      </c>
      <c r="D588" s="9">
        <v>1</v>
      </c>
      <c r="E588" s="9">
        <v>0</v>
      </c>
      <c r="F588" s="9">
        <v>1</v>
      </c>
      <c r="G588" s="7">
        <v>14</v>
      </c>
      <c r="H588" s="9" t="b">
        <v>0</v>
      </c>
      <c r="I588" s="9">
        <v>3</v>
      </c>
      <c r="J588" s="38" t="str">
        <f>CHOOSE(Table1[[#This Row],[Weekday]]+1,"Sunday","Monday","Tuesday","Wednesday","Thursday","Friday","Saturday")</f>
        <v>Wednesday</v>
      </c>
      <c r="K588" s="9">
        <v>3</v>
      </c>
      <c r="L588" s="38" t="str">
        <f>IF(Table1[[#This Row],[Weather_code]]=1,"Clear",IF(Table1[[#This Row],[Weather_code]]=2,"Cloudy",IF(Table1[[#This Row],[Weather_code]]=3,"Light Rain",IF(Table1[[#This Row],[Weather_code]]=4,"Heavy Rain"))))</f>
        <v>Light Rain</v>
      </c>
      <c r="M588" s="10">
        <v>0.22</v>
      </c>
      <c r="N588" s="11" t="str">
        <f t="shared" si="28"/>
        <v>Winter</v>
      </c>
      <c r="O588" s="11" t="str">
        <f t="shared" si="29"/>
        <v>Weekday</v>
      </c>
      <c r="P588" s="11">
        <f>VLOOKUP(A588,[1]Sheet1!$A:$H,2, FALSE)</f>
        <v>0.19700000000000001</v>
      </c>
      <c r="Q588" s="40">
        <f>Table1[[#This Row],[A_Temperature]]*41</f>
        <v>8.077</v>
      </c>
      <c r="R588" s="11">
        <f>VLOOKUP(A588,[1]Sheet1!$A:$G,3,FALSE)</f>
        <v>0.93</v>
      </c>
      <c r="S588" s="11">
        <f>VLOOKUP(A588,[1]Sheet1!$A:$G,4,FALSE)</f>
        <v>0.35820000000000002</v>
      </c>
      <c r="T588" s="11">
        <f>VLOOKUP(A588,[1]Sheet1!$A:$G,5,FALSE)</f>
        <v>0</v>
      </c>
      <c r="U588" s="11">
        <f>VLOOKUP(A588,[1]Sheet1!$A:$G,6,FALSE)</f>
        <v>36</v>
      </c>
      <c r="V588" s="18">
        <f>VLOOKUP(A588,[1]Sheet1!$A:$G,7,FALSE)</f>
        <v>36</v>
      </c>
    </row>
    <row r="589" spans="1:22" s="13" customFormat="1" ht="30" customHeight="1">
      <c r="A589" s="17">
        <v>585</v>
      </c>
      <c r="B589" s="14">
        <v>40569</v>
      </c>
      <c r="C589" s="8" t="str">
        <f t="shared" si="27"/>
        <v>Wednesday</v>
      </c>
      <c r="D589" s="9">
        <v>1</v>
      </c>
      <c r="E589" s="9">
        <v>0</v>
      </c>
      <c r="F589" s="9">
        <v>1</v>
      </c>
      <c r="G589" s="7">
        <v>15</v>
      </c>
      <c r="H589" s="9" t="b">
        <v>0</v>
      </c>
      <c r="I589" s="9">
        <v>3</v>
      </c>
      <c r="J589" s="38" t="str">
        <f>CHOOSE(Table1[[#This Row],[Weekday]]+1,"Sunday","Monday","Tuesday","Wednesday","Thursday","Friday","Saturday")</f>
        <v>Wednesday</v>
      </c>
      <c r="K589" s="9">
        <v>3</v>
      </c>
      <c r="L589" s="38" t="str">
        <f>IF(Table1[[#This Row],[Weather_code]]=1,"Clear",IF(Table1[[#This Row],[Weather_code]]=2,"Cloudy",IF(Table1[[#This Row],[Weather_code]]=3,"Light Rain",IF(Table1[[#This Row],[Weather_code]]=4,"Heavy Rain"))))</f>
        <v>Light Rain</v>
      </c>
      <c r="M589" s="10">
        <v>0.22</v>
      </c>
      <c r="N589" s="11" t="str">
        <f t="shared" si="28"/>
        <v>Winter</v>
      </c>
      <c r="O589" s="11" t="str">
        <f t="shared" si="29"/>
        <v>Weekday</v>
      </c>
      <c r="P589" s="11">
        <f>VLOOKUP(A589,[1]Sheet1!$A:$H,2, FALSE)</f>
        <v>0.18179999999999999</v>
      </c>
      <c r="Q589" s="40">
        <f>Table1[[#This Row],[A_Temperature]]*41</f>
        <v>7.4537999999999993</v>
      </c>
      <c r="R589" s="11">
        <f>VLOOKUP(A589,[1]Sheet1!$A:$G,3,FALSE)</f>
        <v>0.93</v>
      </c>
      <c r="S589" s="11">
        <f>VLOOKUP(A589,[1]Sheet1!$A:$G,4,FALSE)</f>
        <v>0.4627</v>
      </c>
      <c r="T589" s="11">
        <f>VLOOKUP(A589,[1]Sheet1!$A:$G,5,FALSE)</f>
        <v>1</v>
      </c>
      <c r="U589" s="11">
        <f>VLOOKUP(A589,[1]Sheet1!$A:$G,6,FALSE)</f>
        <v>42</v>
      </c>
      <c r="V589" s="18">
        <f>VLOOKUP(A589,[1]Sheet1!$A:$G,7,FALSE)</f>
        <v>43</v>
      </c>
    </row>
    <row r="590" spans="1:22" s="13" customFormat="1" ht="30" customHeight="1">
      <c r="A590" s="17">
        <v>586</v>
      </c>
      <c r="B590" s="14">
        <v>40569</v>
      </c>
      <c r="C590" s="8" t="str">
        <f t="shared" si="27"/>
        <v>Wednesday</v>
      </c>
      <c r="D590" s="9">
        <v>1</v>
      </c>
      <c r="E590" s="9">
        <v>0</v>
      </c>
      <c r="F590" s="9">
        <v>1</v>
      </c>
      <c r="G590" s="7">
        <v>16</v>
      </c>
      <c r="H590" s="9" t="b">
        <v>0</v>
      </c>
      <c r="I590" s="9">
        <v>3</v>
      </c>
      <c r="J590" s="38" t="str">
        <f>CHOOSE(Table1[[#This Row],[Weekday]]+1,"Sunday","Monday","Tuesday","Wednesday","Thursday","Friday","Saturday")</f>
        <v>Wednesday</v>
      </c>
      <c r="K590" s="9">
        <v>4</v>
      </c>
      <c r="L590" s="38" t="str">
        <f>IF(Table1[[#This Row],[Weather_code]]=1,"Clear",IF(Table1[[#This Row],[Weather_code]]=2,"Cloudy",IF(Table1[[#This Row],[Weather_code]]=3,"Light Rain",IF(Table1[[#This Row],[Weather_code]]=4,"Heavy Rain"))))</f>
        <v>Heavy Rain</v>
      </c>
      <c r="M590" s="10">
        <v>0.22</v>
      </c>
      <c r="N590" s="11" t="str">
        <f t="shared" si="28"/>
        <v>Winter</v>
      </c>
      <c r="O590" s="11" t="str">
        <f t="shared" si="29"/>
        <v>Weekday</v>
      </c>
      <c r="P590" s="11">
        <f>VLOOKUP(A590,[1]Sheet1!$A:$H,2, FALSE)</f>
        <v>0.19700000000000001</v>
      </c>
      <c r="Q590" s="40">
        <f>Table1[[#This Row],[A_Temperature]]*41</f>
        <v>8.077</v>
      </c>
      <c r="R590" s="11">
        <f>VLOOKUP(A590,[1]Sheet1!$A:$G,3,FALSE)</f>
        <v>0.93</v>
      </c>
      <c r="S590" s="11">
        <f>VLOOKUP(A590,[1]Sheet1!$A:$G,4,FALSE)</f>
        <v>0.32840000000000003</v>
      </c>
      <c r="T590" s="11">
        <f>VLOOKUP(A590,[1]Sheet1!$A:$G,5,FALSE)</f>
        <v>1</v>
      </c>
      <c r="U590" s="11">
        <f>VLOOKUP(A590,[1]Sheet1!$A:$G,6,FALSE)</f>
        <v>35</v>
      </c>
      <c r="V590" s="18">
        <f>VLOOKUP(A590,[1]Sheet1!$A:$G,7,FALSE)</f>
        <v>36</v>
      </c>
    </row>
    <row r="591" spans="1:22" s="13" customFormat="1" ht="30" customHeight="1">
      <c r="A591" s="17">
        <v>587</v>
      </c>
      <c r="B591" s="14">
        <v>40569</v>
      </c>
      <c r="C591" s="8" t="str">
        <f t="shared" si="27"/>
        <v>Wednesday</v>
      </c>
      <c r="D591" s="9">
        <v>1</v>
      </c>
      <c r="E591" s="9">
        <v>0</v>
      </c>
      <c r="F591" s="9">
        <v>1</v>
      </c>
      <c r="G591" s="7">
        <v>17</v>
      </c>
      <c r="H591" s="9" t="b">
        <v>0</v>
      </c>
      <c r="I591" s="9">
        <v>3</v>
      </c>
      <c r="J591" s="38" t="str">
        <f>CHOOSE(Table1[[#This Row],[Weekday]]+1,"Sunday","Monday","Tuesday","Wednesday","Thursday","Friday","Saturday")</f>
        <v>Wednesday</v>
      </c>
      <c r="K591" s="9">
        <v>3</v>
      </c>
      <c r="L591" s="38" t="str">
        <f>IF(Table1[[#This Row],[Weather_code]]=1,"Clear",IF(Table1[[#This Row],[Weather_code]]=2,"Cloudy",IF(Table1[[#This Row],[Weather_code]]=3,"Light Rain",IF(Table1[[#This Row],[Weather_code]]=4,"Heavy Rain"))))</f>
        <v>Light Rain</v>
      </c>
      <c r="M591" s="10">
        <v>0.2</v>
      </c>
      <c r="N591" s="11" t="str">
        <f t="shared" si="28"/>
        <v>Winter</v>
      </c>
      <c r="O591" s="11" t="str">
        <f t="shared" si="29"/>
        <v>Weekday</v>
      </c>
      <c r="P591" s="11">
        <f>VLOOKUP(A591,[1]Sheet1!$A:$H,2, FALSE)</f>
        <v>0.18179999999999999</v>
      </c>
      <c r="Q591" s="40">
        <f>Table1[[#This Row],[A_Temperature]]*41</f>
        <v>7.4537999999999993</v>
      </c>
      <c r="R591" s="11">
        <f>VLOOKUP(A591,[1]Sheet1!$A:$G,3,FALSE)</f>
        <v>0.93</v>
      </c>
      <c r="S591" s="11">
        <f>VLOOKUP(A591,[1]Sheet1!$A:$G,4,FALSE)</f>
        <v>0.35820000000000002</v>
      </c>
      <c r="T591" s="11">
        <f>VLOOKUP(A591,[1]Sheet1!$A:$G,5,FALSE)</f>
        <v>0</v>
      </c>
      <c r="U591" s="11">
        <f>VLOOKUP(A591,[1]Sheet1!$A:$G,6,FALSE)</f>
        <v>26</v>
      </c>
      <c r="V591" s="18">
        <f>VLOOKUP(A591,[1]Sheet1!$A:$G,7,FALSE)</f>
        <v>26</v>
      </c>
    </row>
    <row r="592" spans="1:22" s="13" customFormat="1" ht="30" customHeight="1">
      <c r="A592" s="17">
        <v>588</v>
      </c>
      <c r="B592" s="14">
        <v>40570</v>
      </c>
      <c r="C592" s="8" t="str">
        <f t="shared" si="27"/>
        <v>Thursday</v>
      </c>
      <c r="D592" s="9">
        <v>1</v>
      </c>
      <c r="E592" s="9">
        <v>0</v>
      </c>
      <c r="F592" s="9">
        <v>1</v>
      </c>
      <c r="G592" s="7">
        <v>16</v>
      </c>
      <c r="H592" s="9" t="b">
        <v>0</v>
      </c>
      <c r="I592" s="9">
        <v>4</v>
      </c>
      <c r="J592" s="38" t="str">
        <f>CHOOSE(Table1[[#This Row],[Weekday]]+1,"Sunday","Monday","Tuesday","Wednesday","Thursday","Friday","Saturday")</f>
        <v>Thursday</v>
      </c>
      <c r="K592" s="9">
        <v>1</v>
      </c>
      <c r="L592" s="38" t="str">
        <f>IF(Table1[[#This Row],[Weather_code]]=1,"Clear",IF(Table1[[#This Row],[Weather_code]]=2,"Cloudy",IF(Table1[[#This Row],[Weather_code]]=3,"Light Rain",IF(Table1[[#This Row],[Weather_code]]=4,"Heavy Rain"))))</f>
        <v>Clear</v>
      </c>
      <c r="M592" s="10">
        <v>0.22</v>
      </c>
      <c r="N592" s="11" t="str">
        <f t="shared" si="28"/>
        <v>Winter</v>
      </c>
      <c r="O592" s="11" t="str">
        <f t="shared" si="29"/>
        <v>Weekday</v>
      </c>
      <c r="P592" s="11">
        <f>VLOOKUP(A592,[1]Sheet1!$A:$H,2, FALSE)</f>
        <v>0.2273</v>
      </c>
      <c r="Q592" s="40">
        <f>Table1[[#This Row],[A_Temperature]]*41</f>
        <v>9.3193000000000001</v>
      </c>
      <c r="R592" s="11">
        <f>VLOOKUP(A592,[1]Sheet1!$A:$G,3,FALSE)</f>
        <v>0.55000000000000004</v>
      </c>
      <c r="S592" s="11">
        <f>VLOOKUP(A592,[1]Sheet1!$A:$G,4,FALSE)</f>
        <v>0.19400000000000001</v>
      </c>
      <c r="T592" s="11">
        <f>VLOOKUP(A592,[1]Sheet1!$A:$G,5,FALSE)</f>
        <v>1</v>
      </c>
      <c r="U592" s="11">
        <f>VLOOKUP(A592,[1]Sheet1!$A:$G,6,FALSE)</f>
        <v>23</v>
      </c>
      <c r="V592" s="18">
        <f>VLOOKUP(A592,[1]Sheet1!$A:$G,7,FALSE)</f>
        <v>24</v>
      </c>
    </row>
    <row r="593" spans="1:22" s="13" customFormat="1" ht="30" customHeight="1">
      <c r="A593" s="17">
        <v>589</v>
      </c>
      <c r="B593" s="14">
        <v>40570</v>
      </c>
      <c r="C593" s="8" t="str">
        <f t="shared" si="27"/>
        <v>Thursday</v>
      </c>
      <c r="D593" s="9">
        <v>1</v>
      </c>
      <c r="E593" s="9">
        <v>0</v>
      </c>
      <c r="F593" s="9">
        <v>1</v>
      </c>
      <c r="G593" s="7">
        <v>17</v>
      </c>
      <c r="H593" s="9" t="b">
        <v>0</v>
      </c>
      <c r="I593" s="9">
        <v>4</v>
      </c>
      <c r="J593" s="38" t="str">
        <f>CHOOSE(Table1[[#This Row],[Weekday]]+1,"Sunday","Monday","Tuesday","Wednesday","Thursday","Friday","Saturday")</f>
        <v>Thursday</v>
      </c>
      <c r="K593" s="9">
        <v>1</v>
      </c>
      <c r="L593" s="38" t="str">
        <f>IF(Table1[[#This Row],[Weather_code]]=1,"Clear",IF(Table1[[#This Row],[Weather_code]]=2,"Cloudy",IF(Table1[[#This Row],[Weather_code]]=3,"Light Rain",IF(Table1[[#This Row],[Weather_code]]=4,"Heavy Rain"))))</f>
        <v>Clear</v>
      </c>
      <c r="M593" s="10">
        <v>0.22</v>
      </c>
      <c r="N593" s="11" t="str">
        <f t="shared" si="28"/>
        <v>Winter</v>
      </c>
      <c r="O593" s="11" t="str">
        <f t="shared" si="29"/>
        <v>Weekday</v>
      </c>
      <c r="P593" s="11">
        <f>VLOOKUP(A593,[1]Sheet1!$A:$H,2, FALSE)</f>
        <v>0.2424</v>
      </c>
      <c r="Q593" s="40">
        <f>Table1[[#This Row],[A_Temperature]]*41</f>
        <v>9.9383999999999997</v>
      </c>
      <c r="R593" s="11">
        <f>VLOOKUP(A593,[1]Sheet1!$A:$G,3,FALSE)</f>
        <v>0.55000000000000004</v>
      </c>
      <c r="S593" s="11">
        <f>VLOOKUP(A593,[1]Sheet1!$A:$G,4,FALSE)</f>
        <v>0.1045</v>
      </c>
      <c r="T593" s="11">
        <f>VLOOKUP(A593,[1]Sheet1!$A:$G,5,FALSE)</f>
        <v>2</v>
      </c>
      <c r="U593" s="11">
        <f>VLOOKUP(A593,[1]Sheet1!$A:$G,6,FALSE)</f>
        <v>82</v>
      </c>
      <c r="V593" s="18">
        <f>VLOOKUP(A593,[1]Sheet1!$A:$G,7,FALSE)</f>
        <v>84</v>
      </c>
    </row>
    <row r="594" spans="1:22" s="13" customFormat="1" ht="30" customHeight="1">
      <c r="A594" s="17">
        <v>590</v>
      </c>
      <c r="B594" s="14">
        <v>40570</v>
      </c>
      <c r="C594" s="8" t="str">
        <f t="shared" si="27"/>
        <v>Thursday</v>
      </c>
      <c r="D594" s="9">
        <v>1</v>
      </c>
      <c r="E594" s="9">
        <v>0</v>
      </c>
      <c r="F594" s="9">
        <v>1</v>
      </c>
      <c r="G594" s="7">
        <v>18</v>
      </c>
      <c r="H594" s="9" t="b">
        <v>0</v>
      </c>
      <c r="I594" s="9">
        <v>4</v>
      </c>
      <c r="J594" s="38" t="str">
        <f>CHOOSE(Table1[[#This Row],[Weekday]]+1,"Sunday","Monday","Tuesday","Wednesday","Thursday","Friday","Saturday")</f>
        <v>Thursday</v>
      </c>
      <c r="K594" s="9">
        <v>1</v>
      </c>
      <c r="L594" s="38" t="str">
        <f>IF(Table1[[#This Row],[Weather_code]]=1,"Clear",IF(Table1[[#This Row],[Weather_code]]=2,"Cloudy",IF(Table1[[#This Row],[Weather_code]]=3,"Light Rain",IF(Table1[[#This Row],[Weather_code]]=4,"Heavy Rain"))))</f>
        <v>Clear</v>
      </c>
      <c r="M594" s="10">
        <v>0.2</v>
      </c>
      <c r="N594" s="11" t="str">
        <f t="shared" si="28"/>
        <v>Winter</v>
      </c>
      <c r="O594" s="11" t="str">
        <f t="shared" si="29"/>
        <v>Weekday</v>
      </c>
      <c r="P594" s="11">
        <f>VLOOKUP(A594,[1]Sheet1!$A:$H,2, FALSE)</f>
        <v>0.2273</v>
      </c>
      <c r="Q594" s="40">
        <f>Table1[[#This Row],[A_Temperature]]*41</f>
        <v>9.3193000000000001</v>
      </c>
      <c r="R594" s="11">
        <f>VLOOKUP(A594,[1]Sheet1!$A:$G,3,FALSE)</f>
        <v>0.69</v>
      </c>
      <c r="S594" s="11">
        <f>VLOOKUP(A594,[1]Sheet1!$A:$G,4,FALSE)</f>
        <v>8.9599999999999999E-2</v>
      </c>
      <c r="T594" s="11">
        <f>VLOOKUP(A594,[1]Sheet1!$A:$G,5,FALSE)</f>
        <v>3</v>
      </c>
      <c r="U594" s="11">
        <f>VLOOKUP(A594,[1]Sheet1!$A:$G,6,FALSE)</f>
        <v>101</v>
      </c>
      <c r="V594" s="18">
        <f>VLOOKUP(A594,[1]Sheet1!$A:$G,7,FALSE)</f>
        <v>104</v>
      </c>
    </row>
    <row r="595" spans="1:22" s="13" customFormat="1" ht="30" customHeight="1">
      <c r="A595" s="17">
        <v>591</v>
      </c>
      <c r="B595" s="14">
        <v>40570</v>
      </c>
      <c r="C595" s="8" t="str">
        <f t="shared" si="27"/>
        <v>Thursday</v>
      </c>
      <c r="D595" s="9">
        <v>1</v>
      </c>
      <c r="E595" s="9">
        <v>0</v>
      </c>
      <c r="F595" s="9">
        <v>1</v>
      </c>
      <c r="G595" s="7">
        <v>19</v>
      </c>
      <c r="H595" s="9" t="b">
        <v>0</v>
      </c>
      <c r="I595" s="9">
        <v>4</v>
      </c>
      <c r="J595" s="38" t="str">
        <f>CHOOSE(Table1[[#This Row],[Weekday]]+1,"Sunday","Monday","Tuesday","Wednesday","Thursday","Friday","Saturday")</f>
        <v>Thursday</v>
      </c>
      <c r="K595" s="9">
        <v>1</v>
      </c>
      <c r="L595" s="38" t="str">
        <f>IF(Table1[[#This Row],[Weather_code]]=1,"Clear",IF(Table1[[#This Row],[Weather_code]]=2,"Cloudy",IF(Table1[[#This Row],[Weather_code]]=3,"Light Rain",IF(Table1[[#This Row],[Weather_code]]=4,"Heavy Rain"))))</f>
        <v>Clear</v>
      </c>
      <c r="M595" s="10">
        <v>0.2</v>
      </c>
      <c r="N595" s="11" t="str">
        <f t="shared" si="28"/>
        <v>Winter</v>
      </c>
      <c r="O595" s="11" t="str">
        <f t="shared" si="29"/>
        <v>Weekday</v>
      </c>
      <c r="P595" s="11">
        <f>VLOOKUP(A595,[1]Sheet1!$A:$H,2, FALSE)</f>
        <v>0.2273</v>
      </c>
      <c r="Q595" s="40">
        <f>Table1[[#This Row],[A_Temperature]]*41</f>
        <v>9.3193000000000001</v>
      </c>
      <c r="R595" s="11">
        <f>VLOOKUP(A595,[1]Sheet1!$A:$G,3,FALSE)</f>
        <v>0.69</v>
      </c>
      <c r="S595" s="11">
        <f>VLOOKUP(A595,[1]Sheet1!$A:$G,4,FALSE)</f>
        <v>8.9599999999999999E-2</v>
      </c>
      <c r="T595" s="11">
        <f>VLOOKUP(A595,[1]Sheet1!$A:$G,5,FALSE)</f>
        <v>3</v>
      </c>
      <c r="U595" s="11">
        <f>VLOOKUP(A595,[1]Sheet1!$A:$G,6,FALSE)</f>
        <v>76</v>
      </c>
      <c r="V595" s="18">
        <f>VLOOKUP(A595,[1]Sheet1!$A:$G,7,FALSE)</f>
        <v>79</v>
      </c>
    </row>
    <row r="596" spans="1:22" s="13" customFormat="1" ht="30" customHeight="1">
      <c r="A596" s="17">
        <v>592</v>
      </c>
      <c r="B596" s="14">
        <v>40570</v>
      </c>
      <c r="C596" s="8" t="str">
        <f t="shared" si="27"/>
        <v>Thursday</v>
      </c>
      <c r="D596" s="9">
        <v>1</v>
      </c>
      <c r="E596" s="9">
        <v>0</v>
      </c>
      <c r="F596" s="9">
        <v>1</v>
      </c>
      <c r="G596" s="7">
        <v>20</v>
      </c>
      <c r="H596" s="9" t="b">
        <v>0</v>
      </c>
      <c r="I596" s="9">
        <v>4</v>
      </c>
      <c r="J596" s="38" t="str">
        <f>CHOOSE(Table1[[#This Row],[Weekday]]+1,"Sunday","Monday","Tuesday","Wednesday","Thursday","Friday","Saturday")</f>
        <v>Thursday</v>
      </c>
      <c r="K596" s="9">
        <v>1</v>
      </c>
      <c r="L596" s="38" t="str">
        <f>IF(Table1[[#This Row],[Weather_code]]=1,"Clear",IF(Table1[[#This Row],[Weather_code]]=2,"Cloudy",IF(Table1[[#This Row],[Weather_code]]=3,"Light Rain",IF(Table1[[#This Row],[Weather_code]]=4,"Heavy Rain"))))</f>
        <v>Clear</v>
      </c>
      <c r="M596" s="10">
        <v>0.18</v>
      </c>
      <c r="N596" s="11" t="str">
        <f t="shared" si="28"/>
        <v>Winter</v>
      </c>
      <c r="O596" s="11" t="str">
        <f t="shared" si="29"/>
        <v>Weekday</v>
      </c>
      <c r="P596" s="11">
        <f>VLOOKUP(A596,[1]Sheet1!$A:$H,2, FALSE)</f>
        <v>0.21210000000000001</v>
      </c>
      <c r="Q596" s="40">
        <f>Table1[[#This Row],[A_Temperature]]*41</f>
        <v>8.6961000000000013</v>
      </c>
      <c r="R596" s="11">
        <f>VLOOKUP(A596,[1]Sheet1!$A:$G,3,FALSE)</f>
        <v>0.74</v>
      </c>
      <c r="S596" s="11">
        <f>VLOOKUP(A596,[1]Sheet1!$A:$G,4,FALSE)</f>
        <v>8.9599999999999999E-2</v>
      </c>
      <c r="T596" s="11">
        <f>VLOOKUP(A596,[1]Sheet1!$A:$G,5,FALSE)</f>
        <v>4</v>
      </c>
      <c r="U596" s="11">
        <f>VLOOKUP(A596,[1]Sheet1!$A:$G,6,FALSE)</f>
        <v>55</v>
      </c>
      <c r="V596" s="18">
        <f>VLOOKUP(A596,[1]Sheet1!$A:$G,7,FALSE)</f>
        <v>59</v>
      </c>
    </row>
    <row r="597" spans="1:22" s="13" customFormat="1" ht="30" customHeight="1">
      <c r="A597" s="17">
        <v>593</v>
      </c>
      <c r="B597" s="14">
        <v>40570</v>
      </c>
      <c r="C597" s="8" t="str">
        <f t="shared" si="27"/>
        <v>Thursday</v>
      </c>
      <c r="D597" s="9">
        <v>1</v>
      </c>
      <c r="E597" s="9">
        <v>0</v>
      </c>
      <c r="F597" s="9">
        <v>1</v>
      </c>
      <c r="G597" s="7">
        <v>21</v>
      </c>
      <c r="H597" s="9" t="b">
        <v>0</v>
      </c>
      <c r="I597" s="9">
        <v>4</v>
      </c>
      <c r="J597" s="38" t="str">
        <f>CHOOSE(Table1[[#This Row],[Weekday]]+1,"Sunday","Monday","Tuesday","Wednesday","Thursday","Friday","Saturday")</f>
        <v>Thursday</v>
      </c>
      <c r="K597" s="9">
        <v>1</v>
      </c>
      <c r="L597" s="38" t="str">
        <f>IF(Table1[[#This Row],[Weather_code]]=1,"Clear",IF(Table1[[#This Row],[Weather_code]]=2,"Cloudy",IF(Table1[[#This Row],[Weather_code]]=3,"Light Rain",IF(Table1[[#This Row],[Weather_code]]=4,"Heavy Rain"))))</f>
        <v>Clear</v>
      </c>
      <c r="M597" s="10">
        <v>0.18</v>
      </c>
      <c r="N597" s="11" t="str">
        <f t="shared" si="28"/>
        <v>Winter</v>
      </c>
      <c r="O597" s="11" t="str">
        <f t="shared" si="29"/>
        <v>Weekday</v>
      </c>
      <c r="P597" s="11">
        <f>VLOOKUP(A597,[1]Sheet1!$A:$H,2, FALSE)</f>
        <v>0.21210000000000001</v>
      </c>
      <c r="Q597" s="40">
        <f>Table1[[#This Row],[A_Temperature]]*41</f>
        <v>8.6961000000000013</v>
      </c>
      <c r="R597" s="11">
        <f>VLOOKUP(A597,[1]Sheet1!$A:$G,3,FALSE)</f>
        <v>0.74</v>
      </c>
      <c r="S597" s="11">
        <f>VLOOKUP(A597,[1]Sheet1!$A:$G,4,FALSE)</f>
        <v>8.9599999999999999E-2</v>
      </c>
      <c r="T597" s="11">
        <f>VLOOKUP(A597,[1]Sheet1!$A:$G,5,FALSE)</f>
        <v>2</v>
      </c>
      <c r="U597" s="11">
        <f>VLOOKUP(A597,[1]Sheet1!$A:$G,6,FALSE)</f>
        <v>36</v>
      </c>
      <c r="V597" s="18">
        <f>VLOOKUP(A597,[1]Sheet1!$A:$G,7,FALSE)</f>
        <v>38</v>
      </c>
    </row>
    <row r="598" spans="1:22" s="13" customFormat="1" ht="30" customHeight="1">
      <c r="A598" s="17">
        <v>594</v>
      </c>
      <c r="B598" s="14">
        <v>40570</v>
      </c>
      <c r="C598" s="8" t="str">
        <f t="shared" si="27"/>
        <v>Thursday</v>
      </c>
      <c r="D598" s="9">
        <v>1</v>
      </c>
      <c r="E598" s="9">
        <v>0</v>
      </c>
      <c r="F598" s="9">
        <v>1</v>
      </c>
      <c r="G598" s="7">
        <v>22</v>
      </c>
      <c r="H598" s="9" t="b">
        <v>0</v>
      </c>
      <c r="I598" s="9">
        <v>4</v>
      </c>
      <c r="J598" s="38" t="str">
        <f>CHOOSE(Table1[[#This Row],[Weekday]]+1,"Sunday","Monday","Tuesday","Wednesday","Thursday","Friday","Saturday")</f>
        <v>Thursday</v>
      </c>
      <c r="K598" s="9">
        <v>1</v>
      </c>
      <c r="L598" s="38" t="str">
        <f>IF(Table1[[#This Row],[Weather_code]]=1,"Clear",IF(Table1[[#This Row],[Weather_code]]=2,"Cloudy",IF(Table1[[#This Row],[Weather_code]]=3,"Light Rain",IF(Table1[[#This Row],[Weather_code]]=4,"Heavy Rain"))))</f>
        <v>Clear</v>
      </c>
      <c r="M598" s="10">
        <v>0.18</v>
      </c>
      <c r="N598" s="11" t="str">
        <f t="shared" si="28"/>
        <v>Winter</v>
      </c>
      <c r="O598" s="11" t="str">
        <f t="shared" si="29"/>
        <v>Weekday</v>
      </c>
      <c r="P598" s="11">
        <f>VLOOKUP(A598,[1]Sheet1!$A:$H,2, FALSE)</f>
        <v>0.21210000000000001</v>
      </c>
      <c r="Q598" s="40">
        <f>Table1[[#This Row],[A_Temperature]]*41</f>
        <v>8.6961000000000013</v>
      </c>
      <c r="R598" s="11">
        <f>VLOOKUP(A598,[1]Sheet1!$A:$G,3,FALSE)</f>
        <v>0.74</v>
      </c>
      <c r="S598" s="11">
        <f>VLOOKUP(A598,[1]Sheet1!$A:$G,4,FALSE)</f>
        <v>8.9599999999999999E-2</v>
      </c>
      <c r="T598" s="11">
        <f>VLOOKUP(A598,[1]Sheet1!$A:$G,5,FALSE)</f>
        <v>0</v>
      </c>
      <c r="U598" s="11">
        <f>VLOOKUP(A598,[1]Sheet1!$A:$G,6,FALSE)</f>
        <v>27</v>
      </c>
      <c r="V598" s="18">
        <f>VLOOKUP(A598,[1]Sheet1!$A:$G,7,FALSE)</f>
        <v>27</v>
      </c>
    </row>
    <row r="599" spans="1:22" s="13" customFormat="1" ht="30" customHeight="1">
      <c r="A599" s="17">
        <v>595</v>
      </c>
      <c r="B599" s="14">
        <v>40570</v>
      </c>
      <c r="C599" s="8" t="str">
        <f t="shared" si="27"/>
        <v>Thursday</v>
      </c>
      <c r="D599" s="9">
        <v>1</v>
      </c>
      <c r="E599" s="9">
        <v>0</v>
      </c>
      <c r="F599" s="9">
        <v>1</v>
      </c>
      <c r="G599" s="7">
        <v>23</v>
      </c>
      <c r="H599" s="9" t="b">
        <v>0</v>
      </c>
      <c r="I599" s="9">
        <v>4</v>
      </c>
      <c r="J599" s="38" t="str">
        <f>CHOOSE(Table1[[#This Row],[Weekday]]+1,"Sunday","Monday","Tuesday","Wednesday","Thursday","Friday","Saturday")</f>
        <v>Thursday</v>
      </c>
      <c r="K599" s="9">
        <v>1</v>
      </c>
      <c r="L599" s="38" t="str">
        <f>IF(Table1[[#This Row],[Weather_code]]=1,"Clear",IF(Table1[[#This Row],[Weather_code]]=2,"Cloudy",IF(Table1[[#This Row],[Weather_code]]=3,"Light Rain",IF(Table1[[#This Row],[Weather_code]]=4,"Heavy Rain"))))</f>
        <v>Clear</v>
      </c>
      <c r="M599" s="10">
        <v>0.18</v>
      </c>
      <c r="N599" s="11" t="str">
        <f t="shared" si="28"/>
        <v>Winter</v>
      </c>
      <c r="O599" s="11" t="str">
        <f t="shared" si="29"/>
        <v>Weekday</v>
      </c>
      <c r="P599" s="11">
        <f>VLOOKUP(A599,[1]Sheet1!$A:$H,2, FALSE)</f>
        <v>0.19700000000000001</v>
      </c>
      <c r="Q599" s="40">
        <f>Table1[[#This Row],[A_Temperature]]*41</f>
        <v>8.077</v>
      </c>
      <c r="R599" s="11">
        <f>VLOOKUP(A599,[1]Sheet1!$A:$G,3,FALSE)</f>
        <v>0.8</v>
      </c>
      <c r="S599" s="11">
        <f>VLOOKUP(A599,[1]Sheet1!$A:$G,4,FALSE)</f>
        <v>0.16420000000000001</v>
      </c>
      <c r="T599" s="11">
        <f>VLOOKUP(A599,[1]Sheet1!$A:$G,5,FALSE)</f>
        <v>0</v>
      </c>
      <c r="U599" s="11">
        <f>VLOOKUP(A599,[1]Sheet1!$A:$G,6,FALSE)</f>
        <v>16</v>
      </c>
      <c r="V599" s="18">
        <f>VLOOKUP(A599,[1]Sheet1!$A:$G,7,FALSE)</f>
        <v>16</v>
      </c>
    </row>
    <row r="600" spans="1:22" s="13" customFormat="1" ht="30" customHeight="1">
      <c r="A600" s="17">
        <v>596</v>
      </c>
      <c r="B600" s="14">
        <v>40571</v>
      </c>
      <c r="C600" s="8" t="str">
        <f t="shared" si="27"/>
        <v>Friday</v>
      </c>
      <c r="D600" s="9">
        <v>1</v>
      </c>
      <c r="E600" s="9">
        <v>0</v>
      </c>
      <c r="F600" s="9">
        <v>1</v>
      </c>
      <c r="G600" s="7">
        <v>0</v>
      </c>
      <c r="H600" s="9" t="b">
        <v>0</v>
      </c>
      <c r="I600" s="9">
        <v>5</v>
      </c>
      <c r="J600" s="38" t="str">
        <f>CHOOSE(Table1[[#This Row],[Weekday]]+1,"Sunday","Monday","Tuesday","Wednesday","Thursday","Friday","Saturday")</f>
        <v>Friday</v>
      </c>
      <c r="K600" s="9">
        <v>2</v>
      </c>
      <c r="L600" s="38" t="str">
        <f>IF(Table1[[#This Row],[Weather_code]]=1,"Clear",IF(Table1[[#This Row],[Weather_code]]=2,"Cloudy",IF(Table1[[#This Row],[Weather_code]]=3,"Light Rain",IF(Table1[[#This Row],[Weather_code]]=4,"Heavy Rain"))))</f>
        <v>Cloudy</v>
      </c>
      <c r="M600" s="10">
        <v>0.2</v>
      </c>
      <c r="N600" s="11" t="str">
        <f t="shared" si="28"/>
        <v>Winter</v>
      </c>
      <c r="O600" s="11" t="str">
        <f t="shared" si="29"/>
        <v>Weekday</v>
      </c>
      <c r="P600" s="11">
        <f>VLOOKUP(A600,[1]Sheet1!$A:$H,2, FALSE)</f>
        <v>0.21210000000000001</v>
      </c>
      <c r="Q600" s="40">
        <f>Table1[[#This Row],[A_Temperature]]*41</f>
        <v>8.6961000000000013</v>
      </c>
      <c r="R600" s="11">
        <f>VLOOKUP(A600,[1]Sheet1!$A:$G,3,FALSE)</f>
        <v>0.75</v>
      </c>
      <c r="S600" s="11">
        <f>VLOOKUP(A600,[1]Sheet1!$A:$G,4,FALSE)</f>
        <v>0.1343</v>
      </c>
      <c r="T600" s="11">
        <f>VLOOKUP(A600,[1]Sheet1!$A:$G,5,FALSE)</f>
        <v>0</v>
      </c>
      <c r="U600" s="11">
        <f>VLOOKUP(A600,[1]Sheet1!$A:$G,6,FALSE)</f>
        <v>9</v>
      </c>
      <c r="V600" s="18">
        <f>VLOOKUP(A600,[1]Sheet1!$A:$G,7,FALSE)</f>
        <v>9</v>
      </c>
    </row>
    <row r="601" spans="1:22" s="13" customFormat="1" ht="30" customHeight="1">
      <c r="A601" s="17">
        <v>597</v>
      </c>
      <c r="B601" s="14">
        <v>40571</v>
      </c>
      <c r="C601" s="8" t="str">
        <f t="shared" si="27"/>
        <v>Friday</v>
      </c>
      <c r="D601" s="9">
        <v>1</v>
      </c>
      <c r="E601" s="9">
        <v>0</v>
      </c>
      <c r="F601" s="9">
        <v>1</v>
      </c>
      <c r="G601" s="7">
        <v>1</v>
      </c>
      <c r="H601" s="9" t="b">
        <v>0</v>
      </c>
      <c r="I601" s="9">
        <v>5</v>
      </c>
      <c r="J601" s="38" t="str">
        <f>CHOOSE(Table1[[#This Row],[Weekday]]+1,"Sunday","Monday","Tuesday","Wednesday","Thursday","Friday","Saturday")</f>
        <v>Friday</v>
      </c>
      <c r="K601" s="9">
        <v>2</v>
      </c>
      <c r="L601" s="38" t="str">
        <f>IF(Table1[[#This Row],[Weather_code]]=1,"Clear",IF(Table1[[#This Row],[Weather_code]]=2,"Cloudy",IF(Table1[[#This Row],[Weather_code]]=3,"Light Rain",IF(Table1[[#This Row],[Weather_code]]=4,"Heavy Rain"))))</f>
        <v>Cloudy</v>
      </c>
      <c r="M601" s="10">
        <v>0.2</v>
      </c>
      <c r="N601" s="11" t="str">
        <f t="shared" si="28"/>
        <v>Winter</v>
      </c>
      <c r="O601" s="11" t="str">
        <f t="shared" si="29"/>
        <v>Weekday</v>
      </c>
      <c r="P601" s="11">
        <f>VLOOKUP(A601,[1]Sheet1!$A:$H,2, FALSE)</f>
        <v>0.21210000000000001</v>
      </c>
      <c r="Q601" s="40">
        <f>Table1[[#This Row],[A_Temperature]]*41</f>
        <v>8.6961000000000013</v>
      </c>
      <c r="R601" s="11">
        <f>VLOOKUP(A601,[1]Sheet1!$A:$G,3,FALSE)</f>
        <v>0.75</v>
      </c>
      <c r="S601" s="11">
        <f>VLOOKUP(A601,[1]Sheet1!$A:$G,4,FALSE)</f>
        <v>0.1343</v>
      </c>
      <c r="T601" s="11">
        <f>VLOOKUP(A601,[1]Sheet1!$A:$G,5,FALSE)</f>
        <v>1</v>
      </c>
      <c r="U601" s="11">
        <f>VLOOKUP(A601,[1]Sheet1!$A:$G,6,FALSE)</f>
        <v>2</v>
      </c>
      <c r="V601" s="18">
        <f>VLOOKUP(A601,[1]Sheet1!$A:$G,7,FALSE)</f>
        <v>3</v>
      </c>
    </row>
    <row r="602" spans="1:22" s="13" customFormat="1" ht="30" customHeight="1">
      <c r="A602" s="17">
        <v>598</v>
      </c>
      <c r="B602" s="14">
        <v>40571</v>
      </c>
      <c r="C602" s="8" t="str">
        <f t="shared" si="27"/>
        <v>Friday</v>
      </c>
      <c r="D602" s="9">
        <v>1</v>
      </c>
      <c r="E602" s="9">
        <v>0</v>
      </c>
      <c r="F602" s="9">
        <v>1</v>
      </c>
      <c r="G602" s="7">
        <v>2</v>
      </c>
      <c r="H602" s="9" t="b">
        <v>0</v>
      </c>
      <c r="I602" s="9">
        <v>5</v>
      </c>
      <c r="J602" s="38" t="str">
        <f>CHOOSE(Table1[[#This Row],[Weekday]]+1,"Sunday","Monday","Tuesday","Wednesday","Thursday","Friday","Saturday")</f>
        <v>Friday</v>
      </c>
      <c r="K602" s="9">
        <v>2</v>
      </c>
      <c r="L602" s="38" t="str">
        <f>IF(Table1[[#This Row],[Weather_code]]=1,"Clear",IF(Table1[[#This Row],[Weather_code]]=2,"Cloudy",IF(Table1[[#This Row],[Weather_code]]=3,"Light Rain",IF(Table1[[#This Row],[Weather_code]]=4,"Heavy Rain"))))</f>
        <v>Cloudy</v>
      </c>
      <c r="M602" s="10">
        <v>0.2</v>
      </c>
      <c r="N602" s="11" t="str">
        <f t="shared" si="28"/>
        <v>Winter</v>
      </c>
      <c r="O602" s="11" t="str">
        <f t="shared" si="29"/>
        <v>Weekday</v>
      </c>
      <c r="P602" s="11">
        <f>VLOOKUP(A602,[1]Sheet1!$A:$H,2, FALSE)</f>
        <v>0.21210000000000001</v>
      </c>
      <c r="Q602" s="40">
        <f>Table1[[#This Row],[A_Temperature]]*41</f>
        <v>8.6961000000000013</v>
      </c>
      <c r="R602" s="11">
        <f>VLOOKUP(A602,[1]Sheet1!$A:$G,3,FALSE)</f>
        <v>0.75</v>
      </c>
      <c r="S602" s="11">
        <f>VLOOKUP(A602,[1]Sheet1!$A:$G,4,FALSE)</f>
        <v>0.16420000000000001</v>
      </c>
      <c r="T602" s="11">
        <f>VLOOKUP(A602,[1]Sheet1!$A:$G,5,FALSE)</f>
        <v>0</v>
      </c>
      <c r="U602" s="11">
        <f>VLOOKUP(A602,[1]Sheet1!$A:$G,6,FALSE)</f>
        <v>2</v>
      </c>
      <c r="V602" s="18">
        <f>VLOOKUP(A602,[1]Sheet1!$A:$G,7,FALSE)</f>
        <v>2</v>
      </c>
    </row>
    <row r="603" spans="1:22" s="13" customFormat="1" ht="30" customHeight="1">
      <c r="A603" s="17">
        <v>599</v>
      </c>
      <c r="B603" s="14">
        <v>40571</v>
      </c>
      <c r="C603" s="8" t="str">
        <f t="shared" si="27"/>
        <v>Friday</v>
      </c>
      <c r="D603" s="9">
        <v>1</v>
      </c>
      <c r="E603" s="9">
        <v>0</v>
      </c>
      <c r="F603" s="9">
        <v>1</v>
      </c>
      <c r="G603" s="7">
        <v>3</v>
      </c>
      <c r="H603" s="9" t="b">
        <v>0</v>
      </c>
      <c r="I603" s="9">
        <v>5</v>
      </c>
      <c r="J603" s="38" t="str">
        <f>CHOOSE(Table1[[#This Row],[Weekday]]+1,"Sunday","Monday","Tuesday","Wednesday","Thursday","Friday","Saturday")</f>
        <v>Friday</v>
      </c>
      <c r="K603" s="9">
        <v>2</v>
      </c>
      <c r="L603" s="38" t="str">
        <f>IF(Table1[[#This Row],[Weather_code]]=1,"Clear",IF(Table1[[#This Row],[Weather_code]]=2,"Cloudy",IF(Table1[[#This Row],[Weather_code]]=3,"Light Rain",IF(Table1[[#This Row],[Weather_code]]=4,"Heavy Rain"))))</f>
        <v>Cloudy</v>
      </c>
      <c r="M603" s="10">
        <v>0.2</v>
      </c>
      <c r="N603" s="11" t="str">
        <f t="shared" si="28"/>
        <v>Winter</v>
      </c>
      <c r="O603" s="11" t="str">
        <f t="shared" si="29"/>
        <v>Weekday</v>
      </c>
      <c r="P603" s="11">
        <f>VLOOKUP(A603,[1]Sheet1!$A:$H,2, FALSE)</f>
        <v>0.2273</v>
      </c>
      <c r="Q603" s="40">
        <f>Table1[[#This Row],[A_Temperature]]*41</f>
        <v>9.3193000000000001</v>
      </c>
      <c r="R603" s="11">
        <f>VLOOKUP(A603,[1]Sheet1!$A:$G,3,FALSE)</f>
        <v>0.75</v>
      </c>
      <c r="S603" s="11">
        <f>VLOOKUP(A603,[1]Sheet1!$A:$G,4,FALSE)</f>
        <v>0.1045</v>
      </c>
      <c r="T603" s="11">
        <f>VLOOKUP(A603,[1]Sheet1!$A:$G,5,FALSE)</f>
        <v>1</v>
      </c>
      <c r="U603" s="11">
        <f>VLOOKUP(A603,[1]Sheet1!$A:$G,6,FALSE)</f>
        <v>0</v>
      </c>
      <c r="V603" s="18">
        <f>VLOOKUP(A603,[1]Sheet1!$A:$G,7,FALSE)</f>
        <v>1</v>
      </c>
    </row>
    <row r="604" spans="1:22" s="13" customFormat="1" ht="30" customHeight="1">
      <c r="A604" s="17">
        <v>600</v>
      </c>
      <c r="B604" s="14">
        <v>40571</v>
      </c>
      <c r="C604" s="8" t="str">
        <f t="shared" si="27"/>
        <v>Friday</v>
      </c>
      <c r="D604" s="9">
        <v>1</v>
      </c>
      <c r="E604" s="9">
        <v>0</v>
      </c>
      <c r="F604" s="9">
        <v>1</v>
      </c>
      <c r="G604" s="7">
        <v>5</v>
      </c>
      <c r="H604" s="9" t="b">
        <v>0</v>
      </c>
      <c r="I604" s="9">
        <v>5</v>
      </c>
      <c r="J604" s="38" t="str">
        <f>CHOOSE(Table1[[#This Row],[Weekday]]+1,"Sunday","Monday","Tuesday","Wednesday","Thursday","Friday","Saturday")</f>
        <v>Friday</v>
      </c>
      <c r="K604" s="9">
        <v>2</v>
      </c>
      <c r="L604" s="38" t="str">
        <f>IF(Table1[[#This Row],[Weather_code]]=1,"Clear",IF(Table1[[#This Row],[Weather_code]]=2,"Cloudy",IF(Table1[[#This Row],[Weather_code]]=3,"Light Rain",IF(Table1[[#This Row],[Weather_code]]=4,"Heavy Rain"))))</f>
        <v>Cloudy</v>
      </c>
      <c r="M604" s="10">
        <v>0.18</v>
      </c>
      <c r="N604" s="11" t="str">
        <f t="shared" si="28"/>
        <v>Winter</v>
      </c>
      <c r="O604" s="11" t="str">
        <f t="shared" si="29"/>
        <v>Weekday</v>
      </c>
      <c r="P604" s="11">
        <f>VLOOKUP(A604,[1]Sheet1!$A:$H,2, FALSE)</f>
        <v>0.21210000000000001</v>
      </c>
      <c r="Q604" s="40">
        <f>Table1[[#This Row],[A_Temperature]]*41</f>
        <v>8.6961000000000013</v>
      </c>
      <c r="R604" s="11">
        <f>VLOOKUP(A604,[1]Sheet1!$A:$G,3,FALSE)</f>
        <v>0.8</v>
      </c>
      <c r="S604" s="11">
        <f>VLOOKUP(A604,[1]Sheet1!$A:$G,4,FALSE)</f>
        <v>0.1045</v>
      </c>
      <c r="T604" s="11">
        <f>VLOOKUP(A604,[1]Sheet1!$A:$G,5,FALSE)</f>
        <v>0</v>
      </c>
      <c r="U604" s="11">
        <f>VLOOKUP(A604,[1]Sheet1!$A:$G,6,FALSE)</f>
        <v>4</v>
      </c>
      <c r="V604" s="18">
        <f>VLOOKUP(A604,[1]Sheet1!$A:$G,7,FALSE)</f>
        <v>4</v>
      </c>
    </row>
    <row r="605" spans="1:22" s="13" customFormat="1" ht="30" customHeight="1">
      <c r="A605" s="17">
        <v>601</v>
      </c>
      <c r="B605" s="14">
        <v>40571</v>
      </c>
      <c r="C605" s="8" t="str">
        <f t="shared" ref="C605:C668" si="30">TEXT(B605,"DDDD")</f>
        <v>Friday</v>
      </c>
      <c r="D605" s="9">
        <v>1</v>
      </c>
      <c r="E605" s="9">
        <v>0</v>
      </c>
      <c r="F605" s="9">
        <v>1</v>
      </c>
      <c r="G605" s="7">
        <v>6</v>
      </c>
      <c r="H605" s="9" t="b">
        <v>0</v>
      </c>
      <c r="I605" s="9">
        <v>5</v>
      </c>
      <c r="J605" s="38" t="str">
        <f>CHOOSE(Table1[[#This Row],[Weekday]]+1,"Sunday","Monday","Tuesday","Wednesday","Thursday","Friday","Saturday")</f>
        <v>Friday</v>
      </c>
      <c r="K605" s="9">
        <v>2</v>
      </c>
      <c r="L605" s="38" t="str">
        <f>IF(Table1[[#This Row],[Weather_code]]=1,"Clear",IF(Table1[[#This Row],[Weather_code]]=2,"Cloudy",IF(Table1[[#This Row],[Weather_code]]=3,"Light Rain",IF(Table1[[#This Row],[Weather_code]]=4,"Heavy Rain"))))</f>
        <v>Cloudy</v>
      </c>
      <c r="M605" s="10">
        <v>0.18</v>
      </c>
      <c r="N605" s="11" t="str">
        <f t="shared" si="28"/>
        <v>Winter</v>
      </c>
      <c r="O605" s="11" t="str">
        <f t="shared" si="29"/>
        <v>Weekday</v>
      </c>
      <c r="P605" s="11">
        <f>VLOOKUP(A605,[1]Sheet1!$A:$H,2, FALSE)</f>
        <v>0.19700000000000001</v>
      </c>
      <c r="Q605" s="40">
        <f>Table1[[#This Row],[A_Temperature]]*41</f>
        <v>8.077</v>
      </c>
      <c r="R605" s="11">
        <f>VLOOKUP(A605,[1]Sheet1!$A:$G,3,FALSE)</f>
        <v>0.8</v>
      </c>
      <c r="S605" s="11">
        <f>VLOOKUP(A605,[1]Sheet1!$A:$G,4,FALSE)</f>
        <v>0.1343</v>
      </c>
      <c r="T605" s="11">
        <f>VLOOKUP(A605,[1]Sheet1!$A:$G,5,FALSE)</f>
        <v>0</v>
      </c>
      <c r="U605" s="11">
        <f>VLOOKUP(A605,[1]Sheet1!$A:$G,6,FALSE)</f>
        <v>16</v>
      </c>
      <c r="V605" s="18">
        <f>VLOOKUP(A605,[1]Sheet1!$A:$G,7,FALSE)</f>
        <v>16</v>
      </c>
    </row>
    <row r="606" spans="1:22" s="13" customFormat="1" ht="30" customHeight="1">
      <c r="A606" s="17">
        <v>602</v>
      </c>
      <c r="B606" s="14">
        <v>40571</v>
      </c>
      <c r="C606" s="8" t="str">
        <f t="shared" si="30"/>
        <v>Friday</v>
      </c>
      <c r="D606" s="9">
        <v>1</v>
      </c>
      <c r="E606" s="9">
        <v>0</v>
      </c>
      <c r="F606" s="9">
        <v>1</v>
      </c>
      <c r="G606" s="7">
        <v>7</v>
      </c>
      <c r="H606" s="9" t="b">
        <v>0</v>
      </c>
      <c r="I606" s="9">
        <v>5</v>
      </c>
      <c r="J606" s="38" t="str">
        <f>CHOOSE(Table1[[#This Row],[Weekday]]+1,"Sunday","Monday","Tuesday","Wednesday","Thursday","Friday","Saturday")</f>
        <v>Friday</v>
      </c>
      <c r="K606" s="9">
        <v>2</v>
      </c>
      <c r="L606" s="38" t="str">
        <f>IF(Table1[[#This Row],[Weather_code]]=1,"Clear",IF(Table1[[#This Row],[Weather_code]]=2,"Cloudy",IF(Table1[[#This Row],[Weather_code]]=3,"Light Rain",IF(Table1[[#This Row],[Weather_code]]=4,"Heavy Rain"))))</f>
        <v>Cloudy</v>
      </c>
      <c r="M606" s="10">
        <v>0.16</v>
      </c>
      <c r="N606" s="11" t="str">
        <f t="shared" si="28"/>
        <v>Winter</v>
      </c>
      <c r="O606" s="11" t="str">
        <f t="shared" si="29"/>
        <v>Weekday</v>
      </c>
      <c r="P606" s="11">
        <f>VLOOKUP(A606,[1]Sheet1!$A:$H,2, FALSE)</f>
        <v>0.19700000000000001</v>
      </c>
      <c r="Q606" s="40">
        <f>Table1[[#This Row],[A_Temperature]]*41</f>
        <v>8.077</v>
      </c>
      <c r="R606" s="11">
        <f>VLOOKUP(A606,[1]Sheet1!$A:$G,3,FALSE)</f>
        <v>0.86</v>
      </c>
      <c r="S606" s="11">
        <f>VLOOKUP(A606,[1]Sheet1!$A:$G,4,FALSE)</f>
        <v>8.9599999999999999E-2</v>
      </c>
      <c r="T606" s="11">
        <f>VLOOKUP(A606,[1]Sheet1!$A:$G,5,FALSE)</f>
        <v>2</v>
      </c>
      <c r="U606" s="11">
        <f>VLOOKUP(A606,[1]Sheet1!$A:$G,6,FALSE)</f>
        <v>58</v>
      </c>
      <c r="V606" s="18">
        <f>VLOOKUP(A606,[1]Sheet1!$A:$G,7,FALSE)</f>
        <v>60</v>
      </c>
    </row>
    <row r="607" spans="1:22" s="13" customFormat="1" ht="30" customHeight="1">
      <c r="A607" s="17">
        <v>603</v>
      </c>
      <c r="B607" s="14">
        <v>40571</v>
      </c>
      <c r="C607" s="8" t="str">
        <f t="shared" si="30"/>
        <v>Friday</v>
      </c>
      <c r="D607" s="9">
        <v>1</v>
      </c>
      <c r="E607" s="9">
        <v>0</v>
      </c>
      <c r="F607" s="9">
        <v>1</v>
      </c>
      <c r="G607" s="7">
        <v>8</v>
      </c>
      <c r="H607" s="9" t="b">
        <v>0</v>
      </c>
      <c r="I607" s="9">
        <v>5</v>
      </c>
      <c r="J607" s="38" t="str">
        <f>CHOOSE(Table1[[#This Row],[Weekday]]+1,"Sunday","Monday","Tuesday","Wednesday","Thursday","Friday","Saturday")</f>
        <v>Friday</v>
      </c>
      <c r="K607" s="9">
        <v>2</v>
      </c>
      <c r="L607" s="38" t="str">
        <f>IF(Table1[[#This Row],[Weather_code]]=1,"Clear",IF(Table1[[#This Row],[Weather_code]]=2,"Cloudy",IF(Table1[[#This Row],[Weather_code]]=3,"Light Rain",IF(Table1[[#This Row],[Weather_code]]=4,"Heavy Rain"))))</f>
        <v>Cloudy</v>
      </c>
      <c r="M607" s="10">
        <v>0.16</v>
      </c>
      <c r="N607" s="11" t="str">
        <f t="shared" si="28"/>
        <v>Winter</v>
      </c>
      <c r="O607" s="11" t="str">
        <f t="shared" si="29"/>
        <v>Weekday</v>
      </c>
      <c r="P607" s="11">
        <f>VLOOKUP(A607,[1]Sheet1!$A:$H,2, FALSE)</f>
        <v>0.19700000000000001</v>
      </c>
      <c r="Q607" s="40">
        <f>Table1[[#This Row],[A_Temperature]]*41</f>
        <v>8.077</v>
      </c>
      <c r="R607" s="11">
        <f>VLOOKUP(A607,[1]Sheet1!$A:$G,3,FALSE)</f>
        <v>0.86</v>
      </c>
      <c r="S607" s="11">
        <f>VLOOKUP(A607,[1]Sheet1!$A:$G,4,FALSE)</f>
        <v>8.9599999999999999E-2</v>
      </c>
      <c r="T607" s="11">
        <f>VLOOKUP(A607,[1]Sheet1!$A:$G,5,FALSE)</f>
        <v>2</v>
      </c>
      <c r="U607" s="11">
        <f>VLOOKUP(A607,[1]Sheet1!$A:$G,6,FALSE)</f>
        <v>155</v>
      </c>
      <c r="V607" s="18">
        <f>VLOOKUP(A607,[1]Sheet1!$A:$G,7,FALSE)</f>
        <v>157</v>
      </c>
    </row>
    <row r="608" spans="1:22" s="13" customFormat="1" ht="30" customHeight="1">
      <c r="A608" s="17">
        <v>604</v>
      </c>
      <c r="B608" s="14">
        <v>40571</v>
      </c>
      <c r="C608" s="8" t="str">
        <f t="shared" si="30"/>
        <v>Friday</v>
      </c>
      <c r="D608" s="9">
        <v>1</v>
      </c>
      <c r="E608" s="9">
        <v>0</v>
      </c>
      <c r="F608" s="9">
        <v>1</v>
      </c>
      <c r="G608" s="7">
        <v>9</v>
      </c>
      <c r="H608" s="9" t="b">
        <v>0</v>
      </c>
      <c r="I608" s="9">
        <v>5</v>
      </c>
      <c r="J608" s="38" t="str">
        <f>CHOOSE(Table1[[#This Row],[Weekday]]+1,"Sunday","Monday","Tuesday","Wednesday","Thursday","Friday","Saturday")</f>
        <v>Friday</v>
      </c>
      <c r="K608" s="9">
        <v>3</v>
      </c>
      <c r="L608" s="38" t="str">
        <f>IF(Table1[[#This Row],[Weather_code]]=1,"Clear",IF(Table1[[#This Row],[Weather_code]]=2,"Cloudy",IF(Table1[[#This Row],[Weather_code]]=3,"Light Rain",IF(Table1[[#This Row],[Weather_code]]=4,"Heavy Rain"))))</f>
        <v>Light Rain</v>
      </c>
      <c r="M608" s="10">
        <v>0.18</v>
      </c>
      <c r="N608" s="11" t="str">
        <f t="shared" si="28"/>
        <v>Winter</v>
      </c>
      <c r="O608" s="11" t="str">
        <f t="shared" si="29"/>
        <v>Weekday</v>
      </c>
      <c r="P608" s="11">
        <f>VLOOKUP(A608,[1]Sheet1!$A:$H,2, FALSE)</f>
        <v>0.21210000000000001</v>
      </c>
      <c r="Q608" s="40">
        <f>Table1[[#This Row],[A_Temperature]]*41</f>
        <v>8.6961000000000013</v>
      </c>
      <c r="R608" s="11">
        <f>VLOOKUP(A608,[1]Sheet1!$A:$G,3,FALSE)</f>
        <v>0.86</v>
      </c>
      <c r="S608" s="11">
        <f>VLOOKUP(A608,[1]Sheet1!$A:$G,4,FALSE)</f>
        <v>8.9599999999999999E-2</v>
      </c>
      <c r="T608" s="11">
        <f>VLOOKUP(A608,[1]Sheet1!$A:$G,5,FALSE)</f>
        <v>6</v>
      </c>
      <c r="U608" s="11">
        <f>VLOOKUP(A608,[1]Sheet1!$A:$G,6,FALSE)</f>
        <v>95</v>
      </c>
      <c r="V608" s="18">
        <f>VLOOKUP(A608,[1]Sheet1!$A:$G,7,FALSE)</f>
        <v>101</v>
      </c>
    </row>
    <row r="609" spans="1:22" s="13" customFormat="1" ht="30" customHeight="1">
      <c r="A609" s="17">
        <v>605</v>
      </c>
      <c r="B609" s="14">
        <v>40571</v>
      </c>
      <c r="C609" s="8" t="str">
        <f t="shared" si="30"/>
        <v>Friday</v>
      </c>
      <c r="D609" s="9">
        <v>1</v>
      </c>
      <c r="E609" s="9">
        <v>0</v>
      </c>
      <c r="F609" s="9">
        <v>1</v>
      </c>
      <c r="G609" s="7">
        <v>10</v>
      </c>
      <c r="H609" s="9" t="b">
        <v>0</v>
      </c>
      <c r="I609" s="9">
        <v>5</v>
      </c>
      <c r="J609" s="38" t="str">
        <f>CHOOSE(Table1[[#This Row],[Weekday]]+1,"Sunday","Monday","Tuesday","Wednesday","Thursday","Friday","Saturday")</f>
        <v>Friday</v>
      </c>
      <c r="K609" s="9">
        <v>3</v>
      </c>
      <c r="L609" s="38" t="str">
        <f>IF(Table1[[#This Row],[Weather_code]]=1,"Clear",IF(Table1[[#This Row],[Weather_code]]=2,"Cloudy",IF(Table1[[#This Row],[Weather_code]]=3,"Light Rain",IF(Table1[[#This Row],[Weather_code]]=4,"Heavy Rain"))))</f>
        <v>Light Rain</v>
      </c>
      <c r="M609" s="10">
        <v>0.18</v>
      </c>
      <c r="N609" s="11" t="str">
        <f t="shared" si="28"/>
        <v>Winter</v>
      </c>
      <c r="O609" s="11" t="str">
        <f t="shared" si="29"/>
        <v>Weekday</v>
      </c>
      <c r="P609" s="11">
        <f>VLOOKUP(A609,[1]Sheet1!$A:$H,2, FALSE)</f>
        <v>0.21210000000000001</v>
      </c>
      <c r="Q609" s="40">
        <f>Table1[[#This Row],[A_Temperature]]*41</f>
        <v>8.6961000000000013</v>
      </c>
      <c r="R609" s="11">
        <f>VLOOKUP(A609,[1]Sheet1!$A:$G,3,FALSE)</f>
        <v>0.86</v>
      </c>
      <c r="S609" s="11">
        <f>VLOOKUP(A609,[1]Sheet1!$A:$G,4,FALSE)</f>
        <v>0.1045</v>
      </c>
      <c r="T609" s="11">
        <f>VLOOKUP(A609,[1]Sheet1!$A:$G,5,FALSE)</f>
        <v>0</v>
      </c>
      <c r="U609" s="11">
        <f>VLOOKUP(A609,[1]Sheet1!$A:$G,6,FALSE)</f>
        <v>49</v>
      </c>
      <c r="V609" s="18">
        <f>VLOOKUP(A609,[1]Sheet1!$A:$G,7,FALSE)</f>
        <v>49</v>
      </c>
    </row>
    <row r="610" spans="1:22" s="13" customFormat="1" ht="30" customHeight="1">
      <c r="A610" s="17">
        <v>606</v>
      </c>
      <c r="B610" s="14">
        <v>40571</v>
      </c>
      <c r="C610" s="8" t="str">
        <f t="shared" si="30"/>
        <v>Friday</v>
      </c>
      <c r="D610" s="9">
        <v>1</v>
      </c>
      <c r="E610" s="9">
        <v>0</v>
      </c>
      <c r="F610" s="9">
        <v>1</v>
      </c>
      <c r="G610" s="7">
        <v>11</v>
      </c>
      <c r="H610" s="9" t="b">
        <v>0</v>
      </c>
      <c r="I610" s="9">
        <v>5</v>
      </c>
      <c r="J610" s="38" t="str">
        <f>CHOOSE(Table1[[#This Row],[Weekday]]+1,"Sunday","Monday","Tuesday","Wednesday","Thursday","Friday","Saturday")</f>
        <v>Friday</v>
      </c>
      <c r="K610" s="9">
        <v>3</v>
      </c>
      <c r="L610" s="38" t="str">
        <f>IF(Table1[[#This Row],[Weather_code]]=1,"Clear",IF(Table1[[#This Row],[Weather_code]]=2,"Cloudy",IF(Table1[[#This Row],[Weather_code]]=3,"Light Rain",IF(Table1[[#This Row],[Weather_code]]=4,"Heavy Rain"))))</f>
        <v>Light Rain</v>
      </c>
      <c r="M610" s="10">
        <v>0.18</v>
      </c>
      <c r="N610" s="11" t="str">
        <f t="shared" si="28"/>
        <v>Winter</v>
      </c>
      <c r="O610" s="11" t="str">
        <f t="shared" si="29"/>
        <v>Weekday</v>
      </c>
      <c r="P610" s="11">
        <f>VLOOKUP(A610,[1]Sheet1!$A:$H,2, FALSE)</f>
        <v>0.21210000000000001</v>
      </c>
      <c r="Q610" s="40">
        <f>Table1[[#This Row],[A_Temperature]]*41</f>
        <v>8.6961000000000013</v>
      </c>
      <c r="R610" s="11">
        <f>VLOOKUP(A610,[1]Sheet1!$A:$G,3,FALSE)</f>
        <v>0.93</v>
      </c>
      <c r="S610" s="11">
        <f>VLOOKUP(A610,[1]Sheet1!$A:$G,4,FALSE)</f>
        <v>0.1045</v>
      </c>
      <c r="T610" s="11">
        <f>VLOOKUP(A610,[1]Sheet1!$A:$G,5,FALSE)</f>
        <v>0</v>
      </c>
      <c r="U610" s="11">
        <f>VLOOKUP(A610,[1]Sheet1!$A:$G,6,FALSE)</f>
        <v>30</v>
      </c>
      <c r="V610" s="18">
        <f>VLOOKUP(A610,[1]Sheet1!$A:$G,7,FALSE)</f>
        <v>30</v>
      </c>
    </row>
    <row r="611" spans="1:22" s="13" customFormat="1" ht="30" customHeight="1">
      <c r="A611" s="17">
        <v>607</v>
      </c>
      <c r="B611" s="14">
        <v>40571</v>
      </c>
      <c r="C611" s="8" t="str">
        <f t="shared" si="30"/>
        <v>Friday</v>
      </c>
      <c r="D611" s="9">
        <v>1</v>
      </c>
      <c r="E611" s="9">
        <v>0</v>
      </c>
      <c r="F611" s="9">
        <v>1</v>
      </c>
      <c r="G611" s="7">
        <v>12</v>
      </c>
      <c r="H611" s="9" t="b">
        <v>0</v>
      </c>
      <c r="I611" s="9">
        <v>5</v>
      </c>
      <c r="J611" s="38" t="str">
        <f>CHOOSE(Table1[[#This Row],[Weekday]]+1,"Sunday","Monday","Tuesday","Wednesday","Thursday","Friday","Saturday")</f>
        <v>Friday</v>
      </c>
      <c r="K611" s="9">
        <v>3</v>
      </c>
      <c r="L611" s="38" t="str">
        <f>IF(Table1[[#This Row],[Weather_code]]=1,"Clear",IF(Table1[[#This Row],[Weather_code]]=2,"Cloudy",IF(Table1[[#This Row],[Weather_code]]=3,"Light Rain",IF(Table1[[#This Row],[Weather_code]]=4,"Heavy Rain"))))</f>
        <v>Light Rain</v>
      </c>
      <c r="M611" s="10">
        <v>0.18</v>
      </c>
      <c r="N611" s="11" t="str">
        <f t="shared" si="28"/>
        <v>Winter</v>
      </c>
      <c r="O611" s="11" t="str">
        <f t="shared" si="29"/>
        <v>Weekday</v>
      </c>
      <c r="P611" s="11">
        <f>VLOOKUP(A611,[1]Sheet1!$A:$H,2, FALSE)</f>
        <v>0.21210000000000001</v>
      </c>
      <c r="Q611" s="40">
        <f>Table1[[#This Row],[A_Temperature]]*41</f>
        <v>8.6961000000000013</v>
      </c>
      <c r="R611" s="11">
        <f>VLOOKUP(A611,[1]Sheet1!$A:$G,3,FALSE)</f>
        <v>0.93</v>
      </c>
      <c r="S611" s="11">
        <f>VLOOKUP(A611,[1]Sheet1!$A:$G,4,FALSE)</f>
        <v>0.1045</v>
      </c>
      <c r="T611" s="11">
        <f>VLOOKUP(A611,[1]Sheet1!$A:$G,5,FALSE)</f>
        <v>1</v>
      </c>
      <c r="U611" s="11">
        <f>VLOOKUP(A611,[1]Sheet1!$A:$G,6,FALSE)</f>
        <v>28</v>
      </c>
      <c r="V611" s="18">
        <f>VLOOKUP(A611,[1]Sheet1!$A:$G,7,FALSE)</f>
        <v>29</v>
      </c>
    </row>
    <row r="612" spans="1:22" s="13" customFormat="1" ht="30" customHeight="1">
      <c r="A612" s="17">
        <v>608</v>
      </c>
      <c r="B612" s="14">
        <v>40571</v>
      </c>
      <c r="C612" s="8" t="str">
        <f t="shared" si="30"/>
        <v>Friday</v>
      </c>
      <c r="D612" s="9">
        <v>1</v>
      </c>
      <c r="E612" s="9">
        <v>0</v>
      </c>
      <c r="F612" s="9">
        <v>1</v>
      </c>
      <c r="G612" s="7">
        <v>13</v>
      </c>
      <c r="H612" s="9" t="b">
        <v>0</v>
      </c>
      <c r="I612" s="9">
        <v>5</v>
      </c>
      <c r="J612" s="38" t="str">
        <f>CHOOSE(Table1[[#This Row],[Weekday]]+1,"Sunday","Monday","Tuesday","Wednesday","Thursday","Friday","Saturday")</f>
        <v>Friday</v>
      </c>
      <c r="K612" s="9">
        <v>3</v>
      </c>
      <c r="L612" s="38" t="str">
        <f>IF(Table1[[#This Row],[Weather_code]]=1,"Clear",IF(Table1[[#This Row],[Weather_code]]=2,"Cloudy",IF(Table1[[#This Row],[Weather_code]]=3,"Light Rain",IF(Table1[[#This Row],[Weather_code]]=4,"Heavy Rain"))))</f>
        <v>Light Rain</v>
      </c>
      <c r="M612" s="10">
        <v>0.18</v>
      </c>
      <c r="N612" s="11" t="str">
        <f t="shared" si="28"/>
        <v>Winter</v>
      </c>
      <c r="O612" s="11" t="str">
        <f t="shared" si="29"/>
        <v>Weekday</v>
      </c>
      <c r="P612" s="11">
        <f>VLOOKUP(A612,[1]Sheet1!$A:$H,2, FALSE)</f>
        <v>0.21210000000000001</v>
      </c>
      <c r="Q612" s="40">
        <f>Table1[[#This Row],[A_Temperature]]*41</f>
        <v>8.6961000000000013</v>
      </c>
      <c r="R612" s="11">
        <f>VLOOKUP(A612,[1]Sheet1!$A:$G,3,FALSE)</f>
        <v>0.93</v>
      </c>
      <c r="S612" s="11">
        <f>VLOOKUP(A612,[1]Sheet1!$A:$G,4,FALSE)</f>
        <v>0.1045</v>
      </c>
      <c r="T612" s="11">
        <f>VLOOKUP(A612,[1]Sheet1!$A:$G,5,FALSE)</f>
        <v>0</v>
      </c>
      <c r="U612" s="11">
        <f>VLOOKUP(A612,[1]Sheet1!$A:$G,6,FALSE)</f>
        <v>31</v>
      </c>
      <c r="V612" s="18">
        <f>VLOOKUP(A612,[1]Sheet1!$A:$G,7,FALSE)</f>
        <v>31</v>
      </c>
    </row>
    <row r="613" spans="1:22" s="13" customFormat="1" ht="30" customHeight="1">
      <c r="A613" s="17">
        <v>609</v>
      </c>
      <c r="B613" s="14">
        <v>40571</v>
      </c>
      <c r="C613" s="8" t="str">
        <f t="shared" si="30"/>
        <v>Friday</v>
      </c>
      <c r="D613" s="9">
        <v>1</v>
      </c>
      <c r="E613" s="9">
        <v>0</v>
      </c>
      <c r="F613" s="9">
        <v>1</v>
      </c>
      <c r="G613" s="7">
        <v>14</v>
      </c>
      <c r="H613" s="9" t="b">
        <v>0</v>
      </c>
      <c r="I613" s="9">
        <v>5</v>
      </c>
      <c r="J613" s="38" t="str">
        <f>CHOOSE(Table1[[#This Row],[Weekday]]+1,"Sunday","Monday","Tuesday","Wednesday","Thursday","Friday","Saturday")</f>
        <v>Friday</v>
      </c>
      <c r="K613" s="9">
        <v>3</v>
      </c>
      <c r="L613" s="38" t="str">
        <f>IF(Table1[[#This Row],[Weather_code]]=1,"Clear",IF(Table1[[#This Row],[Weather_code]]=2,"Cloudy",IF(Table1[[#This Row],[Weather_code]]=3,"Light Rain",IF(Table1[[#This Row],[Weather_code]]=4,"Heavy Rain"))))</f>
        <v>Light Rain</v>
      </c>
      <c r="M613" s="10">
        <v>0.22</v>
      </c>
      <c r="N613" s="11" t="str">
        <f t="shared" si="28"/>
        <v>Winter</v>
      </c>
      <c r="O613" s="11" t="str">
        <f t="shared" si="29"/>
        <v>Weekday</v>
      </c>
      <c r="P613" s="11">
        <f>VLOOKUP(A613,[1]Sheet1!$A:$H,2, FALSE)</f>
        <v>0.2727</v>
      </c>
      <c r="Q613" s="40">
        <f>Table1[[#This Row],[A_Temperature]]*41</f>
        <v>11.1807</v>
      </c>
      <c r="R613" s="11">
        <f>VLOOKUP(A613,[1]Sheet1!$A:$G,3,FALSE)</f>
        <v>0.8</v>
      </c>
      <c r="S613" s="11">
        <f>VLOOKUP(A613,[1]Sheet1!$A:$G,4,FALSE)</f>
        <v>0</v>
      </c>
      <c r="T613" s="11">
        <f>VLOOKUP(A613,[1]Sheet1!$A:$G,5,FALSE)</f>
        <v>2</v>
      </c>
      <c r="U613" s="11">
        <f>VLOOKUP(A613,[1]Sheet1!$A:$G,6,FALSE)</f>
        <v>36</v>
      </c>
      <c r="V613" s="18">
        <f>VLOOKUP(A613,[1]Sheet1!$A:$G,7,FALSE)</f>
        <v>38</v>
      </c>
    </row>
    <row r="614" spans="1:22" s="13" customFormat="1" ht="30" customHeight="1">
      <c r="A614" s="17">
        <v>610</v>
      </c>
      <c r="B614" s="14">
        <v>40571</v>
      </c>
      <c r="C614" s="8" t="str">
        <f t="shared" si="30"/>
        <v>Friday</v>
      </c>
      <c r="D614" s="9">
        <v>1</v>
      </c>
      <c r="E614" s="9">
        <v>0</v>
      </c>
      <c r="F614" s="9">
        <v>1</v>
      </c>
      <c r="G614" s="7">
        <v>15</v>
      </c>
      <c r="H614" s="9" t="b">
        <v>0</v>
      </c>
      <c r="I614" s="9">
        <v>5</v>
      </c>
      <c r="J614" s="38" t="str">
        <f>CHOOSE(Table1[[#This Row],[Weekday]]+1,"Sunday","Monday","Tuesday","Wednesday","Thursday","Friday","Saturday")</f>
        <v>Friday</v>
      </c>
      <c r="K614" s="9">
        <v>2</v>
      </c>
      <c r="L614" s="38" t="str">
        <f>IF(Table1[[#This Row],[Weather_code]]=1,"Clear",IF(Table1[[#This Row],[Weather_code]]=2,"Cloudy",IF(Table1[[#This Row],[Weather_code]]=3,"Light Rain",IF(Table1[[#This Row],[Weather_code]]=4,"Heavy Rain"))))</f>
        <v>Cloudy</v>
      </c>
      <c r="M614" s="10">
        <v>0.2</v>
      </c>
      <c r="N614" s="11" t="str">
        <f>CHOOSE(D614,"Winter","Spring","Summer","Fall")</f>
        <v>Winter</v>
      </c>
      <c r="O614" s="11" t="str">
        <f t="shared" si="29"/>
        <v>Weekday</v>
      </c>
      <c r="P614" s="11">
        <f>VLOOKUP(A614,[1]Sheet1!$A:$H,2, FALSE)</f>
        <v>0.2576</v>
      </c>
      <c r="Q614" s="40">
        <f>Table1[[#This Row],[A_Temperature]]*41</f>
        <v>10.5616</v>
      </c>
      <c r="R614" s="11">
        <f>VLOOKUP(A614,[1]Sheet1!$A:$G,3,FALSE)</f>
        <v>0.86</v>
      </c>
      <c r="S614" s="11">
        <f>VLOOKUP(A614,[1]Sheet1!$A:$G,4,FALSE)</f>
        <v>0</v>
      </c>
      <c r="T614" s="11">
        <f>VLOOKUP(A614,[1]Sheet1!$A:$G,5,FALSE)</f>
        <v>1</v>
      </c>
      <c r="U614" s="11">
        <f>VLOOKUP(A614,[1]Sheet1!$A:$G,6,FALSE)</f>
        <v>40</v>
      </c>
      <c r="V614" s="18">
        <f>VLOOKUP(A614,[1]Sheet1!$A:$G,7,FALSE)</f>
        <v>41</v>
      </c>
    </row>
    <row r="615" spans="1:22" s="13" customFormat="1" ht="30" customHeight="1">
      <c r="A615" s="17">
        <v>611</v>
      </c>
      <c r="B615" s="8">
        <v>40571</v>
      </c>
      <c r="C615" s="8" t="str">
        <f t="shared" si="30"/>
        <v>Friday</v>
      </c>
      <c r="D615" s="9">
        <v>1</v>
      </c>
      <c r="E615" s="9">
        <v>0</v>
      </c>
      <c r="F615" s="9">
        <v>1</v>
      </c>
      <c r="G615" s="7">
        <v>16</v>
      </c>
      <c r="H615" s="9" t="b">
        <v>0</v>
      </c>
      <c r="I615" s="9">
        <v>5</v>
      </c>
      <c r="J615" s="38" t="str">
        <f>CHOOSE(Table1[[#This Row],[Weekday]]+1,"Sunday","Monday","Tuesday","Wednesday","Thursday","Friday","Saturday")</f>
        <v>Friday</v>
      </c>
      <c r="K615" s="9">
        <v>1</v>
      </c>
      <c r="L615" s="38" t="str">
        <f>IF(Table1[[#This Row],[Weather_code]]=1,"Clear",IF(Table1[[#This Row],[Weather_code]]=2,"Cloudy",IF(Table1[[#This Row],[Weather_code]]=3,"Light Rain",IF(Table1[[#This Row],[Weather_code]]=4,"Heavy Rain"))))</f>
        <v>Clear</v>
      </c>
      <c r="M615" s="9">
        <v>0.22</v>
      </c>
      <c r="N615" s="11" t="str">
        <f t="shared" ref="N615:N678" si="31">CHOOSE(D615,"Winter","Spring","Summer","Fall")</f>
        <v>Winter</v>
      </c>
      <c r="O615" s="11" t="str">
        <f t="shared" si="29"/>
        <v>Weekday</v>
      </c>
      <c r="P615" s="9">
        <v>0.2727</v>
      </c>
      <c r="Q615" s="7">
        <f>Table1[[#This Row],[A_Temperature]]*41</f>
        <v>11.1807</v>
      </c>
      <c r="R615" s="9">
        <v>0.8</v>
      </c>
      <c r="S615" s="9">
        <v>0</v>
      </c>
      <c r="T615" s="9">
        <v>10</v>
      </c>
      <c r="U615" s="9">
        <v>70</v>
      </c>
      <c r="V615" s="19">
        <v>80</v>
      </c>
    </row>
    <row r="616" spans="1:22" s="13" customFormat="1" ht="30" customHeight="1">
      <c r="A616" s="17">
        <v>612</v>
      </c>
      <c r="B616" s="8">
        <v>40571</v>
      </c>
      <c r="C616" s="8" t="str">
        <f t="shared" si="30"/>
        <v>Friday</v>
      </c>
      <c r="D616" s="9">
        <v>1</v>
      </c>
      <c r="E616" s="9">
        <v>0</v>
      </c>
      <c r="F616" s="9">
        <v>1</v>
      </c>
      <c r="G616" s="7">
        <v>17</v>
      </c>
      <c r="H616" s="9" t="b">
        <v>0</v>
      </c>
      <c r="I616" s="9">
        <v>5</v>
      </c>
      <c r="J616" s="38" t="str">
        <f>CHOOSE(Table1[[#This Row],[Weekday]]+1,"Sunday","Monday","Tuesday","Wednesday","Thursday","Friday","Saturday")</f>
        <v>Friday</v>
      </c>
      <c r="K616" s="9">
        <v>1</v>
      </c>
      <c r="L616" s="38" t="str">
        <f>IF(Table1[[#This Row],[Weather_code]]=1,"Clear",IF(Table1[[#This Row],[Weather_code]]=2,"Cloudy",IF(Table1[[#This Row],[Weather_code]]=3,"Light Rain",IF(Table1[[#This Row],[Weather_code]]=4,"Heavy Rain"))))</f>
        <v>Clear</v>
      </c>
      <c r="M616" s="9">
        <v>0.24</v>
      </c>
      <c r="N616" s="11" t="str">
        <f t="shared" si="31"/>
        <v>Winter</v>
      </c>
      <c r="O616" s="11" t="str">
        <f t="shared" si="29"/>
        <v>Weekday</v>
      </c>
      <c r="P616" s="9">
        <v>0.2424</v>
      </c>
      <c r="Q616" s="7">
        <f>Table1[[#This Row],[A_Temperature]]*41</f>
        <v>9.9383999999999997</v>
      </c>
      <c r="R616" s="9">
        <v>0.75</v>
      </c>
      <c r="S616" s="9">
        <v>0.1343</v>
      </c>
      <c r="T616" s="9">
        <v>2</v>
      </c>
      <c r="U616" s="9">
        <v>147</v>
      </c>
      <c r="V616" s="19">
        <v>149</v>
      </c>
    </row>
    <row r="617" spans="1:22" s="13" customFormat="1" ht="30" customHeight="1">
      <c r="A617" s="17">
        <v>613</v>
      </c>
      <c r="B617" s="8">
        <v>40571</v>
      </c>
      <c r="C617" s="8" t="str">
        <f t="shared" si="30"/>
        <v>Friday</v>
      </c>
      <c r="D617" s="9">
        <v>1</v>
      </c>
      <c r="E617" s="9">
        <v>0</v>
      </c>
      <c r="F617" s="9">
        <v>1</v>
      </c>
      <c r="G617" s="7">
        <v>18</v>
      </c>
      <c r="H617" s="9" t="b">
        <v>0</v>
      </c>
      <c r="I617" s="9">
        <v>5</v>
      </c>
      <c r="J617" s="38" t="str">
        <f>CHOOSE(Table1[[#This Row],[Weekday]]+1,"Sunday","Monday","Tuesday","Wednesday","Thursday","Friday","Saturday")</f>
        <v>Friday</v>
      </c>
      <c r="K617" s="9">
        <v>1</v>
      </c>
      <c r="L617" s="38" t="str">
        <f>IF(Table1[[#This Row],[Weather_code]]=1,"Clear",IF(Table1[[#This Row],[Weather_code]]=2,"Cloudy",IF(Table1[[#This Row],[Weather_code]]=3,"Light Rain",IF(Table1[[#This Row],[Weather_code]]=4,"Heavy Rain"))))</f>
        <v>Clear</v>
      </c>
      <c r="M617" s="9">
        <v>0.24</v>
      </c>
      <c r="N617" s="11" t="str">
        <f t="shared" si="31"/>
        <v>Winter</v>
      </c>
      <c r="O617" s="11" t="str">
        <f t="shared" si="29"/>
        <v>Weekday</v>
      </c>
      <c r="P617" s="9">
        <v>0.2273</v>
      </c>
      <c r="Q617" s="7">
        <f>Table1[[#This Row],[A_Temperature]]*41</f>
        <v>9.3193000000000001</v>
      </c>
      <c r="R617" s="9">
        <v>0.75</v>
      </c>
      <c r="S617" s="9">
        <v>0.19400000000000001</v>
      </c>
      <c r="T617" s="9">
        <v>2</v>
      </c>
      <c r="U617" s="9">
        <v>107</v>
      </c>
      <c r="V617" s="19">
        <v>109</v>
      </c>
    </row>
    <row r="618" spans="1:22" s="13" customFormat="1" ht="30" customHeight="1">
      <c r="A618" s="17">
        <v>614</v>
      </c>
      <c r="B618" s="8">
        <v>40571</v>
      </c>
      <c r="C618" s="8" t="str">
        <f t="shared" si="30"/>
        <v>Friday</v>
      </c>
      <c r="D618" s="9">
        <v>1</v>
      </c>
      <c r="E618" s="9">
        <v>0</v>
      </c>
      <c r="F618" s="9">
        <v>1</v>
      </c>
      <c r="G618" s="7">
        <v>19</v>
      </c>
      <c r="H618" s="9" t="b">
        <v>0</v>
      </c>
      <c r="I618" s="9">
        <v>5</v>
      </c>
      <c r="J618" s="38" t="str">
        <f>CHOOSE(Table1[[#This Row],[Weekday]]+1,"Sunday","Monday","Tuesday","Wednesday","Thursday","Friday","Saturday")</f>
        <v>Friday</v>
      </c>
      <c r="K618" s="9">
        <v>2</v>
      </c>
      <c r="L618" s="38" t="str">
        <f>IF(Table1[[#This Row],[Weather_code]]=1,"Clear",IF(Table1[[#This Row],[Weather_code]]=2,"Cloudy",IF(Table1[[#This Row],[Weather_code]]=3,"Light Rain",IF(Table1[[#This Row],[Weather_code]]=4,"Heavy Rain"))))</f>
        <v>Cloudy</v>
      </c>
      <c r="M618" s="9">
        <v>0.24</v>
      </c>
      <c r="N618" s="11" t="str">
        <f t="shared" si="31"/>
        <v>Winter</v>
      </c>
      <c r="O618" s="11" t="str">
        <f t="shared" si="29"/>
        <v>Weekday</v>
      </c>
      <c r="P618" s="9">
        <v>0.2424</v>
      </c>
      <c r="Q618" s="7">
        <f>Table1[[#This Row],[A_Temperature]]*41</f>
        <v>9.9383999999999997</v>
      </c>
      <c r="R618" s="9">
        <v>0.75</v>
      </c>
      <c r="S618" s="9">
        <v>0.1343</v>
      </c>
      <c r="T618" s="9">
        <v>5</v>
      </c>
      <c r="U618" s="9">
        <v>84</v>
      </c>
      <c r="V618" s="19">
        <v>89</v>
      </c>
    </row>
    <row r="619" spans="1:22" s="13" customFormat="1" ht="30" customHeight="1">
      <c r="A619" s="17">
        <v>615</v>
      </c>
      <c r="B619" s="8">
        <v>40571</v>
      </c>
      <c r="C619" s="8" t="str">
        <f t="shared" si="30"/>
        <v>Friday</v>
      </c>
      <c r="D619" s="9">
        <v>1</v>
      </c>
      <c r="E619" s="9">
        <v>0</v>
      </c>
      <c r="F619" s="9">
        <v>1</v>
      </c>
      <c r="G619" s="7">
        <v>20</v>
      </c>
      <c r="H619" s="9" t="b">
        <v>0</v>
      </c>
      <c r="I619" s="9">
        <v>5</v>
      </c>
      <c r="J619" s="38" t="str">
        <f>CHOOSE(Table1[[#This Row],[Weekday]]+1,"Sunday","Monday","Tuesday","Wednesday","Thursday","Friday","Saturday")</f>
        <v>Friday</v>
      </c>
      <c r="K619" s="9">
        <v>2</v>
      </c>
      <c r="L619" s="38" t="str">
        <f>IF(Table1[[#This Row],[Weather_code]]=1,"Clear",IF(Table1[[#This Row],[Weather_code]]=2,"Cloudy",IF(Table1[[#This Row],[Weather_code]]=3,"Light Rain",IF(Table1[[#This Row],[Weather_code]]=4,"Heavy Rain"))))</f>
        <v>Cloudy</v>
      </c>
      <c r="M619" s="9">
        <v>0.24</v>
      </c>
      <c r="N619" s="11" t="str">
        <f t="shared" si="31"/>
        <v>Winter</v>
      </c>
      <c r="O619" s="11" t="str">
        <f t="shared" si="29"/>
        <v>Weekday</v>
      </c>
      <c r="P619" s="9">
        <v>0.2273</v>
      </c>
      <c r="Q619" s="7">
        <f>Table1[[#This Row],[A_Temperature]]*41</f>
        <v>9.3193000000000001</v>
      </c>
      <c r="R619" s="9">
        <v>0.7</v>
      </c>
      <c r="S619" s="9">
        <v>0.19400000000000001</v>
      </c>
      <c r="T619" s="9">
        <v>1</v>
      </c>
      <c r="U619" s="9">
        <v>61</v>
      </c>
      <c r="V619" s="19">
        <v>62</v>
      </c>
    </row>
    <row r="620" spans="1:22" s="13" customFormat="1" ht="30" customHeight="1">
      <c r="A620" s="17" t="s">
        <v>19</v>
      </c>
      <c r="B620" s="8">
        <v>40571</v>
      </c>
      <c r="C620" s="8" t="str">
        <f t="shared" si="30"/>
        <v>Friday</v>
      </c>
      <c r="D620" s="9">
        <v>1</v>
      </c>
      <c r="E620" s="9">
        <v>0</v>
      </c>
      <c r="F620" s="9">
        <v>1</v>
      </c>
      <c r="G620" s="7">
        <v>21</v>
      </c>
      <c r="H620" s="9" t="b">
        <v>0</v>
      </c>
      <c r="I620" s="9">
        <v>5</v>
      </c>
      <c r="J620" s="38" t="str">
        <f>CHOOSE(Table1[[#This Row],[Weekday]]+1,"Sunday","Monday","Tuesday","Wednesday","Thursday","Friday","Saturday")</f>
        <v>Friday</v>
      </c>
      <c r="K620" s="9">
        <v>2</v>
      </c>
      <c r="L620" s="38" t="str">
        <f>IF(Table1[[#This Row],[Weather_code]]=1,"Clear",IF(Table1[[#This Row],[Weather_code]]=2,"Cloudy",IF(Table1[[#This Row],[Weather_code]]=3,"Light Rain",IF(Table1[[#This Row],[Weather_code]]=4,"Heavy Rain"))))</f>
        <v>Cloudy</v>
      </c>
      <c r="M620" s="9">
        <v>0.22</v>
      </c>
      <c r="N620" s="11" t="str">
        <f t="shared" si="31"/>
        <v>Winter</v>
      </c>
      <c r="O620" s="11" t="str">
        <f t="shared" si="29"/>
        <v>Weekday</v>
      </c>
      <c r="P620" s="9">
        <v>0.2273</v>
      </c>
      <c r="Q620" s="7">
        <f>Table1[[#This Row],[A_Temperature]]*41</f>
        <v>9.3193000000000001</v>
      </c>
      <c r="R620" s="9">
        <v>0.75</v>
      </c>
      <c r="S620" s="9">
        <v>0.1343</v>
      </c>
      <c r="T620" s="9">
        <v>1</v>
      </c>
      <c r="U620" s="9">
        <v>57</v>
      </c>
      <c r="V620" s="19">
        <v>58</v>
      </c>
    </row>
    <row r="621" spans="1:22" s="13" customFormat="1" ht="30" customHeight="1">
      <c r="A621" s="17" t="s">
        <v>20</v>
      </c>
      <c r="B621" s="8">
        <v>40571</v>
      </c>
      <c r="C621" s="8" t="str">
        <f t="shared" si="30"/>
        <v>Friday</v>
      </c>
      <c r="D621" s="9">
        <v>1</v>
      </c>
      <c r="E621" s="9">
        <v>0</v>
      </c>
      <c r="F621" s="9">
        <v>1</v>
      </c>
      <c r="G621" s="7">
        <v>22</v>
      </c>
      <c r="H621" s="9" t="b">
        <v>0</v>
      </c>
      <c r="I621" s="9">
        <v>5</v>
      </c>
      <c r="J621" s="38" t="str">
        <f>CHOOSE(Table1[[#This Row],[Weekday]]+1,"Sunday","Monday","Tuesday","Wednesday","Thursday","Friday","Saturday")</f>
        <v>Friday</v>
      </c>
      <c r="K621" s="9">
        <v>1</v>
      </c>
      <c r="L621" s="38" t="str">
        <f>IF(Table1[[#This Row],[Weather_code]]=1,"Clear",IF(Table1[[#This Row],[Weather_code]]=2,"Cloudy",IF(Table1[[#This Row],[Weather_code]]=3,"Light Rain",IF(Table1[[#This Row],[Weather_code]]=4,"Heavy Rain"))))</f>
        <v>Clear</v>
      </c>
      <c r="M621" s="9">
        <v>0.24</v>
      </c>
      <c r="N621" s="11" t="str">
        <f t="shared" si="31"/>
        <v>Winter</v>
      </c>
      <c r="O621" s="11" t="str">
        <f t="shared" si="29"/>
        <v>Weekday</v>
      </c>
      <c r="P621" s="9">
        <v>0.21210000000000001</v>
      </c>
      <c r="Q621" s="7">
        <f>Table1[[#This Row],[A_Temperature]]*41</f>
        <v>8.6961000000000013</v>
      </c>
      <c r="R621" s="9">
        <v>0.65</v>
      </c>
      <c r="S621" s="9">
        <v>0.35820000000000002</v>
      </c>
      <c r="T621" s="9">
        <v>0</v>
      </c>
      <c r="U621" s="9">
        <v>26</v>
      </c>
      <c r="V621" s="19">
        <v>26</v>
      </c>
    </row>
    <row r="622" spans="1:22" s="13" customFormat="1" ht="30" customHeight="1">
      <c r="A622" s="17" t="s">
        <v>21</v>
      </c>
      <c r="B622" s="8">
        <v>40571</v>
      </c>
      <c r="C622" s="8" t="str">
        <f t="shared" si="30"/>
        <v>Friday</v>
      </c>
      <c r="D622" s="9">
        <v>1</v>
      </c>
      <c r="E622" s="9">
        <v>0</v>
      </c>
      <c r="F622" s="9">
        <v>1</v>
      </c>
      <c r="G622" s="7">
        <v>23</v>
      </c>
      <c r="H622" s="9" t="b">
        <v>0</v>
      </c>
      <c r="I622" s="9">
        <v>5</v>
      </c>
      <c r="J622" s="38" t="str">
        <f>CHOOSE(Table1[[#This Row],[Weekday]]+1,"Sunday","Monday","Tuesday","Wednesday","Thursday","Friday","Saturday")</f>
        <v>Friday</v>
      </c>
      <c r="K622" s="9">
        <v>1</v>
      </c>
      <c r="L622" s="38" t="str">
        <f>IF(Table1[[#This Row],[Weather_code]]=1,"Clear",IF(Table1[[#This Row],[Weather_code]]=2,"Cloudy",IF(Table1[[#This Row],[Weather_code]]=3,"Light Rain",IF(Table1[[#This Row],[Weather_code]]=4,"Heavy Rain"))))</f>
        <v>Clear</v>
      </c>
      <c r="M622" s="9">
        <v>0.24</v>
      </c>
      <c r="N622" s="11" t="str">
        <f t="shared" si="31"/>
        <v>Winter</v>
      </c>
      <c r="O622" s="11" t="str">
        <f t="shared" si="29"/>
        <v>Weekday</v>
      </c>
      <c r="P622" s="9">
        <v>0.2273</v>
      </c>
      <c r="Q622" s="7">
        <f>Table1[[#This Row],[A_Temperature]]*41</f>
        <v>9.3193000000000001</v>
      </c>
      <c r="R622" s="9">
        <v>0.6</v>
      </c>
      <c r="S622" s="9">
        <v>0.22389999999999999</v>
      </c>
      <c r="T622" s="9">
        <v>1</v>
      </c>
      <c r="U622" s="9">
        <v>22</v>
      </c>
      <c r="V622" s="19">
        <v>23</v>
      </c>
    </row>
    <row r="623" spans="1:22" s="13" customFormat="1" ht="30" customHeight="1">
      <c r="A623" s="17" t="s">
        <v>22</v>
      </c>
      <c r="B623" s="8">
        <v>40572</v>
      </c>
      <c r="C623" s="8" t="str">
        <f t="shared" si="30"/>
        <v>Saturday</v>
      </c>
      <c r="D623" s="9">
        <v>1</v>
      </c>
      <c r="E623" s="9">
        <v>0</v>
      </c>
      <c r="F623" s="9">
        <v>1</v>
      </c>
      <c r="G623" s="7">
        <v>0</v>
      </c>
      <c r="H623" s="9" t="b">
        <v>0</v>
      </c>
      <c r="I623" s="9">
        <v>6</v>
      </c>
      <c r="J623" s="38" t="str">
        <f>CHOOSE(Table1[[#This Row],[Weekday]]+1,"Sunday","Monday","Tuesday","Wednesday","Thursday","Friday","Saturday")</f>
        <v>Saturday</v>
      </c>
      <c r="K623" s="9">
        <v>1</v>
      </c>
      <c r="L623" s="38" t="str">
        <f>IF(Table1[[#This Row],[Weather_code]]=1,"Clear",IF(Table1[[#This Row],[Weather_code]]=2,"Cloudy",IF(Table1[[#This Row],[Weather_code]]=3,"Light Rain",IF(Table1[[#This Row],[Weather_code]]=4,"Heavy Rain"))))</f>
        <v>Clear</v>
      </c>
      <c r="M623" s="9">
        <v>0.22</v>
      </c>
      <c r="N623" s="11" t="str">
        <f t="shared" si="31"/>
        <v>Winter</v>
      </c>
      <c r="O623" s="11" t="str">
        <f t="shared" si="29"/>
        <v>Weekend</v>
      </c>
      <c r="P623" s="9">
        <v>0.19700000000000001</v>
      </c>
      <c r="Q623" s="7">
        <f>Table1[[#This Row],[A_Temperature]]*41</f>
        <v>8.077</v>
      </c>
      <c r="R623" s="9">
        <v>0.64</v>
      </c>
      <c r="S623" s="9">
        <v>0.35820000000000002</v>
      </c>
      <c r="T623" s="9">
        <v>2</v>
      </c>
      <c r="U623" s="9">
        <v>26</v>
      </c>
      <c r="V623" s="19">
        <v>28</v>
      </c>
    </row>
    <row r="624" spans="1:22" s="13" customFormat="1" ht="30" customHeight="1">
      <c r="A624" s="17" t="s">
        <v>23</v>
      </c>
      <c r="B624" s="8">
        <v>40572</v>
      </c>
      <c r="C624" s="8" t="str">
        <f t="shared" si="30"/>
        <v>Saturday</v>
      </c>
      <c r="D624" s="9">
        <v>1</v>
      </c>
      <c r="E624" s="9">
        <v>0</v>
      </c>
      <c r="F624" s="9">
        <v>1</v>
      </c>
      <c r="G624" s="7">
        <v>1</v>
      </c>
      <c r="H624" s="9" t="b">
        <v>0</v>
      </c>
      <c r="I624" s="9">
        <v>6</v>
      </c>
      <c r="J624" s="38" t="str">
        <f>CHOOSE(Table1[[#This Row],[Weekday]]+1,"Sunday","Monday","Tuesday","Wednesday","Thursday","Friday","Saturday")</f>
        <v>Saturday</v>
      </c>
      <c r="K624" s="9">
        <v>1</v>
      </c>
      <c r="L624" s="38" t="str">
        <f>IF(Table1[[#This Row],[Weather_code]]=1,"Clear",IF(Table1[[#This Row],[Weather_code]]=2,"Cloudy",IF(Table1[[#This Row],[Weather_code]]=3,"Light Rain",IF(Table1[[#This Row],[Weather_code]]=4,"Heavy Rain"))))</f>
        <v>Clear</v>
      </c>
      <c r="M624" s="9">
        <v>0.22</v>
      </c>
      <c r="N624" s="11" t="str">
        <f t="shared" si="31"/>
        <v>Winter</v>
      </c>
      <c r="O624" s="11" t="str">
        <f t="shared" si="29"/>
        <v>Weekend</v>
      </c>
      <c r="P624" s="9">
        <v>0.2273</v>
      </c>
      <c r="Q624" s="7">
        <f>Table1[[#This Row],[A_Temperature]]*41</f>
        <v>9.3193000000000001</v>
      </c>
      <c r="R624" s="9">
        <v>0.64</v>
      </c>
      <c r="S624" s="9">
        <v>0.19400000000000001</v>
      </c>
      <c r="T624" s="9">
        <v>0</v>
      </c>
      <c r="U624" s="9">
        <v>20</v>
      </c>
      <c r="V624" s="19">
        <v>20</v>
      </c>
    </row>
    <row r="625" spans="1:22" s="13" customFormat="1" ht="30" customHeight="1">
      <c r="A625" s="17" t="s">
        <v>24</v>
      </c>
      <c r="B625" s="8">
        <v>40572</v>
      </c>
      <c r="C625" s="8" t="str">
        <f t="shared" si="30"/>
        <v>Saturday</v>
      </c>
      <c r="D625" s="9">
        <v>1</v>
      </c>
      <c r="E625" s="9">
        <v>0</v>
      </c>
      <c r="F625" s="9">
        <v>1</v>
      </c>
      <c r="G625" s="7">
        <v>2</v>
      </c>
      <c r="H625" s="9" t="b">
        <v>0</v>
      </c>
      <c r="I625" s="9">
        <v>6</v>
      </c>
      <c r="J625" s="38" t="str">
        <f>CHOOSE(Table1[[#This Row],[Weekday]]+1,"Sunday","Monday","Tuesday","Wednesday","Thursday","Friday","Saturday")</f>
        <v>Saturday</v>
      </c>
      <c r="K625" s="9">
        <v>1</v>
      </c>
      <c r="L625" s="38" t="str">
        <f>IF(Table1[[#This Row],[Weather_code]]=1,"Clear",IF(Table1[[#This Row],[Weather_code]]=2,"Cloudy",IF(Table1[[#This Row],[Weather_code]]=3,"Light Rain",IF(Table1[[#This Row],[Weather_code]]=4,"Heavy Rain"))))</f>
        <v>Clear</v>
      </c>
      <c r="M625" s="9">
        <v>0.22</v>
      </c>
      <c r="N625" s="11" t="str">
        <f t="shared" si="31"/>
        <v>Winter</v>
      </c>
      <c r="O625" s="11" t="str">
        <f t="shared" si="29"/>
        <v>Weekend</v>
      </c>
      <c r="P625" s="9">
        <v>0.2273</v>
      </c>
      <c r="Q625" s="7">
        <f>Table1[[#This Row],[A_Temperature]]*41</f>
        <v>9.3193000000000001</v>
      </c>
      <c r="R625" s="9">
        <v>0.64</v>
      </c>
      <c r="S625" s="9">
        <v>0.16420000000000001</v>
      </c>
      <c r="T625" s="9">
        <v>0</v>
      </c>
      <c r="U625" s="9">
        <v>15</v>
      </c>
      <c r="V625" s="19">
        <v>15</v>
      </c>
    </row>
    <row r="626" spans="1:22" s="13" customFormat="1" ht="30" customHeight="1">
      <c r="A626" s="17" t="s">
        <v>25</v>
      </c>
      <c r="B626" s="8">
        <v>40572</v>
      </c>
      <c r="C626" s="8" t="str">
        <f t="shared" si="30"/>
        <v>Saturday</v>
      </c>
      <c r="D626" s="9">
        <v>1</v>
      </c>
      <c r="E626" s="9">
        <v>0</v>
      </c>
      <c r="F626" s="9">
        <v>1</v>
      </c>
      <c r="G626" s="7">
        <v>3</v>
      </c>
      <c r="H626" s="9" t="b">
        <v>0</v>
      </c>
      <c r="I626" s="9">
        <v>6</v>
      </c>
      <c r="J626" s="38" t="str">
        <f>CHOOSE(Table1[[#This Row],[Weekday]]+1,"Sunday","Monday","Tuesday","Wednesday","Thursday","Friday","Saturday")</f>
        <v>Saturday</v>
      </c>
      <c r="K626" s="9">
        <v>1</v>
      </c>
      <c r="L626" s="38" t="str">
        <f>IF(Table1[[#This Row],[Weather_code]]=1,"Clear",IF(Table1[[#This Row],[Weather_code]]=2,"Cloudy",IF(Table1[[#This Row],[Weather_code]]=3,"Light Rain",IF(Table1[[#This Row],[Weather_code]]=4,"Heavy Rain"))))</f>
        <v>Clear</v>
      </c>
      <c r="M626" s="9">
        <v>0.2</v>
      </c>
      <c r="N626" s="11" t="str">
        <f t="shared" si="31"/>
        <v>Winter</v>
      </c>
      <c r="O626" s="11" t="str">
        <f t="shared" si="29"/>
        <v>Weekend</v>
      </c>
      <c r="P626" s="9">
        <v>0.21210000000000001</v>
      </c>
      <c r="Q626" s="7">
        <f>Table1[[#This Row],[A_Temperature]]*41</f>
        <v>8.6961000000000013</v>
      </c>
      <c r="R626" s="9">
        <v>0.64</v>
      </c>
      <c r="S626" s="9">
        <v>0.1343</v>
      </c>
      <c r="T626" s="9">
        <v>3</v>
      </c>
      <c r="U626" s="9">
        <v>5</v>
      </c>
      <c r="V626" s="19">
        <v>8</v>
      </c>
    </row>
    <row r="627" spans="1:22" s="13" customFormat="1" ht="30" customHeight="1">
      <c r="A627" s="17" t="s">
        <v>26</v>
      </c>
      <c r="B627" s="8">
        <v>40572</v>
      </c>
      <c r="C627" s="8" t="str">
        <f t="shared" si="30"/>
        <v>Saturday</v>
      </c>
      <c r="D627" s="9">
        <v>1</v>
      </c>
      <c r="E627" s="9">
        <v>0</v>
      </c>
      <c r="F627" s="9">
        <v>1</v>
      </c>
      <c r="G627" s="7">
        <v>4</v>
      </c>
      <c r="H627" s="9" t="b">
        <v>0</v>
      </c>
      <c r="I627" s="9">
        <v>6</v>
      </c>
      <c r="J627" s="38" t="str">
        <f>CHOOSE(Table1[[#This Row],[Weekday]]+1,"Sunday","Monday","Tuesday","Wednesday","Thursday","Friday","Saturday")</f>
        <v>Saturday</v>
      </c>
      <c r="K627" s="9">
        <v>1</v>
      </c>
      <c r="L627" s="38" t="str">
        <f>IF(Table1[[#This Row],[Weather_code]]=1,"Clear",IF(Table1[[#This Row],[Weather_code]]=2,"Cloudy",IF(Table1[[#This Row],[Weather_code]]=3,"Light Rain",IF(Table1[[#This Row],[Weather_code]]=4,"Heavy Rain"))))</f>
        <v>Clear</v>
      </c>
      <c r="M627" s="9">
        <v>0.16</v>
      </c>
      <c r="N627" s="11" t="str">
        <f t="shared" si="31"/>
        <v>Winter</v>
      </c>
      <c r="O627" s="11" t="str">
        <f t="shared" si="29"/>
        <v>Weekend</v>
      </c>
      <c r="P627" s="9">
        <v>0.18179999999999999</v>
      </c>
      <c r="Q627" s="7">
        <f>Table1[[#This Row],[A_Temperature]]*41</f>
        <v>7.4537999999999993</v>
      </c>
      <c r="R627" s="9">
        <v>0.69</v>
      </c>
      <c r="S627" s="9">
        <v>0.1045</v>
      </c>
      <c r="T627" s="9">
        <v>1</v>
      </c>
      <c r="U627" s="9">
        <v>2</v>
      </c>
      <c r="V627" s="19">
        <v>3</v>
      </c>
    </row>
    <row r="628" spans="1:22" s="13" customFormat="1" ht="30" customHeight="1">
      <c r="A628" s="17" t="s">
        <v>27</v>
      </c>
      <c r="B628" s="8">
        <v>40572</v>
      </c>
      <c r="C628" s="8" t="str">
        <f t="shared" si="30"/>
        <v>Saturday</v>
      </c>
      <c r="D628" s="9">
        <v>1</v>
      </c>
      <c r="E628" s="9">
        <v>0</v>
      </c>
      <c r="F628" s="9">
        <v>1</v>
      </c>
      <c r="G628" s="7">
        <v>6</v>
      </c>
      <c r="H628" s="9" t="b">
        <v>0</v>
      </c>
      <c r="I628" s="9">
        <v>6</v>
      </c>
      <c r="J628" s="38" t="str">
        <f>CHOOSE(Table1[[#This Row],[Weekday]]+1,"Sunday","Monday","Tuesday","Wednesday","Thursday","Friday","Saturday")</f>
        <v>Saturday</v>
      </c>
      <c r="K628" s="9">
        <v>1</v>
      </c>
      <c r="L628" s="38" t="str">
        <f>IF(Table1[[#This Row],[Weather_code]]=1,"Clear",IF(Table1[[#This Row],[Weather_code]]=2,"Cloudy",IF(Table1[[#This Row],[Weather_code]]=3,"Light Rain",IF(Table1[[#This Row],[Weather_code]]=4,"Heavy Rain"))))</f>
        <v>Clear</v>
      </c>
      <c r="M628" s="9">
        <v>0.16</v>
      </c>
      <c r="N628" s="11" t="str">
        <f t="shared" si="31"/>
        <v>Winter</v>
      </c>
      <c r="O628" s="11" t="str">
        <f t="shared" si="29"/>
        <v>Weekend</v>
      </c>
      <c r="P628" s="9">
        <v>0.18179999999999999</v>
      </c>
      <c r="Q628" s="7">
        <f>Table1[[#This Row],[A_Temperature]]*41</f>
        <v>7.4537999999999993</v>
      </c>
      <c r="R628" s="9">
        <v>0.64</v>
      </c>
      <c r="S628" s="9">
        <v>0.1343</v>
      </c>
      <c r="T628" s="9">
        <v>0</v>
      </c>
      <c r="U628" s="9">
        <v>2</v>
      </c>
      <c r="V628" s="19">
        <v>2</v>
      </c>
    </row>
    <row r="629" spans="1:22" s="13" customFormat="1" ht="30" customHeight="1">
      <c r="A629" s="17" t="s">
        <v>28</v>
      </c>
      <c r="B629" s="8">
        <v>40572</v>
      </c>
      <c r="C629" s="8" t="str">
        <f t="shared" si="30"/>
        <v>Saturday</v>
      </c>
      <c r="D629" s="9">
        <v>1</v>
      </c>
      <c r="E629" s="9">
        <v>0</v>
      </c>
      <c r="F629" s="9">
        <v>1</v>
      </c>
      <c r="G629" s="7">
        <v>7</v>
      </c>
      <c r="H629" s="9" t="b">
        <v>0</v>
      </c>
      <c r="I629" s="9">
        <v>6</v>
      </c>
      <c r="J629" s="38" t="str">
        <f>CHOOSE(Table1[[#This Row],[Weekday]]+1,"Sunday","Monday","Tuesday","Wednesday","Thursday","Friday","Saturday")</f>
        <v>Saturday</v>
      </c>
      <c r="K629" s="9">
        <v>1</v>
      </c>
      <c r="L629" s="38" t="str">
        <f>IF(Table1[[#This Row],[Weather_code]]=1,"Clear",IF(Table1[[#This Row],[Weather_code]]=2,"Cloudy",IF(Table1[[#This Row],[Weather_code]]=3,"Light Rain",IF(Table1[[#This Row],[Weather_code]]=4,"Heavy Rain"))))</f>
        <v>Clear</v>
      </c>
      <c r="M629" s="9">
        <v>0.16</v>
      </c>
      <c r="N629" s="11" t="str">
        <f t="shared" si="31"/>
        <v>Winter</v>
      </c>
      <c r="O629" s="11" t="str">
        <f t="shared" si="29"/>
        <v>Weekend</v>
      </c>
      <c r="P629" s="9">
        <v>0.18179999999999999</v>
      </c>
      <c r="Q629" s="7">
        <f>Table1[[#This Row],[A_Temperature]]*41</f>
        <v>7.4537999999999993</v>
      </c>
      <c r="R629" s="9">
        <v>0.59</v>
      </c>
      <c r="S629" s="9">
        <v>0.1045</v>
      </c>
      <c r="T629" s="9">
        <v>1</v>
      </c>
      <c r="U629" s="9">
        <v>4</v>
      </c>
      <c r="V629" s="19">
        <v>5</v>
      </c>
    </row>
    <row r="630" spans="1:22" s="13" customFormat="1" ht="30" customHeight="1">
      <c r="A630" s="17" t="s">
        <v>29</v>
      </c>
      <c r="B630" s="8">
        <v>40572</v>
      </c>
      <c r="C630" s="8" t="str">
        <f t="shared" si="30"/>
        <v>Saturday</v>
      </c>
      <c r="D630" s="9">
        <v>1</v>
      </c>
      <c r="E630" s="9">
        <v>0</v>
      </c>
      <c r="F630" s="9">
        <v>1</v>
      </c>
      <c r="G630" s="7">
        <v>8</v>
      </c>
      <c r="H630" s="9" t="b">
        <v>0</v>
      </c>
      <c r="I630" s="9">
        <v>6</v>
      </c>
      <c r="J630" s="38" t="str">
        <f>CHOOSE(Table1[[#This Row],[Weekday]]+1,"Sunday","Monday","Tuesday","Wednesday","Thursday","Friday","Saturday")</f>
        <v>Saturday</v>
      </c>
      <c r="K630" s="9">
        <v>1</v>
      </c>
      <c r="L630" s="38" t="str">
        <f>IF(Table1[[#This Row],[Weather_code]]=1,"Clear",IF(Table1[[#This Row],[Weather_code]]=2,"Cloudy",IF(Table1[[#This Row],[Weather_code]]=3,"Light Rain",IF(Table1[[#This Row],[Weather_code]]=4,"Heavy Rain"))))</f>
        <v>Clear</v>
      </c>
      <c r="M630" s="9">
        <v>0.18</v>
      </c>
      <c r="N630" s="11" t="str">
        <f t="shared" si="31"/>
        <v>Winter</v>
      </c>
      <c r="O630" s="11" t="str">
        <f t="shared" si="29"/>
        <v>Weekend</v>
      </c>
      <c r="P630" s="9">
        <v>0.19700000000000001</v>
      </c>
      <c r="Q630" s="7">
        <f>Table1[[#This Row],[A_Temperature]]*41</f>
        <v>8.077</v>
      </c>
      <c r="R630" s="9">
        <v>0.55000000000000004</v>
      </c>
      <c r="S630" s="9">
        <v>0.16420000000000001</v>
      </c>
      <c r="T630" s="9">
        <v>3</v>
      </c>
      <c r="U630" s="9">
        <v>31</v>
      </c>
      <c r="V630" s="19">
        <v>34</v>
      </c>
    </row>
    <row r="631" spans="1:22" s="13" customFormat="1" ht="30" customHeight="1">
      <c r="A631" s="17" t="s">
        <v>30</v>
      </c>
      <c r="B631" s="8">
        <v>40572</v>
      </c>
      <c r="C631" s="8" t="str">
        <f t="shared" si="30"/>
        <v>Saturday</v>
      </c>
      <c r="D631" s="9">
        <v>1</v>
      </c>
      <c r="E631" s="9">
        <v>0</v>
      </c>
      <c r="F631" s="9">
        <v>1</v>
      </c>
      <c r="G631" s="7">
        <v>9</v>
      </c>
      <c r="H631" s="9" t="b">
        <v>0</v>
      </c>
      <c r="I631" s="9">
        <v>6</v>
      </c>
      <c r="J631" s="38" t="str">
        <f>CHOOSE(Table1[[#This Row],[Weekday]]+1,"Sunday","Monday","Tuesday","Wednesday","Thursday","Friday","Saturday")</f>
        <v>Saturday</v>
      </c>
      <c r="K631" s="9">
        <v>1</v>
      </c>
      <c r="L631" s="38" t="str">
        <f>IF(Table1[[#This Row],[Weather_code]]=1,"Clear",IF(Table1[[#This Row],[Weather_code]]=2,"Cloudy",IF(Table1[[#This Row],[Weather_code]]=3,"Light Rain",IF(Table1[[#This Row],[Weather_code]]=4,"Heavy Rain"))))</f>
        <v>Clear</v>
      </c>
      <c r="M631" s="9">
        <v>0.18</v>
      </c>
      <c r="N631" s="11" t="str">
        <f t="shared" si="31"/>
        <v>Winter</v>
      </c>
      <c r="O631" s="11" t="str">
        <f t="shared" si="29"/>
        <v>Weekend</v>
      </c>
      <c r="P631" s="9">
        <v>0.21210000000000001</v>
      </c>
      <c r="Q631" s="7">
        <f>Table1[[#This Row],[A_Temperature]]*41</f>
        <v>8.6961000000000013</v>
      </c>
      <c r="R631" s="9">
        <v>0.59</v>
      </c>
      <c r="S631" s="9">
        <v>8.9599999999999999E-2</v>
      </c>
      <c r="T631" s="9">
        <v>0</v>
      </c>
      <c r="U631" s="9">
        <v>34</v>
      </c>
      <c r="V631" s="19">
        <v>34</v>
      </c>
    </row>
    <row r="632" spans="1:22" s="13" customFormat="1" ht="30" customHeight="1">
      <c r="A632" s="17" t="s">
        <v>31</v>
      </c>
      <c r="B632" s="8">
        <v>40572</v>
      </c>
      <c r="C632" s="8" t="str">
        <f t="shared" si="30"/>
        <v>Saturday</v>
      </c>
      <c r="D632" s="9">
        <v>1</v>
      </c>
      <c r="E632" s="9">
        <v>0</v>
      </c>
      <c r="F632" s="9">
        <v>1</v>
      </c>
      <c r="G632" s="7">
        <v>10</v>
      </c>
      <c r="H632" s="9" t="b">
        <v>0</v>
      </c>
      <c r="I632" s="9">
        <v>6</v>
      </c>
      <c r="J632" s="38" t="str">
        <f>CHOOSE(Table1[[#This Row],[Weekday]]+1,"Sunday","Monday","Tuesday","Wednesday","Thursday","Friday","Saturday")</f>
        <v>Saturday</v>
      </c>
      <c r="K632" s="9">
        <v>2</v>
      </c>
      <c r="L632" s="38" t="str">
        <f>IF(Table1[[#This Row],[Weather_code]]=1,"Clear",IF(Table1[[#This Row],[Weather_code]]=2,"Cloudy",IF(Table1[[#This Row],[Weather_code]]=3,"Light Rain",IF(Table1[[#This Row],[Weather_code]]=4,"Heavy Rain"))))</f>
        <v>Cloudy</v>
      </c>
      <c r="M632" s="9">
        <v>0.18</v>
      </c>
      <c r="N632" s="11" t="str">
        <f t="shared" si="31"/>
        <v>Winter</v>
      </c>
      <c r="O632" s="11" t="str">
        <f t="shared" si="29"/>
        <v>Weekend</v>
      </c>
      <c r="P632" s="9">
        <v>0.21210000000000001</v>
      </c>
      <c r="Q632" s="7">
        <f>Table1[[#This Row],[A_Temperature]]*41</f>
        <v>8.6961000000000013</v>
      </c>
      <c r="R632" s="9">
        <v>0.64</v>
      </c>
      <c r="S632" s="9">
        <v>0.1045</v>
      </c>
      <c r="T632" s="9">
        <v>4</v>
      </c>
      <c r="U632" s="9">
        <v>51</v>
      </c>
      <c r="V632" s="19">
        <v>55</v>
      </c>
    </row>
    <row r="633" spans="1:22" s="13" customFormat="1" ht="30" customHeight="1">
      <c r="A633" s="17" t="s">
        <v>32</v>
      </c>
      <c r="B633" s="8">
        <v>40572</v>
      </c>
      <c r="C633" s="8" t="str">
        <f t="shared" si="30"/>
        <v>Saturday</v>
      </c>
      <c r="D633" s="9">
        <v>1</v>
      </c>
      <c r="E633" s="9">
        <v>0</v>
      </c>
      <c r="F633" s="9">
        <v>1</v>
      </c>
      <c r="G633" s="7">
        <v>11</v>
      </c>
      <c r="H633" s="9" t="b">
        <v>0</v>
      </c>
      <c r="I633" s="9">
        <v>6</v>
      </c>
      <c r="J633" s="38" t="str">
        <f>CHOOSE(Table1[[#This Row],[Weekday]]+1,"Sunday","Monday","Tuesday","Wednesday","Thursday","Friday","Saturday")</f>
        <v>Saturday</v>
      </c>
      <c r="K633" s="9">
        <v>2</v>
      </c>
      <c r="L633" s="38" t="str">
        <f>IF(Table1[[#This Row],[Weather_code]]=1,"Clear",IF(Table1[[#This Row],[Weather_code]]=2,"Cloudy",IF(Table1[[#This Row],[Weather_code]]=3,"Light Rain",IF(Table1[[#This Row],[Weather_code]]=4,"Heavy Rain"))))</f>
        <v>Cloudy</v>
      </c>
      <c r="M633" s="9">
        <v>0.18</v>
      </c>
      <c r="N633" s="11" t="str">
        <f t="shared" si="31"/>
        <v>Winter</v>
      </c>
      <c r="O633" s="11" t="str">
        <f t="shared" si="29"/>
        <v>Weekend</v>
      </c>
      <c r="P633" s="9">
        <v>0.19700000000000001</v>
      </c>
      <c r="Q633" s="7">
        <f>Table1[[#This Row],[A_Temperature]]*41</f>
        <v>8.077</v>
      </c>
      <c r="R633" s="9">
        <v>0.64</v>
      </c>
      <c r="S633" s="9">
        <v>0.1343</v>
      </c>
      <c r="T633" s="9">
        <v>4</v>
      </c>
      <c r="U633" s="9">
        <v>60</v>
      </c>
      <c r="V633" s="19">
        <v>64</v>
      </c>
    </row>
    <row r="634" spans="1:22" s="13" customFormat="1" ht="30" customHeight="1">
      <c r="A634" s="17" t="s">
        <v>33</v>
      </c>
      <c r="B634" s="8">
        <v>40572</v>
      </c>
      <c r="C634" s="8" t="str">
        <f t="shared" si="30"/>
        <v>Saturday</v>
      </c>
      <c r="D634" s="9">
        <v>1</v>
      </c>
      <c r="E634" s="9">
        <v>0</v>
      </c>
      <c r="F634" s="9">
        <v>1</v>
      </c>
      <c r="G634" s="7">
        <v>12</v>
      </c>
      <c r="H634" s="9" t="b">
        <v>0</v>
      </c>
      <c r="I634" s="9">
        <v>6</v>
      </c>
      <c r="J634" s="38" t="str">
        <f>CHOOSE(Table1[[#This Row],[Weekday]]+1,"Sunday","Monday","Tuesday","Wednesday","Thursday","Friday","Saturday")</f>
        <v>Saturday</v>
      </c>
      <c r="K634" s="9">
        <v>2</v>
      </c>
      <c r="L634" s="38" t="str">
        <f>IF(Table1[[#This Row],[Weather_code]]=1,"Clear",IF(Table1[[#This Row],[Weather_code]]=2,"Cloudy",IF(Table1[[#This Row],[Weather_code]]=3,"Light Rain",IF(Table1[[#This Row],[Weather_code]]=4,"Heavy Rain"))))</f>
        <v>Cloudy</v>
      </c>
      <c r="M634" s="9">
        <v>0.2</v>
      </c>
      <c r="N634" s="11" t="str">
        <f t="shared" si="31"/>
        <v>Winter</v>
      </c>
      <c r="O634" s="11" t="str">
        <f t="shared" si="29"/>
        <v>Weekend</v>
      </c>
      <c r="P634" s="9">
        <v>0.19700000000000001</v>
      </c>
      <c r="Q634" s="7">
        <f>Table1[[#This Row],[A_Temperature]]*41</f>
        <v>8.077</v>
      </c>
      <c r="R634" s="9">
        <v>0.59</v>
      </c>
      <c r="S634" s="9">
        <v>0.19400000000000001</v>
      </c>
      <c r="T634" s="9">
        <v>12</v>
      </c>
      <c r="U634" s="9">
        <v>66</v>
      </c>
      <c r="V634" s="19">
        <v>78</v>
      </c>
    </row>
    <row r="635" spans="1:22" s="13" customFormat="1" ht="30" customHeight="1">
      <c r="A635" s="17" t="s">
        <v>34</v>
      </c>
      <c r="B635" s="8">
        <v>40572</v>
      </c>
      <c r="C635" s="8" t="str">
        <f t="shared" si="30"/>
        <v>Saturday</v>
      </c>
      <c r="D635" s="9">
        <v>1</v>
      </c>
      <c r="E635" s="9">
        <v>0</v>
      </c>
      <c r="F635" s="9">
        <v>1</v>
      </c>
      <c r="G635" s="7">
        <v>13</v>
      </c>
      <c r="H635" s="9" t="b">
        <v>0</v>
      </c>
      <c r="I635" s="9">
        <v>6</v>
      </c>
      <c r="J635" s="38" t="str">
        <f>CHOOSE(Table1[[#This Row],[Weekday]]+1,"Sunday","Monday","Tuesday","Wednesday","Thursday","Friday","Saturday")</f>
        <v>Saturday</v>
      </c>
      <c r="K635" s="9">
        <v>2</v>
      </c>
      <c r="L635" s="38" t="str">
        <f>IF(Table1[[#This Row],[Weather_code]]=1,"Clear",IF(Table1[[#This Row],[Weather_code]]=2,"Cloudy",IF(Table1[[#This Row],[Weather_code]]=3,"Light Rain",IF(Table1[[#This Row],[Weather_code]]=4,"Heavy Rain"))))</f>
        <v>Cloudy</v>
      </c>
      <c r="M635" s="9">
        <v>0.22</v>
      </c>
      <c r="N635" s="11" t="str">
        <f t="shared" si="31"/>
        <v>Winter</v>
      </c>
      <c r="O635" s="11" t="str">
        <f t="shared" si="29"/>
        <v>Weekend</v>
      </c>
      <c r="P635" s="9">
        <v>0.2273</v>
      </c>
      <c r="Q635" s="7">
        <f>Table1[[#This Row],[A_Temperature]]*41</f>
        <v>9.3193000000000001</v>
      </c>
      <c r="R635" s="9">
        <v>0.55000000000000004</v>
      </c>
      <c r="S635" s="9">
        <v>0.16420000000000001</v>
      </c>
      <c r="T635" s="9">
        <v>9</v>
      </c>
      <c r="U635" s="9">
        <v>56</v>
      </c>
      <c r="V635" s="19">
        <v>65</v>
      </c>
    </row>
    <row r="636" spans="1:22" s="13" customFormat="1" ht="30" customHeight="1">
      <c r="A636" s="17" t="s">
        <v>35</v>
      </c>
      <c r="B636" s="8">
        <v>40572</v>
      </c>
      <c r="C636" s="8" t="str">
        <f t="shared" si="30"/>
        <v>Saturday</v>
      </c>
      <c r="D636" s="9">
        <v>1</v>
      </c>
      <c r="E636" s="9">
        <v>0</v>
      </c>
      <c r="F636" s="9">
        <v>1</v>
      </c>
      <c r="G636" s="7">
        <v>14</v>
      </c>
      <c r="H636" s="9" t="b">
        <v>0</v>
      </c>
      <c r="I636" s="9">
        <v>6</v>
      </c>
      <c r="J636" s="38" t="str">
        <f>CHOOSE(Table1[[#This Row],[Weekday]]+1,"Sunday","Monday","Tuesday","Wednesday","Thursday","Friday","Saturday")</f>
        <v>Saturday</v>
      </c>
      <c r="K636" s="9">
        <v>2</v>
      </c>
      <c r="L636" s="38" t="str">
        <f>IF(Table1[[#This Row],[Weather_code]]=1,"Clear",IF(Table1[[#This Row],[Weather_code]]=2,"Cloudy",IF(Table1[[#This Row],[Weather_code]]=3,"Light Rain",IF(Table1[[#This Row],[Weather_code]]=4,"Heavy Rain"))))</f>
        <v>Cloudy</v>
      </c>
      <c r="M636" s="9">
        <v>0.22</v>
      </c>
      <c r="N636" s="11" t="str">
        <f t="shared" si="31"/>
        <v>Winter</v>
      </c>
      <c r="O636" s="11" t="str">
        <f t="shared" si="29"/>
        <v>Weekend</v>
      </c>
      <c r="P636" s="9">
        <v>0.2273</v>
      </c>
      <c r="Q636" s="7">
        <f>Table1[[#This Row],[A_Temperature]]*41</f>
        <v>9.3193000000000001</v>
      </c>
      <c r="R636" s="9">
        <v>0.6</v>
      </c>
      <c r="S636" s="9">
        <v>0.1343</v>
      </c>
      <c r="T636" s="9">
        <v>10</v>
      </c>
      <c r="U636" s="9">
        <v>89</v>
      </c>
      <c r="V636" s="19">
        <v>99</v>
      </c>
    </row>
    <row r="637" spans="1:22" s="13" customFormat="1" ht="30" customHeight="1">
      <c r="A637" s="17" t="s">
        <v>36</v>
      </c>
      <c r="B637" s="8">
        <v>40572</v>
      </c>
      <c r="C637" s="8" t="str">
        <f t="shared" si="30"/>
        <v>Saturday</v>
      </c>
      <c r="D637" s="9">
        <v>1</v>
      </c>
      <c r="E637" s="9">
        <v>0</v>
      </c>
      <c r="F637" s="9">
        <v>1</v>
      </c>
      <c r="G637" s="7">
        <v>15</v>
      </c>
      <c r="H637" s="9" t="b">
        <v>0</v>
      </c>
      <c r="I637" s="9">
        <v>6</v>
      </c>
      <c r="J637" s="38" t="str">
        <f>CHOOSE(Table1[[#This Row],[Weekday]]+1,"Sunday","Monday","Tuesday","Wednesday","Thursday","Friday","Saturday")</f>
        <v>Saturday</v>
      </c>
      <c r="K637" s="9">
        <v>1</v>
      </c>
      <c r="L637" s="38" t="str">
        <f>IF(Table1[[#This Row],[Weather_code]]=1,"Clear",IF(Table1[[#This Row],[Weather_code]]=2,"Cloudy",IF(Table1[[#This Row],[Weather_code]]=3,"Light Rain",IF(Table1[[#This Row],[Weather_code]]=4,"Heavy Rain"))))</f>
        <v>Clear</v>
      </c>
      <c r="M637" s="9">
        <v>0.22</v>
      </c>
      <c r="N637" s="11" t="str">
        <f t="shared" si="31"/>
        <v>Winter</v>
      </c>
      <c r="O637" s="11" t="str">
        <f t="shared" si="29"/>
        <v>Weekend</v>
      </c>
      <c r="P637" s="9">
        <v>0.21210000000000001</v>
      </c>
      <c r="Q637" s="7">
        <f>Table1[[#This Row],[A_Temperature]]*41</f>
        <v>8.6961000000000013</v>
      </c>
      <c r="R637" s="9">
        <v>0.69</v>
      </c>
      <c r="S637" s="9">
        <v>0.25369999999999998</v>
      </c>
      <c r="T637" s="9">
        <v>22</v>
      </c>
      <c r="U637" s="9">
        <v>98</v>
      </c>
      <c r="V637" s="19">
        <v>120</v>
      </c>
    </row>
    <row r="638" spans="1:22" s="13" customFormat="1" ht="30" customHeight="1">
      <c r="A638" s="17" t="s">
        <v>37</v>
      </c>
      <c r="B638" s="8">
        <v>40572</v>
      </c>
      <c r="C638" s="8" t="str">
        <f t="shared" si="30"/>
        <v>Saturday</v>
      </c>
      <c r="D638" s="9">
        <v>1</v>
      </c>
      <c r="E638" s="9">
        <v>0</v>
      </c>
      <c r="F638" s="9">
        <v>1</v>
      </c>
      <c r="G638" s="7">
        <v>16</v>
      </c>
      <c r="H638" s="9" t="b">
        <v>0</v>
      </c>
      <c r="I638" s="9">
        <v>6</v>
      </c>
      <c r="J638" s="38" t="str">
        <f>CHOOSE(Table1[[#This Row],[Weekday]]+1,"Sunday","Monday","Tuesday","Wednesday","Thursday","Friday","Saturday")</f>
        <v>Saturday</v>
      </c>
      <c r="K638" s="9">
        <v>1</v>
      </c>
      <c r="L638" s="38" t="str">
        <f>IF(Table1[[#This Row],[Weather_code]]=1,"Clear",IF(Table1[[#This Row],[Weather_code]]=2,"Cloudy",IF(Table1[[#This Row],[Weather_code]]=3,"Light Rain",IF(Table1[[#This Row],[Weather_code]]=4,"Heavy Rain"))))</f>
        <v>Clear</v>
      </c>
      <c r="M638" s="9">
        <v>0.24</v>
      </c>
      <c r="N638" s="11" t="str">
        <f t="shared" si="31"/>
        <v>Winter</v>
      </c>
      <c r="O638" s="11" t="str">
        <f t="shared" si="29"/>
        <v>Weekend</v>
      </c>
      <c r="P638" s="9">
        <v>0.2424</v>
      </c>
      <c r="Q638" s="7">
        <f>Table1[[#This Row],[A_Temperature]]*41</f>
        <v>9.9383999999999997</v>
      </c>
      <c r="R638" s="9">
        <v>0.6</v>
      </c>
      <c r="S638" s="9">
        <v>0.16420000000000001</v>
      </c>
      <c r="T638" s="9">
        <v>19</v>
      </c>
      <c r="U638" s="9">
        <v>88</v>
      </c>
      <c r="V638" s="19">
        <v>107</v>
      </c>
    </row>
    <row r="639" spans="1:22" s="13" customFormat="1" ht="30" customHeight="1">
      <c r="A639" s="17" t="s">
        <v>38</v>
      </c>
      <c r="B639" s="8">
        <v>40572</v>
      </c>
      <c r="C639" s="8" t="str">
        <f t="shared" si="30"/>
        <v>Saturday</v>
      </c>
      <c r="D639" s="9">
        <v>1</v>
      </c>
      <c r="E639" s="9">
        <v>0</v>
      </c>
      <c r="F639" s="9">
        <v>1</v>
      </c>
      <c r="G639" s="7">
        <v>17</v>
      </c>
      <c r="H639" s="9" t="b">
        <v>0</v>
      </c>
      <c r="I639" s="9">
        <v>6</v>
      </c>
      <c r="J639" s="38" t="str">
        <f>CHOOSE(Table1[[#This Row],[Weekday]]+1,"Sunday","Monday","Tuesday","Wednesday","Thursday","Friday","Saturday")</f>
        <v>Saturday</v>
      </c>
      <c r="K639" s="9">
        <v>1</v>
      </c>
      <c r="L639" s="38" t="str">
        <f>IF(Table1[[#This Row],[Weather_code]]=1,"Clear",IF(Table1[[#This Row],[Weather_code]]=2,"Cloudy",IF(Table1[[#This Row],[Weather_code]]=3,"Light Rain",IF(Table1[[#This Row],[Weather_code]]=4,"Heavy Rain"))))</f>
        <v>Clear</v>
      </c>
      <c r="M639" s="9">
        <v>0.24</v>
      </c>
      <c r="N639" s="11" t="str">
        <f t="shared" si="31"/>
        <v>Winter</v>
      </c>
      <c r="O639" s="11" t="str">
        <f t="shared" si="29"/>
        <v>Weekend</v>
      </c>
      <c r="P639" s="9">
        <v>0.28789999999999999</v>
      </c>
      <c r="Q639" s="7">
        <f>Table1[[#This Row],[A_Temperature]]*41</f>
        <v>11.803899999999999</v>
      </c>
      <c r="R639" s="9">
        <v>0.6</v>
      </c>
      <c r="S639" s="9">
        <v>0</v>
      </c>
      <c r="T639" s="9">
        <v>9</v>
      </c>
      <c r="U639" s="9">
        <v>82</v>
      </c>
      <c r="V639" s="19">
        <v>91</v>
      </c>
    </row>
    <row r="640" spans="1:22" s="13" customFormat="1" ht="30" customHeight="1">
      <c r="A640" s="17" t="s">
        <v>39</v>
      </c>
      <c r="B640" s="8">
        <v>40572</v>
      </c>
      <c r="C640" s="8" t="str">
        <f t="shared" si="30"/>
        <v>Saturday</v>
      </c>
      <c r="D640" s="9">
        <v>1</v>
      </c>
      <c r="E640" s="9">
        <v>0</v>
      </c>
      <c r="F640" s="9">
        <v>1</v>
      </c>
      <c r="G640" s="7">
        <v>18</v>
      </c>
      <c r="H640" s="9" t="b">
        <v>0</v>
      </c>
      <c r="I640" s="9">
        <v>6</v>
      </c>
      <c r="J640" s="38" t="str">
        <f>CHOOSE(Table1[[#This Row],[Weekday]]+1,"Sunday","Monday","Tuesday","Wednesday","Thursday","Friday","Saturday")</f>
        <v>Saturday</v>
      </c>
      <c r="K640" s="9">
        <v>1</v>
      </c>
      <c r="L640" s="38" t="str">
        <f>IF(Table1[[#This Row],[Weather_code]]=1,"Clear",IF(Table1[[#This Row],[Weather_code]]=2,"Cloudy",IF(Table1[[#This Row],[Weather_code]]=3,"Light Rain",IF(Table1[[#This Row],[Weather_code]]=4,"Heavy Rain"))))</f>
        <v>Clear</v>
      </c>
      <c r="M640" s="9">
        <v>0.22</v>
      </c>
      <c r="N640" s="11" t="str">
        <f t="shared" si="31"/>
        <v>Winter</v>
      </c>
      <c r="O640" s="11" t="str">
        <f t="shared" si="29"/>
        <v>Weekend</v>
      </c>
      <c r="P640" s="9">
        <v>0.2273</v>
      </c>
      <c r="Q640" s="7">
        <f>Table1[[#This Row],[A_Temperature]]*41</f>
        <v>9.3193000000000001</v>
      </c>
      <c r="R640" s="9">
        <v>0.69</v>
      </c>
      <c r="S640" s="9">
        <v>0.1343</v>
      </c>
      <c r="T640" s="9">
        <v>9</v>
      </c>
      <c r="U640" s="9">
        <v>59</v>
      </c>
      <c r="V640" s="19">
        <v>68</v>
      </c>
    </row>
    <row r="641" spans="1:22" s="13" customFormat="1" ht="30" customHeight="1">
      <c r="A641" s="17" t="s">
        <v>40</v>
      </c>
      <c r="B641" s="8">
        <v>40572</v>
      </c>
      <c r="C641" s="8" t="str">
        <f t="shared" si="30"/>
        <v>Saturday</v>
      </c>
      <c r="D641" s="9">
        <v>1</v>
      </c>
      <c r="E641" s="9">
        <v>0</v>
      </c>
      <c r="F641" s="9">
        <v>1</v>
      </c>
      <c r="G641" s="7">
        <v>19</v>
      </c>
      <c r="H641" s="9" t="b">
        <v>0</v>
      </c>
      <c r="I641" s="9">
        <v>6</v>
      </c>
      <c r="J641" s="38" t="str">
        <f>CHOOSE(Table1[[#This Row],[Weekday]]+1,"Sunday","Monday","Tuesday","Wednesday","Thursday","Friday","Saturday")</f>
        <v>Saturday</v>
      </c>
      <c r="K641" s="9">
        <v>2</v>
      </c>
      <c r="L641" s="38" t="str">
        <f>IF(Table1[[#This Row],[Weather_code]]=1,"Clear",IF(Table1[[#This Row],[Weather_code]]=2,"Cloudy",IF(Table1[[#This Row],[Weather_code]]=3,"Light Rain",IF(Table1[[#This Row],[Weather_code]]=4,"Heavy Rain"))))</f>
        <v>Cloudy</v>
      </c>
      <c r="M641" s="9">
        <v>0.22</v>
      </c>
      <c r="N641" s="11" t="str">
        <f t="shared" si="31"/>
        <v>Winter</v>
      </c>
      <c r="O641" s="11" t="str">
        <f t="shared" si="29"/>
        <v>Weekend</v>
      </c>
      <c r="P641" s="9">
        <v>0.21210000000000001</v>
      </c>
      <c r="Q641" s="7">
        <f>Table1[[#This Row],[A_Temperature]]*41</f>
        <v>8.6961000000000013</v>
      </c>
      <c r="R641" s="9">
        <v>0.69</v>
      </c>
      <c r="S641" s="9">
        <v>0.25369999999999998</v>
      </c>
      <c r="T641" s="9">
        <v>6</v>
      </c>
      <c r="U641" s="9">
        <v>52</v>
      </c>
      <c r="V641" s="19">
        <v>58</v>
      </c>
    </row>
    <row r="642" spans="1:22" s="13" customFormat="1" ht="30" customHeight="1">
      <c r="A642" s="17" t="s">
        <v>41</v>
      </c>
      <c r="B642" s="8">
        <v>40572</v>
      </c>
      <c r="C642" s="8" t="str">
        <f t="shared" si="30"/>
        <v>Saturday</v>
      </c>
      <c r="D642" s="9">
        <v>1</v>
      </c>
      <c r="E642" s="9">
        <v>0</v>
      </c>
      <c r="F642" s="9">
        <v>1</v>
      </c>
      <c r="G642" s="7">
        <v>20</v>
      </c>
      <c r="H642" s="9" t="b">
        <v>0</v>
      </c>
      <c r="I642" s="9">
        <v>6</v>
      </c>
      <c r="J642" s="38" t="str">
        <f>CHOOSE(Table1[[#This Row],[Weekday]]+1,"Sunday","Monday","Tuesday","Wednesday","Thursday","Friday","Saturday")</f>
        <v>Saturday</v>
      </c>
      <c r="K642" s="9">
        <v>1</v>
      </c>
      <c r="L642" s="38" t="str">
        <f>IF(Table1[[#This Row],[Weather_code]]=1,"Clear",IF(Table1[[#This Row],[Weather_code]]=2,"Cloudy",IF(Table1[[#This Row],[Weather_code]]=3,"Light Rain",IF(Table1[[#This Row],[Weather_code]]=4,"Heavy Rain"))))</f>
        <v>Clear</v>
      </c>
      <c r="M642" s="9">
        <v>0.18</v>
      </c>
      <c r="N642" s="11" t="str">
        <f t="shared" si="31"/>
        <v>Winter</v>
      </c>
      <c r="O642" s="11" t="str">
        <f t="shared" si="29"/>
        <v>Weekend</v>
      </c>
      <c r="P642" s="9">
        <v>0.21210000000000001</v>
      </c>
      <c r="Q642" s="7">
        <f>Table1[[#This Row],[A_Temperature]]*41</f>
        <v>8.6961000000000013</v>
      </c>
      <c r="R642" s="9">
        <v>0.74</v>
      </c>
      <c r="S642" s="9">
        <v>8.9599999999999999E-2</v>
      </c>
      <c r="T642" s="9">
        <v>1</v>
      </c>
      <c r="U642" s="9">
        <v>42</v>
      </c>
      <c r="V642" s="19">
        <v>43</v>
      </c>
    </row>
    <row r="643" spans="1:22" s="13" customFormat="1" ht="30" customHeight="1">
      <c r="A643" s="17" t="s">
        <v>42</v>
      </c>
      <c r="B643" s="8">
        <v>40572</v>
      </c>
      <c r="C643" s="8" t="str">
        <f t="shared" si="30"/>
        <v>Saturday</v>
      </c>
      <c r="D643" s="9">
        <v>1</v>
      </c>
      <c r="E643" s="9">
        <v>0</v>
      </c>
      <c r="F643" s="9">
        <v>1</v>
      </c>
      <c r="G643" s="7">
        <v>21</v>
      </c>
      <c r="H643" s="9" t="b">
        <v>0</v>
      </c>
      <c r="I643" s="9">
        <v>6</v>
      </c>
      <c r="J643" s="38" t="str">
        <f>CHOOSE(Table1[[#This Row],[Weekday]]+1,"Sunday","Monday","Tuesday","Wednesday","Thursday","Friday","Saturday")</f>
        <v>Saturday</v>
      </c>
      <c r="K643" s="9">
        <v>1</v>
      </c>
      <c r="L643" s="38" t="str">
        <f>IF(Table1[[#This Row],[Weather_code]]=1,"Clear",IF(Table1[[#This Row],[Weather_code]]=2,"Cloudy",IF(Table1[[#This Row],[Weather_code]]=3,"Light Rain",IF(Table1[[#This Row],[Weather_code]]=4,"Heavy Rain"))))</f>
        <v>Clear</v>
      </c>
      <c r="M643" s="9">
        <v>0.18</v>
      </c>
      <c r="N643" s="11" t="str">
        <f t="shared" si="31"/>
        <v>Winter</v>
      </c>
      <c r="O643" s="11" t="str">
        <f t="shared" si="29"/>
        <v>Weekend</v>
      </c>
      <c r="P643" s="9">
        <v>0.21210000000000001</v>
      </c>
      <c r="Q643" s="7">
        <f>Table1[[#This Row],[A_Temperature]]*41</f>
        <v>8.6961000000000013</v>
      </c>
      <c r="R643" s="9">
        <v>0.74</v>
      </c>
      <c r="S643" s="9">
        <v>8.9599999999999999E-2</v>
      </c>
      <c r="T643" s="9">
        <v>1</v>
      </c>
      <c r="U643" s="9">
        <v>35</v>
      </c>
      <c r="V643" s="19">
        <v>36</v>
      </c>
    </row>
    <row r="644" spans="1:22" s="13" customFormat="1" ht="30" customHeight="1">
      <c r="A644" s="17" t="s">
        <v>43</v>
      </c>
      <c r="B644" s="8">
        <v>40572</v>
      </c>
      <c r="C644" s="8" t="str">
        <f t="shared" si="30"/>
        <v>Saturday</v>
      </c>
      <c r="D644" s="9">
        <v>1</v>
      </c>
      <c r="E644" s="9">
        <v>0</v>
      </c>
      <c r="F644" s="9">
        <v>1</v>
      </c>
      <c r="G644" s="7">
        <v>22</v>
      </c>
      <c r="H644" s="9" t="b">
        <v>0</v>
      </c>
      <c r="I644" s="9">
        <v>6</v>
      </c>
      <c r="J644" s="38" t="str">
        <f>CHOOSE(Table1[[#This Row],[Weekday]]+1,"Sunday","Monday","Tuesday","Wednesday","Thursday","Friday","Saturday")</f>
        <v>Saturday</v>
      </c>
      <c r="K644" s="9">
        <v>1</v>
      </c>
      <c r="L644" s="38" t="str">
        <f>IF(Table1[[#This Row],[Weather_code]]=1,"Clear",IF(Table1[[#This Row],[Weather_code]]=2,"Cloudy",IF(Table1[[#This Row],[Weather_code]]=3,"Light Rain",IF(Table1[[#This Row],[Weather_code]]=4,"Heavy Rain"))))</f>
        <v>Clear</v>
      </c>
      <c r="M644" s="9">
        <v>0.16</v>
      </c>
      <c r="N644" s="11" t="str">
        <f t="shared" si="31"/>
        <v>Winter</v>
      </c>
      <c r="O644" s="11" t="str">
        <f t="shared" si="29"/>
        <v>Weekend</v>
      </c>
      <c r="P644" s="9">
        <v>0.19700000000000001</v>
      </c>
      <c r="Q644" s="7">
        <f>Table1[[#This Row],[A_Temperature]]*41</f>
        <v>8.077</v>
      </c>
      <c r="R644" s="9">
        <v>0.8</v>
      </c>
      <c r="S644" s="9">
        <v>8.9599999999999999E-2</v>
      </c>
      <c r="T644" s="9">
        <v>4</v>
      </c>
      <c r="U644" s="9">
        <v>28</v>
      </c>
      <c r="V644" s="19">
        <v>32</v>
      </c>
    </row>
    <row r="645" spans="1:22" s="13" customFormat="1" ht="30" customHeight="1">
      <c r="A645" s="17" t="s">
        <v>44</v>
      </c>
      <c r="B645" s="8">
        <v>40572</v>
      </c>
      <c r="C645" s="8" t="str">
        <f t="shared" si="30"/>
        <v>Saturday</v>
      </c>
      <c r="D645" s="9">
        <v>1</v>
      </c>
      <c r="E645" s="9">
        <v>0</v>
      </c>
      <c r="F645" s="9">
        <v>1</v>
      </c>
      <c r="G645" s="7">
        <v>23</v>
      </c>
      <c r="H645" s="9" t="b">
        <v>0</v>
      </c>
      <c r="I645" s="9">
        <v>6</v>
      </c>
      <c r="J645" s="38" t="str">
        <f>CHOOSE(Table1[[#This Row],[Weekday]]+1,"Sunday","Monday","Tuesday","Wednesday","Thursday","Friday","Saturday")</f>
        <v>Saturday</v>
      </c>
      <c r="K645" s="9">
        <v>1</v>
      </c>
      <c r="L645" s="38" t="str">
        <f>IF(Table1[[#This Row],[Weather_code]]=1,"Clear",IF(Table1[[#This Row],[Weather_code]]=2,"Cloudy",IF(Table1[[#This Row],[Weather_code]]=3,"Light Rain",IF(Table1[[#This Row],[Weather_code]]=4,"Heavy Rain"))))</f>
        <v>Clear</v>
      </c>
      <c r="M645" s="9">
        <v>0.16</v>
      </c>
      <c r="N645" s="11" t="str">
        <f t="shared" si="31"/>
        <v>Winter</v>
      </c>
      <c r="O645" s="11" t="str">
        <f t="shared" si="29"/>
        <v>Weekend</v>
      </c>
      <c r="P645" s="9">
        <v>0.19700000000000001</v>
      </c>
      <c r="Q645" s="7">
        <f>Table1[[#This Row],[A_Temperature]]*41</f>
        <v>8.077</v>
      </c>
      <c r="R645" s="9">
        <v>0.8</v>
      </c>
      <c r="S645" s="9">
        <v>8.9599999999999999E-2</v>
      </c>
      <c r="T645" s="9">
        <v>3</v>
      </c>
      <c r="U645" s="9">
        <v>30</v>
      </c>
      <c r="V645" s="19">
        <v>33</v>
      </c>
    </row>
    <row r="646" spans="1:22" s="13" customFormat="1" ht="30" customHeight="1">
      <c r="A646" s="17" t="s">
        <v>45</v>
      </c>
      <c r="B646" s="8">
        <v>40573</v>
      </c>
      <c r="C646" s="8" t="str">
        <f t="shared" si="30"/>
        <v>Sunday</v>
      </c>
      <c r="D646" s="9">
        <v>1</v>
      </c>
      <c r="E646" s="9">
        <v>0</v>
      </c>
      <c r="F646" s="9">
        <v>1</v>
      </c>
      <c r="G646" s="7">
        <v>0</v>
      </c>
      <c r="H646" s="9" t="b">
        <v>0</v>
      </c>
      <c r="I646" s="9">
        <v>0</v>
      </c>
      <c r="J646" s="38" t="str">
        <f>CHOOSE(Table1[[#This Row],[Weekday]]+1,"Sunday","Monday","Tuesday","Wednesday","Thursday","Friday","Saturday")</f>
        <v>Sunday</v>
      </c>
      <c r="K646" s="9">
        <v>1</v>
      </c>
      <c r="L646" s="38" t="str">
        <f>IF(Table1[[#This Row],[Weather_code]]=1,"Clear",IF(Table1[[#This Row],[Weather_code]]=2,"Cloudy",IF(Table1[[#This Row],[Weather_code]]=3,"Light Rain",IF(Table1[[#This Row],[Weather_code]]=4,"Heavy Rain"))))</f>
        <v>Clear</v>
      </c>
      <c r="M646" s="9">
        <v>0.16</v>
      </c>
      <c r="N646" s="11" t="str">
        <f t="shared" si="31"/>
        <v>Winter</v>
      </c>
      <c r="O646" s="11" t="str">
        <f t="shared" ref="O646:O709" si="32">IF(OR(WEEKDAY(B646,2)=6,WEEKDAY(B646,2)=7),"Weekend","Weekday")</f>
        <v>Weekend</v>
      </c>
      <c r="P646" s="9">
        <v>0.18179999999999999</v>
      </c>
      <c r="Q646" s="7">
        <f>Table1[[#This Row],[A_Temperature]]*41</f>
        <v>7.4537999999999993</v>
      </c>
      <c r="R646" s="9">
        <v>0.8</v>
      </c>
      <c r="S646" s="9">
        <v>0.1045</v>
      </c>
      <c r="T646" s="9">
        <v>0</v>
      </c>
      <c r="U646" s="9">
        <v>33</v>
      </c>
      <c r="V646" s="19">
        <v>33</v>
      </c>
    </row>
    <row r="647" spans="1:22" s="13" customFormat="1" ht="30" customHeight="1">
      <c r="A647" s="17" t="s">
        <v>46</v>
      </c>
      <c r="B647" s="8">
        <v>40573</v>
      </c>
      <c r="C647" s="8" t="str">
        <f t="shared" si="30"/>
        <v>Sunday</v>
      </c>
      <c r="D647" s="9">
        <v>1</v>
      </c>
      <c r="E647" s="9">
        <v>0</v>
      </c>
      <c r="F647" s="9">
        <v>1</v>
      </c>
      <c r="G647" s="7">
        <v>1</v>
      </c>
      <c r="H647" s="9" t="b">
        <v>0</v>
      </c>
      <c r="I647" s="9">
        <v>0</v>
      </c>
      <c r="J647" s="38" t="str">
        <f>CHOOSE(Table1[[#This Row],[Weekday]]+1,"Sunday","Monday","Tuesday","Wednesday","Thursday","Friday","Saturday")</f>
        <v>Sunday</v>
      </c>
      <c r="K647" s="9">
        <v>1</v>
      </c>
      <c r="L647" s="38" t="str">
        <f>IF(Table1[[#This Row],[Weather_code]]=1,"Clear",IF(Table1[[#This Row],[Weather_code]]=2,"Cloudy",IF(Table1[[#This Row],[Weather_code]]=3,"Light Rain",IF(Table1[[#This Row],[Weather_code]]=4,"Heavy Rain"))))</f>
        <v>Clear</v>
      </c>
      <c r="M647" s="9">
        <v>0.14000000000000001</v>
      </c>
      <c r="N647" s="11" t="str">
        <f t="shared" si="31"/>
        <v>Winter</v>
      </c>
      <c r="O647" s="11" t="str">
        <f t="shared" si="32"/>
        <v>Weekend</v>
      </c>
      <c r="P647" s="9">
        <v>0.21210000000000001</v>
      </c>
      <c r="Q647" s="7">
        <f>Table1[[#This Row],[A_Temperature]]*41</f>
        <v>8.6961000000000013</v>
      </c>
      <c r="R647" s="9">
        <v>0.8</v>
      </c>
      <c r="S647" s="9">
        <v>0</v>
      </c>
      <c r="T647" s="9">
        <v>7</v>
      </c>
      <c r="U647" s="9">
        <v>22</v>
      </c>
      <c r="V647" s="19">
        <v>29</v>
      </c>
    </row>
    <row r="648" spans="1:22" s="13" customFormat="1" ht="30" customHeight="1">
      <c r="A648" s="17" t="s">
        <v>47</v>
      </c>
      <c r="B648" s="8">
        <v>40573</v>
      </c>
      <c r="C648" s="8" t="str">
        <f t="shared" si="30"/>
        <v>Sunday</v>
      </c>
      <c r="D648" s="9">
        <v>1</v>
      </c>
      <c r="E648" s="9">
        <v>0</v>
      </c>
      <c r="F648" s="9">
        <v>1</v>
      </c>
      <c r="G648" s="7">
        <v>2</v>
      </c>
      <c r="H648" s="9" t="b">
        <v>0</v>
      </c>
      <c r="I648" s="9">
        <v>0</v>
      </c>
      <c r="J648" s="38" t="str">
        <f>CHOOSE(Table1[[#This Row],[Weekday]]+1,"Sunday","Monday","Tuesday","Wednesday","Thursday","Friday","Saturday")</f>
        <v>Sunday</v>
      </c>
      <c r="K648" s="9">
        <v>1</v>
      </c>
      <c r="L648" s="38" t="str">
        <f>IF(Table1[[#This Row],[Weather_code]]=1,"Clear",IF(Table1[[#This Row],[Weather_code]]=2,"Cloudy",IF(Table1[[#This Row],[Weather_code]]=3,"Light Rain",IF(Table1[[#This Row],[Weather_code]]=4,"Heavy Rain"))))</f>
        <v>Clear</v>
      </c>
      <c r="M648" s="9">
        <v>0.16</v>
      </c>
      <c r="N648" s="11" t="str">
        <f t="shared" si="31"/>
        <v>Winter</v>
      </c>
      <c r="O648" s="11" t="str">
        <f t="shared" si="32"/>
        <v>Weekend</v>
      </c>
      <c r="P648" s="9">
        <v>0.2273</v>
      </c>
      <c r="Q648" s="7">
        <f>Table1[[#This Row],[A_Temperature]]*41</f>
        <v>9.3193000000000001</v>
      </c>
      <c r="R648" s="9">
        <v>0.8</v>
      </c>
      <c r="S648" s="9">
        <v>0</v>
      </c>
      <c r="T648" s="9">
        <v>1</v>
      </c>
      <c r="U648" s="9">
        <v>10</v>
      </c>
      <c r="V648" s="19">
        <v>11</v>
      </c>
    </row>
    <row r="649" spans="1:22" s="13" customFormat="1" ht="30" customHeight="1">
      <c r="A649" s="17" t="s">
        <v>48</v>
      </c>
      <c r="B649" s="8">
        <v>40573</v>
      </c>
      <c r="C649" s="8" t="str">
        <f t="shared" si="30"/>
        <v>Sunday</v>
      </c>
      <c r="D649" s="9">
        <v>1</v>
      </c>
      <c r="E649" s="9">
        <v>0</v>
      </c>
      <c r="F649" s="9">
        <v>1</v>
      </c>
      <c r="G649" s="7">
        <v>3</v>
      </c>
      <c r="H649" s="9" t="b">
        <v>0</v>
      </c>
      <c r="I649" s="9">
        <v>0</v>
      </c>
      <c r="J649" s="38" t="str">
        <f>CHOOSE(Table1[[#This Row],[Weekday]]+1,"Sunday","Monday","Tuesday","Wednesday","Thursday","Friday","Saturday")</f>
        <v>Sunday</v>
      </c>
      <c r="K649" s="9">
        <v>1</v>
      </c>
      <c r="L649" s="38" t="str">
        <f>IF(Table1[[#This Row],[Weather_code]]=1,"Clear",IF(Table1[[#This Row],[Weather_code]]=2,"Cloudy",IF(Table1[[#This Row],[Weather_code]]=3,"Light Rain",IF(Table1[[#This Row],[Weather_code]]=4,"Heavy Rain"))))</f>
        <v>Clear</v>
      </c>
      <c r="M649" s="9">
        <v>0.14000000000000001</v>
      </c>
      <c r="N649" s="11" t="str">
        <f t="shared" si="31"/>
        <v>Winter</v>
      </c>
      <c r="O649" s="11" t="str">
        <f t="shared" si="32"/>
        <v>Weekend</v>
      </c>
      <c r="P649" s="9">
        <v>0.21210000000000001</v>
      </c>
      <c r="Q649" s="7">
        <f>Table1[[#This Row],[A_Temperature]]*41</f>
        <v>8.6961000000000013</v>
      </c>
      <c r="R649" s="9">
        <v>0.93</v>
      </c>
      <c r="S649" s="9">
        <v>0</v>
      </c>
      <c r="T649" s="9">
        <v>1</v>
      </c>
      <c r="U649" s="9">
        <v>7</v>
      </c>
      <c r="V649" s="19">
        <v>8</v>
      </c>
    </row>
    <row r="650" spans="1:22" s="13" customFormat="1" ht="30" customHeight="1">
      <c r="A650" s="17" t="s">
        <v>49</v>
      </c>
      <c r="B650" s="8">
        <v>40573</v>
      </c>
      <c r="C650" s="8" t="str">
        <f t="shared" si="30"/>
        <v>Sunday</v>
      </c>
      <c r="D650" s="9">
        <v>1</v>
      </c>
      <c r="E650" s="9">
        <v>0</v>
      </c>
      <c r="F650" s="9">
        <v>1</v>
      </c>
      <c r="G650" s="7">
        <v>4</v>
      </c>
      <c r="H650" s="9" t="b">
        <v>0</v>
      </c>
      <c r="I650" s="9">
        <v>0</v>
      </c>
      <c r="J650" s="38" t="str">
        <f>CHOOSE(Table1[[#This Row],[Weekday]]+1,"Sunday","Monday","Tuesday","Wednesday","Thursday","Friday","Saturday")</f>
        <v>Sunday</v>
      </c>
      <c r="K650" s="9">
        <v>1</v>
      </c>
      <c r="L650" s="38" t="str">
        <f>IF(Table1[[#This Row],[Weather_code]]=1,"Clear",IF(Table1[[#This Row],[Weather_code]]=2,"Cloudy",IF(Table1[[#This Row],[Weather_code]]=3,"Light Rain",IF(Table1[[#This Row],[Weather_code]]=4,"Heavy Rain"))))</f>
        <v>Clear</v>
      </c>
      <c r="M650" s="9">
        <v>0.14000000000000001</v>
      </c>
      <c r="N650" s="11" t="str">
        <f t="shared" si="31"/>
        <v>Winter</v>
      </c>
      <c r="O650" s="11" t="str">
        <f t="shared" si="32"/>
        <v>Weekend</v>
      </c>
      <c r="P650" s="9">
        <v>0.21210000000000001</v>
      </c>
      <c r="Q650" s="7">
        <f>Table1[[#This Row],[A_Temperature]]*41</f>
        <v>8.6961000000000013</v>
      </c>
      <c r="R650" s="9">
        <v>0.93</v>
      </c>
      <c r="S650" s="9">
        <v>0</v>
      </c>
      <c r="T650" s="9">
        <v>0</v>
      </c>
      <c r="U650" s="9">
        <v>1</v>
      </c>
      <c r="V650" s="19">
        <v>1</v>
      </c>
    </row>
    <row r="651" spans="1:22" s="13" customFormat="1" ht="30" customHeight="1">
      <c r="A651" s="17" t="s">
        <v>50</v>
      </c>
      <c r="B651" s="8">
        <v>40573</v>
      </c>
      <c r="C651" s="8" t="str">
        <f t="shared" si="30"/>
        <v>Sunday</v>
      </c>
      <c r="D651" s="9">
        <v>1</v>
      </c>
      <c r="E651" s="9">
        <v>0</v>
      </c>
      <c r="F651" s="9">
        <v>1</v>
      </c>
      <c r="G651" s="7">
        <v>5</v>
      </c>
      <c r="H651" s="9" t="b">
        <v>0</v>
      </c>
      <c r="I651" s="9">
        <v>0</v>
      </c>
      <c r="J651" s="38" t="str">
        <f>CHOOSE(Table1[[#This Row],[Weekday]]+1,"Sunday","Monday","Tuesday","Wednesday","Thursday","Friday","Saturday")</f>
        <v>Sunday</v>
      </c>
      <c r="K651" s="9">
        <v>1</v>
      </c>
      <c r="L651" s="38" t="str">
        <f>IF(Table1[[#This Row],[Weather_code]]=1,"Clear",IF(Table1[[#This Row],[Weather_code]]=2,"Cloudy",IF(Table1[[#This Row],[Weather_code]]=3,"Light Rain",IF(Table1[[#This Row],[Weather_code]]=4,"Heavy Rain"))))</f>
        <v>Clear</v>
      </c>
      <c r="M651" s="9">
        <v>0.14000000000000001</v>
      </c>
      <c r="N651" s="11" t="str">
        <f t="shared" si="31"/>
        <v>Winter</v>
      </c>
      <c r="O651" s="11" t="str">
        <f t="shared" si="32"/>
        <v>Weekend</v>
      </c>
      <c r="P651" s="9">
        <v>0.21210000000000001</v>
      </c>
      <c r="Q651" s="7">
        <f>Table1[[#This Row],[A_Temperature]]*41</f>
        <v>8.6961000000000013</v>
      </c>
      <c r="R651" s="9">
        <v>0.86</v>
      </c>
      <c r="S651" s="9">
        <v>0</v>
      </c>
      <c r="T651" s="9">
        <v>0</v>
      </c>
      <c r="U651" s="9">
        <v>3</v>
      </c>
      <c r="V651" s="19">
        <v>3</v>
      </c>
    </row>
    <row r="652" spans="1:22" s="13" customFormat="1" ht="30" customHeight="1">
      <c r="A652" s="17" t="s">
        <v>51</v>
      </c>
      <c r="B652" s="8">
        <v>40573</v>
      </c>
      <c r="C652" s="8" t="str">
        <f t="shared" si="30"/>
        <v>Sunday</v>
      </c>
      <c r="D652" s="9">
        <v>1</v>
      </c>
      <c r="E652" s="9">
        <v>0</v>
      </c>
      <c r="F652" s="9">
        <v>1</v>
      </c>
      <c r="G652" s="7">
        <v>7</v>
      </c>
      <c r="H652" s="9" t="b">
        <v>0</v>
      </c>
      <c r="I652" s="9">
        <v>0</v>
      </c>
      <c r="J652" s="38" t="str">
        <f>CHOOSE(Table1[[#This Row],[Weekday]]+1,"Sunday","Monday","Tuesday","Wednesday","Thursday","Friday","Saturday")</f>
        <v>Sunday</v>
      </c>
      <c r="K652" s="9">
        <v>1</v>
      </c>
      <c r="L652" s="38" t="str">
        <f>IF(Table1[[#This Row],[Weather_code]]=1,"Clear",IF(Table1[[#This Row],[Weather_code]]=2,"Cloudy",IF(Table1[[#This Row],[Weather_code]]=3,"Light Rain",IF(Table1[[#This Row],[Weather_code]]=4,"Heavy Rain"))))</f>
        <v>Clear</v>
      </c>
      <c r="M652" s="9">
        <v>0.14000000000000001</v>
      </c>
      <c r="N652" s="11" t="str">
        <f t="shared" si="31"/>
        <v>Winter</v>
      </c>
      <c r="O652" s="11" t="str">
        <f t="shared" si="32"/>
        <v>Weekend</v>
      </c>
      <c r="P652" s="9">
        <v>0.21210000000000001</v>
      </c>
      <c r="Q652" s="7">
        <f>Table1[[#This Row],[A_Temperature]]*41</f>
        <v>8.6961000000000013</v>
      </c>
      <c r="R652" s="9">
        <v>0.86</v>
      </c>
      <c r="S652" s="9">
        <v>0</v>
      </c>
      <c r="T652" s="9">
        <v>0</v>
      </c>
      <c r="U652" s="9">
        <v>3</v>
      </c>
      <c r="V652" s="19">
        <v>3</v>
      </c>
    </row>
    <row r="653" spans="1:22" s="13" customFormat="1" ht="30" customHeight="1">
      <c r="A653" s="17" t="s">
        <v>52</v>
      </c>
      <c r="B653" s="8">
        <v>40573</v>
      </c>
      <c r="C653" s="8" t="str">
        <f t="shared" si="30"/>
        <v>Sunday</v>
      </c>
      <c r="D653" s="9">
        <v>1</v>
      </c>
      <c r="E653" s="9">
        <v>0</v>
      </c>
      <c r="F653" s="9">
        <v>1</v>
      </c>
      <c r="G653" s="7">
        <v>8</v>
      </c>
      <c r="H653" s="9" t="b">
        <v>0</v>
      </c>
      <c r="I653" s="9">
        <v>0</v>
      </c>
      <c r="J653" s="38" t="str">
        <f>CHOOSE(Table1[[#This Row],[Weekday]]+1,"Sunday","Monday","Tuesday","Wednesday","Thursday","Friday","Saturday")</f>
        <v>Sunday</v>
      </c>
      <c r="K653" s="9">
        <v>2</v>
      </c>
      <c r="L653" s="38" t="str">
        <f>IF(Table1[[#This Row],[Weather_code]]=1,"Clear",IF(Table1[[#This Row],[Weather_code]]=2,"Cloudy",IF(Table1[[#This Row],[Weather_code]]=3,"Light Rain",IF(Table1[[#This Row],[Weather_code]]=4,"Heavy Rain"))))</f>
        <v>Cloudy</v>
      </c>
      <c r="M653" s="9">
        <v>0.14000000000000001</v>
      </c>
      <c r="N653" s="11" t="str">
        <f t="shared" si="31"/>
        <v>Winter</v>
      </c>
      <c r="O653" s="11" t="str">
        <f t="shared" si="32"/>
        <v>Weekend</v>
      </c>
      <c r="P653" s="9">
        <v>0.21210000000000001</v>
      </c>
      <c r="Q653" s="7">
        <f>Table1[[#This Row],[A_Temperature]]*41</f>
        <v>8.6961000000000013</v>
      </c>
      <c r="R653" s="9">
        <v>0.86</v>
      </c>
      <c r="S653" s="9">
        <v>0</v>
      </c>
      <c r="T653" s="9">
        <v>1</v>
      </c>
      <c r="U653" s="9">
        <v>11</v>
      </c>
      <c r="V653" s="19">
        <v>12</v>
      </c>
    </row>
    <row r="654" spans="1:22" s="13" customFormat="1" ht="30" customHeight="1">
      <c r="A654" s="17" t="s">
        <v>53</v>
      </c>
      <c r="B654" s="8">
        <v>40573</v>
      </c>
      <c r="C654" s="8" t="str">
        <f t="shared" si="30"/>
        <v>Sunday</v>
      </c>
      <c r="D654" s="9">
        <v>1</v>
      </c>
      <c r="E654" s="9">
        <v>0</v>
      </c>
      <c r="F654" s="9">
        <v>1</v>
      </c>
      <c r="G654" s="7">
        <v>9</v>
      </c>
      <c r="H654" s="9" t="b">
        <v>0</v>
      </c>
      <c r="I654" s="9">
        <v>0</v>
      </c>
      <c r="J654" s="38" t="str">
        <f>CHOOSE(Table1[[#This Row],[Weekday]]+1,"Sunday","Monday","Tuesday","Wednesday","Thursday","Friday","Saturday")</f>
        <v>Sunday</v>
      </c>
      <c r="K654" s="9">
        <v>2</v>
      </c>
      <c r="L654" s="38" t="str">
        <f>IF(Table1[[#This Row],[Weather_code]]=1,"Clear",IF(Table1[[#This Row],[Weather_code]]=2,"Cloudy",IF(Table1[[#This Row],[Weather_code]]=3,"Light Rain",IF(Table1[[#This Row],[Weather_code]]=4,"Heavy Rain"))))</f>
        <v>Cloudy</v>
      </c>
      <c r="M654" s="9">
        <v>0.16</v>
      </c>
      <c r="N654" s="11" t="str">
        <f t="shared" si="31"/>
        <v>Winter</v>
      </c>
      <c r="O654" s="11" t="str">
        <f t="shared" si="32"/>
        <v>Weekend</v>
      </c>
      <c r="P654" s="9">
        <v>0.2273</v>
      </c>
      <c r="Q654" s="7">
        <f>Table1[[#This Row],[A_Temperature]]*41</f>
        <v>9.3193000000000001</v>
      </c>
      <c r="R654" s="9">
        <v>0.8</v>
      </c>
      <c r="S654" s="9">
        <v>0</v>
      </c>
      <c r="T654" s="9">
        <v>4</v>
      </c>
      <c r="U654" s="9">
        <v>34</v>
      </c>
      <c r="V654" s="19">
        <v>38</v>
      </c>
    </row>
    <row r="655" spans="1:22" s="13" customFormat="1" ht="30" customHeight="1">
      <c r="A655" s="17" t="s">
        <v>54</v>
      </c>
      <c r="B655" s="8">
        <v>40573</v>
      </c>
      <c r="C655" s="8" t="str">
        <f t="shared" si="30"/>
        <v>Sunday</v>
      </c>
      <c r="D655" s="9">
        <v>1</v>
      </c>
      <c r="E655" s="9">
        <v>0</v>
      </c>
      <c r="F655" s="9">
        <v>1</v>
      </c>
      <c r="G655" s="7">
        <v>10</v>
      </c>
      <c r="H655" s="9" t="b">
        <v>0</v>
      </c>
      <c r="I655" s="9">
        <v>0</v>
      </c>
      <c r="J655" s="38" t="str">
        <f>CHOOSE(Table1[[#This Row],[Weekday]]+1,"Sunday","Monday","Tuesday","Wednesday","Thursday","Friday","Saturday")</f>
        <v>Sunday</v>
      </c>
      <c r="K655" s="9">
        <v>2</v>
      </c>
      <c r="L655" s="38" t="str">
        <f>IF(Table1[[#This Row],[Weather_code]]=1,"Clear",IF(Table1[[#This Row],[Weather_code]]=2,"Cloudy",IF(Table1[[#This Row],[Weather_code]]=3,"Light Rain",IF(Table1[[#This Row],[Weather_code]]=4,"Heavy Rain"))))</f>
        <v>Cloudy</v>
      </c>
      <c r="M655" s="9">
        <v>0.18</v>
      </c>
      <c r="N655" s="11" t="str">
        <f t="shared" si="31"/>
        <v>Winter</v>
      </c>
      <c r="O655" s="11" t="str">
        <f t="shared" si="32"/>
        <v>Weekend</v>
      </c>
      <c r="P655" s="9">
        <v>0.2424</v>
      </c>
      <c r="Q655" s="7">
        <f>Table1[[#This Row],[A_Temperature]]*41</f>
        <v>9.9383999999999997</v>
      </c>
      <c r="R655" s="9">
        <v>0.8</v>
      </c>
      <c r="S655" s="9">
        <v>0</v>
      </c>
      <c r="T655" s="9">
        <v>7</v>
      </c>
      <c r="U655" s="9">
        <v>57</v>
      </c>
      <c r="V655" s="19">
        <v>64</v>
      </c>
    </row>
    <row r="656" spans="1:22" s="13" customFormat="1" ht="30" customHeight="1">
      <c r="A656" s="17" t="s">
        <v>55</v>
      </c>
      <c r="B656" s="8">
        <v>40573</v>
      </c>
      <c r="C656" s="8" t="str">
        <f t="shared" si="30"/>
        <v>Sunday</v>
      </c>
      <c r="D656" s="9">
        <v>1</v>
      </c>
      <c r="E656" s="9">
        <v>0</v>
      </c>
      <c r="F656" s="9">
        <v>1</v>
      </c>
      <c r="G656" s="7">
        <v>11</v>
      </c>
      <c r="H656" s="9" t="b">
        <v>0</v>
      </c>
      <c r="I656" s="9">
        <v>0</v>
      </c>
      <c r="J656" s="38" t="str">
        <f>CHOOSE(Table1[[#This Row],[Weekday]]+1,"Sunday","Monday","Tuesday","Wednesday","Thursday","Friday","Saturday")</f>
        <v>Sunday</v>
      </c>
      <c r="K656" s="9">
        <v>1</v>
      </c>
      <c r="L656" s="38" t="str">
        <f>IF(Table1[[#This Row],[Weather_code]]=1,"Clear",IF(Table1[[#This Row],[Weather_code]]=2,"Cloudy",IF(Table1[[#This Row],[Weather_code]]=3,"Light Rain",IF(Table1[[#This Row],[Weather_code]]=4,"Heavy Rain"))))</f>
        <v>Clear</v>
      </c>
      <c r="M656" s="9">
        <v>0.22</v>
      </c>
      <c r="N656" s="11" t="str">
        <f t="shared" si="31"/>
        <v>Winter</v>
      </c>
      <c r="O656" s="11" t="str">
        <f t="shared" si="32"/>
        <v>Weekend</v>
      </c>
      <c r="P656" s="9">
        <v>0.2727</v>
      </c>
      <c r="Q656" s="7">
        <f>Table1[[#This Row],[A_Temperature]]*41</f>
        <v>11.1807</v>
      </c>
      <c r="R656" s="9">
        <v>0.75</v>
      </c>
      <c r="S656" s="9">
        <v>0</v>
      </c>
      <c r="T656" s="9">
        <v>9</v>
      </c>
      <c r="U656" s="9">
        <v>50</v>
      </c>
      <c r="V656" s="19">
        <v>59</v>
      </c>
    </row>
    <row r="657" spans="1:22" s="13" customFormat="1" ht="30" customHeight="1">
      <c r="A657" s="17" t="s">
        <v>56</v>
      </c>
      <c r="B657" s="8">
        <v>40573</v>
      </c>
      <c r="C657" s="8" t="str">
        <f t="shared" si="30"/>
        <v>Sunday</v>
      </c>
      <c r="D657" s="9">
        <v>1</v>
      </c>
      <c r="E657" s="9">
        <v>0</v>
      </c>
      <c r="F657" s="9">
        <v>1</v>
      </c>
      <c r="G657" s="7">
        <v>12</v>
      </c>
      <c r="H657" s="9" t="b">
        <v>0</v>
      </c>
      <c r="I657" s="9">
        <v>0</v>
      </c>
      <c r="J657" s="38" t="str">
        <f>CHOOSE(Table1[[#This Row],[Weekday]]+1,"Sunday","Monday","Tuesday","Wednesday","Thursday","Friday","Saturday")</f>
        <v>Sunday</v>
      </c>
      <c r="K657" s="9">
        <v>1</v>
      </c>
      <c r="L657" s="38" t="str">
        <f>IF(Table1[[#This Row],[Weather_code]]=1,"Clear",IF(Table1[[#This Row],[Weather_code]]=2,"Cloudy",IF(Table1[[#This Row],[Weather_code]]=3,"Light Rain",IF(Table1[[#This Row],[Weather_code]]=4,"Heavy Rain"))))</f>
        <v>Clear</v>
      </c>
      <c r="M657" s="9">
        <v>0.3</v>
      </c>
      <c r="N657" s="11" t="str">
        <f t="shared" si="31"/>
        <v>Winter</v>
      </c>
      <c r="O657" s="11" t="str">
        <f t="shared" si="32"/>
        <v>Weekend</v>
      </c>
      <c r="P657" s="9">
        <v>0.31819999999999998</v>
      </c>
      <c r="Q657" s="7">
        <f>Table1[[#This Row],[A_Temperature]]*41</f>
        <v>13.046199999999999</v>
      </c>
      <c r="R657" s="9">
        <v>0.52</v>
      </c>
      <c r="S657" s="9">
        <v>0.1045</v>
      </c>
      <c r="T657" s="9">
        <v>10</v>
      </c>
      <c r="U657" s="9">
        <v>87</v>
      </c>
      <c r="V657" s="19">
        <v>97</v>
      </c>
    </row>
    <row r="658" spans="1:22" s="13" customFormat="1" ht="30" customHeight="1">
      <c r="A658" s="17" t="s">
        <v>57</v>
      </c>
      <c r="B658" s="8">
        <v>40573</v>
      </c>
      <c r="C658" s="8" t="str">
        <f t="shared" si="30"/>
        <v>Sunday</v>
      </c>
      <c r="D658" s="9">
        <v>1</v>
      </c>
      <c r="E658" s="9">
        <v>0</v>
      </c>
      <c r="F658" s="9">
        <v>1</v>
      </c>
      <c r="G658" s="7">
        <v>13</v>
      </c>
      <c r="H658" s="9" t="b">
        <v>0</v>
      </c>
      <c r="I658" s="9">
        <v>0</v>
      </c>
      <c r="J658" s="38" t="str">
        <f>CHOOSE(Table1[[#This Row],[Weekday]]+1,"Sunday","Monday","Tuesday","Wednesday","Thursday","Friday","Saturday")</f>
        <v>Sunday</v>
      </c>
      <c r="K658" s="9">
        <v>1</v>
      </c>
      <c r="L658" s="38" t="str">
        <f>IF(Table1[[#This Row],[Weather_code]]=1,"Clear",IF(Table1[[#This Row],[Weather_code]]=2,"Cloudy",IF(Table1[[#This Row],[Weather_code]]=3,"Light Rain",IF(Table1[[#This Row],[Weather_code]]=4,"Heavy Rain"))))</f>
        <v>Clear</v>
      </c>
      <c r="M658" s="9">
        <v>0.28000000000000003</v>
      </c>
      <c r="N658" s="11" t="str">
        <f t="shared" si="31"/>
        <v>Winter</v>
      </c>
      <c r="O658" s="11" t="str">
        <f t="shared" si="32"/>
        <v>Weekend</v>
      </c>
      <c r="P658" s="9">
        <v>0.28789999999999999</v>
      </c>
      <c r="Q658" s="7">
        <f>Table1[[#This Row],[A_Temperature]]*41</f>
        <v>11.803899999999999</v>
      </c>
      <c r="R658" s="9">
        <v>0.61</v>
      </c>
      <c r="S658" s="9">
        <v>0.1045</v>
      </c>
      <c r="T658" s="9">
        <v>13</v>
      </c>
      <c r="U658" s="9">
        <v>71</v>
      </c>
      <c r="V658" s="19">
        <v>84</v>
      </c>
    </row>
    <row r="659" spans="1:22" s="13" customFormat="1" ht="30" customHeight="1">
      <c r="A659" s="17" t="s">
        <v>58</v>
      </c>
      <c r="B659" s="8">
        <v>40573</v>
      </c>
      <c r="C659" s="8" t="str">
        <f t="shared" si="30"/>
        <v>Sunday</v>
      </c>
      <c r="D659" s="9">
        <v>1</v>
      </c>
      <c r="E659" s="9">
        <v>0</v>
      </c>
      <c r="F659" s="9">
        <v>1</v>
      </c>
      <c r="G659" s="7">
        <v>14</v>
      </c>
      <c r="H659" s="9" t="b">
        <v>0</v>
      </c>
      <c r="I659" s="9">
        <v>0</v>
      </c>
      <c r="J659" s="38" t="str">
        <f>CHOOSE(Table1[[#This Row],[Weekday]]+1,"Sunday","Monday","Tuesday","Wednesday","Thursday","Friday","Saturday")</f>
        <v>Sunday</v>
      </c>
      <c r="K659" s="9">
        <v>1</v>
      </c>
      <c r="L659" s="38" t="str">
        <f>IF(Table1[[#This Row],[Weather_code]]=1,"Clear",IF(Table1[[#This Row],[Weather_code]]=2,"Cloudy",IF(Table1[[#This Row],[Weather_code]]=3,"Light Rain",IF(Table1[[#This Row],[Weather_code]]=4,"Heavy Rain"))))</f>
        <v>Clear</v>
      </c>
      <c r="M659" s="9">
        <v>0.28000000000000003</v>
      </c>
      <c r="N659" s="11" t="str">
        <f t="shared" si="31"/>
        <v>Winter</v>
      </c>
      <c r="O659" s="11" t="str">
        <f t="shared" si="32"/>
        <v>Weekend</v>
      </c>
      <c r="P659" s="9">
        <v>0.30299999999999999</v>
      </c>
      <c r="Q659" s="7">
        <f>Table1[[#This Row],[A_Temperature]]*41</f>
        <v>12.423</v>
      </c>
      <c r="R659" s="9">
        <v>0.61</v>
      </c>
      <c r="S659" s="9">
        <v>8.9599999999999999E-2</v>
      </c>
      <c r="T659" s="9">
        <v>18</v>
      </c>
      <c r="U659" s="9">
        <v>104</v>
      </c>
      <c r="V659" s="19">
        <v>122</v>
      </c>
    </row>
    <row r="660" spans="1:22" s="13" customFormat="1" ht="30" customHeight="1">
      <c r="A660" s="17" t="s">
        <v>59</v>
      </c>
      <c r="B660" s="8">
        <v>40573</v>
      </c>
      <c r="C660" s="8" t="str">
        <f t="shared" si="30"/>
        <v>Sunday</v>
      </c>
      <c r="D660" s="9">
        <v>1</v>
      </c>
      <c r="E660" s="9">
        <v>0</v>
      </c>
      <c r="F660" s="9">
        <v>1</v>
      </c>
      <c r="G660" s="7">
        <v>15</v>
      </c>
      <c r="H660" s="9" t="b">
        <v>0</v>
      </c>
      <c r="I660" s="9">
        <v>0</v>
      </c>
      <c r="J660" s="38" t="str">
        <f>CHOOSE(Table1[[#This Row],[Weekday]]+1,"Sunday","Monday","Tuesday","Wednesday","Thursday","Friday","Saturday")</f>
        <v>Sunday</v>
      </c>
      <c r="K660" s="9">
        <v>1</v>
      </c>
      <c r="L660" s="38" t="str">
        <f>IF(Table1[[#This Row],[Weather_code]]=1,"Clear",IF(Table1[[#This Row],[Weather_code]]=2,"Cloudy",IF(Table1[[#This Row],[Weather_code]]=3,"Light Rain",IF(Table1[[#This Row],[Weather_code]]=4,"Heavy Rain"))))</f>
        <v>Clear</v>
      </c>
      <c r="M660" s="9">
        <v>0.3</v>
      </c>
      <c r="N660" s="11" t="str">
        <f t="shared" si="31"/>
        <v>Winter</v>
      </c>
      <c r="O660" s="11" t="str">
        <f t="shared" si="32"/>
        <v>Weekend</v>
      </c>
      <c r="P660" s="9">
        <v>0.33329999999999999</v>
      </c>
      <c r="Q660" s="7">
        <f>Table1[[#This Row],[A_Temperature]]*41</f>
        <v>13.6653</v>
      </c>
      <c r="R660" s="9">
        <v>0.56000000000000005</v>
      </c>
      <c r="S660" s="9">
        <v>0</v>
      </c>
      <c r="T660" s="9">
        <v>14</v>
      </c>
      <c r="U660" s="9">
        <v>95</v>
      </c>
      <c r="V660" s="19">
        <v>109</v>
      </c>
    </row>
    <row r="661" spans="1:22" s="13" customFormat="1" ht="30" customHeight="1">
      <c r="A661" s="17" t="s">
        <v>60</v>
      </c>
      <c r="B661" s="8">
        <v>40573</v>
      </c>
      <c r="C661" s="8" t="str">
        <f t="shared" si="30"/>
        <v>Sunday</v>
      </c>
      <c r="D661" s="9">
        <v>1</v>
      </c>
      <c r="E661" s="9">
        <v>0</v>
      </c>
      <c r="F661" s="9">
        <v>1</v>
      </c>
      <c r="G661" s="7">
        <v>16</v>
      </c>
      <c r="H661" s="9" t="b">
        <v>0</v>
      </c>
      <c r="I661" s="9">
        <v>0</v>
      </c>
      <c r="J661" s="38" t="str">
        <f>CHOOSE(Table1[[#This Row],[Weekday]]+1,"Sunday","Monday","Tuesday","Wednesday","Thursday","Friday","Saturday")</f>
        <v>Sunday</v>
      </c>
      <c r="K661" s="9">
        <v>1</v>
      </c>
      <c r="L661" s="38" t="str">
        <f>IF(Table1[[#This Row],[Weather_code]]=1,"Clear",IF(Table1[[#This Row],[Weather_code]]=2,"Cloudy",IF(Table1[[#This Row],[Weather_code]]=3,"Light Rain",IF(Table1[[#This Row],[Weather_code]]=4,"Heavy Rain"))))</f>
        <v>Clear</v>
      </c>
      <c r="M661" s="9">
        <v>0.3</v>
      </c>
      <c r="N661" s="11" t="str">
        <f t="shared" si="31"/>
        <v>Winter</v>
      </c>
      <c r="O661" s="11" t="str">
        <f t="shared" si="32"/>
        <v>Weekend</v>
      </c>
      <c r="P661" s="9">
        <v>0.33329999999999999</v>
      </c>
      <c r="Q661" s="7">
        <f>Table1[[#This Row],[A_Temperature]]*41</f>
        <v>13.6653</v>
      </c>
      <c r="R661" s="9">
        <v>0.56000000000000005</v>
      </c>
      <c r="S661" s="9">
        <v>0</v>
      </c>
      <c r="T661" s="9">
        <v>19</v>
      </c>
      <c r="U661" s="9">
        <v>104</v>
      </c>
      <c r="V661" s="19">
        <v>123</v>
      </c>
    </row>
    <row r="662" spans="1:22" s="13" customFormat="1" ht="30" customHeight="1">
      <c r="A662" s="17" t="s">
        <v>61</v>
      </c>
      <c r="B662" s="8">
        <v>40573</v>
      </c>
      <c r="C662" s="8" t="str">
        <f t="shared" si="30"/>
        <v>Sunday</v>
      </c>
      <c r="D662" s="9">
        <v>1</v>
      </c>
      <c r="E662" s="9">
        <v>0</v>
      </c>
      <c r="F662" s="9">
        <v>1</v>
      </c>
      <c r="G662" s="7">
        <v>17</v>
      </c>
      <c r="H662" s="9" t="b">
        <v>0</v>
      </c>
      <c r="I662" s="9">
        <v>0</v>
      </c>
      <c r="J662" s="38" t="str">
        <f>CHOOSE(Table1[[#This Row],[Weekday]]+1,"Sunday","Monday","Tuesday","Wednesday","Thursday","Friday","Saturday")</f>
        <v>Sunday</v>
      </c>
      <c r="K662" s="9">
        <v>1</v>
      </c>
      <c r="L662" s="38" t="str">
        <f>IF(Table1[[#This Row],[Weather_code]]=1,"Clear",IF(Table1[[#This Row],[Weather_code]]=2,"Cloudy",IF(Table1[[#This Row],[Weather_code]]=3,"Light Rain",IF(Table1[[#This Row],[Weather_code]]=4,"Heavy Rain"))))</f>
        <v>Clear</v>
      </c>
      <c r="M662" s="9">
        <v>0.3</v>
      </c>
      <c r="N662" s="11" t="str">
        <f t="shared" si="31"/>
        <v>Winter</v>
      </c>
      <c r="O662" s="11" t="str">
        <f t="shared" si="32"/>
        <v>Weekend</v>
      </c>
      <c r="P662" s="9">
        <v>0.28789999999999999</v>
      </c>
      <c r="Q662" s="7">
        <f>Table1[[#This Row],[A_Temperature]]*41</f>
        <v>11.803899999999999</v>
      </c>
      <c r="R662" s="9">
        <v>0.56000000000000005</v>
      </c>
      <c r="S662" s="9">
        <v>0.19400000000000001</v>
      </c>
      <c r="T662" s="9">
        <v>6</v>
      </c>
      <c r="U662" s="9">
        <v>71</v>
      </c>
      <c r="V662" s="19">
        <v>77</v>
      </c>
    </row>
    <row r="663" spans="1:22" s="13" customFormat="1" ht="30" customHeight="1">
      <c r="A663" s="17" t="s">
        <v>62</v>
      </c>
      <c r="B663" s="8">
        <v>40573</v>
      </c>
      <c r="C663" s="8" t="str">
        <f t="shared" si="30"/>
        <v>Sunday</v>
      </c>
      <c r="D663" s="9">
        <v>1</v>
      </c>
      <c r="E663" s="9">
        <v>0</v>
      </c>
      <c r="F663" s="9">
        <v>1</v>
      </c>
      <c r="G663" s="7">
        <v>18</v>
      </c>
      <c r="H663" s="9" t="b">
        <v>0</v>
      </c>
      <c r="I663" s="9">
        <v>0</v>
      </c>
      <c r="J663" s="38" t="str">
        <f>CHOOSE(Table1[[#This Row],[Weekday]]+1,"Sunday","Monday","Tuesday","Wednesday","Thursday","Friday","Saturday")</f>
        <v>Sunday</v>
      </c>
      <c r="K663" s="9">
        <v>1</v>
      </c>
      <c r="L663" s="38" t="str">
        <f>IF(Table1[[#This Row],[Weather_code]]=1,"Clear",IF(Table1[[#This Row],[Weather_code]]=2,"Cloudy",IF(Table1[[#This Row],[Weather_code]]=3,"Light Rain",IF(Table1[[#This Row],[Weather_code]]=4,"Heavy Rain"))))</f>
        <v>Clear</v>
      </c>
      <c r="M663" s="9">
        <v>0.26</v>
      </c>
      <c r="N663" s="11" t="str">
        <f t="shared" si="31"/>
        <v>Winter</v>
      </c>
      <c r="O663" s="11" t="str">
        <f t="shared" si="32"/>
        <v>Weekend</v>
      </c>
      <c r="P663" s="9">
        <v>0.2576</v>
      </c>
      <c r="Q663" s="7">
        <f>Table1[[#This Row],[A_Temperature]]*41</f>
        <v>10.5616</v>
      </c>
      <c r="R663" s="9">
        <v>0.65</v>
      </c>
      <c r="S663" s="9">
        <v>0.16420000000000001</v>
      </c>
      <c r="T663" s="9">
        <v>8</v>
      </c>
      <c r="U663" s="9">
        <v>57</v>
      </c>
      <c r="V663" s="19">
        <v>65</v>
      </c>
    </row>
    <row r="664" spans="1:22" s="13" customFormat="1" ht="30" customHeight="1">
      <c r="A664" s="17" t="s">
        <v>63</v>
      </c>
      <c r="B664" s="8">
        <v>40573</v>
      </c>
      <c r="C664" s="8" t="str">
        <f t="shared" si="30"/>
        <v>Sunday</v>
      </c>
      <c r="D664" s="9">
        <v>1</v>
      </c>
      <c r="E664" s="9">
        <v>0</v>
      </c>
      <c r="F664" s="9">
        <v>1</v>
      </c>
      <c r="G664" s="7">
        <v>19</v>
      </c>
      <c r="H664" s="9" t="b">
        <v>0</v>
      </c>
      <c r="I664" s="9">
        <v>0</v>
      </c>
      <c r="J664" s="38" t="str">
        <f>CHOOSE(Table1[[#This Row],[Weekday]]+1,"Sunday","Monday","Tuesday","Wednesday","Thursday","Friday","Saturday")</f>
        <v>Sunday</v>
      </c>
      <c r="K664" s="9">
        <v>1</v>
      </c>
      <c r="L664" s="38" t="str">
        <f>IF(Table1[[#This Row],[Weather_code]]=1,"Clear",IF(Table1[[#This Row],[Weather_code]]=2,"Cloudy",IF(Table1[[#This Row],[Weather_code]]=3,"Light Rain",IF(Table1[[#This Row],[Weather_code]]=4,"Heavy Rain"))))</f>
        <v>Clear</v>
      </c>
      <c r="M664" s="9">
        <v>0.26</v>
      </c>
      <c r="N664" s="11" t="str">
        <f t="shared" si="31"/>
        <v>Winter</v>
      </c>
      <c r="O664" s="11" t="str">
        <f t="shared" si="32"/>
        <v>Weekend</v>
      </c>
      <c r="P664" s="9">
        <v>0.2576</v>
      </c>
      <c r="Q664" s="7">
        <f>Table1[[#This Row],[A_Temperature]]*41</f>
        <v>10.5616</v>
      </c>
      <c r="R664" s="9">
        <v>0.65</v>
      </c>
      <c r="S664" s="9">
        <v>0.19400000000000001</v>
      </c>
      <c r="T664" s="9">
        <v>9</v>
      </c>
      <c r="U664" s="9">
        <v>46</v>
      </c>
      <c r="V664" s="19">
        <v>55</v>
      </c>
    </row>
    <row r="665" spans="1:22" s="13" customFormat="1" ht="30" customHeight="1">
      <c r="A665" s="17" t="s">
        <v>64</v>
      </c>
      <c r="B665" s="8">
        <v>40573</v>
      </c>
      <c r="C665" s="8" t="str">
        <f t="shared" si="30"/>
        <v>Sunday</v>
      </c>
      <c r="D665" s="9">
        <v>1</v>
      </c>
      <c r="E665" s="9">
        <v>0</v>
      </c>
      <c r="F665" s="9">
        <v>1</v>
      </c>
      <c r="G665" s="7">
        <v>20</v>
      </c>
      <c r="H665" s="9" t="b">
        <v>0</v>
      </c>
      <c r="I665" s="9">
        <v>0</v>
      </c>
      <c r="J665" s="38" t="str">
        <f>CHOOSE(Table1[[#This Row],[Weekday]]+1,"Sunday","Monday","Tuesday","Wednesday","Thursday","Friday","Saturday")</f>
        <v>Sunday</v>
      </c>
      <c r="K665" s="9">
        <v>2</v>
      </c>
      <c r="L665" s="38" t="str">
        <f>IF(Table1[[#This Row],[Weather_code]]=1,"Clear",IF(Table1[[#This Row],[Weather_code]]=2,"Cloudy",IF(Table1[[#This Row],[Weather_code]]=3,"Light Rain",IF(Table1[[#This Row],[Weather_code]]=4,"Heavy Rain"))))</f>
        <v>Cloudy</v>
      </c>
      <c r="M665" s="9">
        <v>0.26</v>
      </c>
      <c r="N665" s="11" t="str">
        <f t="shared" si="31"/>
        <v>Winter</v>
      </c>
      <c r="O665" s="11" t="str">
        <f t="shared" si="32"/>
        <v>Weekend</v>
      </c>
      <c r="P665" s="9">
        <v>0.2727</v>
      </c>
      <c r="Q665" s="7">
        <f>Table1[[#This Row],[A_Temperature]]*41</f>
        <v>11.1807</v>
      </c>
      <c r="R665" s="9">
        <v>0.65</v>
      </c>
      <c r="S665" s="9">
        <v>0.1045</v>
      </c>
      <c r="T665" s="9">
        <v>3</v>
      </c>
      <c r="U665" s="9">
        <v>30</v>
      </c>
      <c r="V665" s="19">
        <v>33</v>
      </c>
    </row>
    <row r="666" spans="1:22" s="13" customFormat="1" ht="30" customHeight="1">
      <c r="A666" s="17" t="s">
        <v>65</v>
      </c>
      <c r="B666" s="8">
        <v>40573</v>
      </c>
      <c r="C666" s="8" t="str">
        <f t="shared" si="30"/>
        <v>Sunday</v>
      </c>
      <c r="D666" s="9">
        <v>1</v>
      </c>
      <c r="E666" s="9">
        <v>0</v>
      </c>
      <c r="F666" s="9">
        <v>1</v>
      </c>
      <c r="G666" s="7">
        <v>21</v>
      </c>
      <c r="H666" s="9" t="b">
        <v>0</v>
      </c>
      <c r="I666" s="9">
        <v>0</v>
      </c>
      <c r="J666" s="38" t="str">
        <f>CHOOSE(Table1[[#This Row],[Weekday]]+1,"Sunday","Monday","Tuesday","Wednesday","Thursday","Friday","Saturday")</f>
        <v>Sunday</v>
      </c>
      <c r="K666" s="9">
        <v>2</v>
      </c>
      <c r="L666" s="38" t="str">
        <f>IF(Table1[[#This Row],[Weather_code]]=1,"Clear",IF(Table1[[#This Row],[Weather_code]]=2,"Cloudy",IF(Table1[[#This Row],[Weather_code]]=3,"Light Rain",IF(Table1[[#This Row],[Weather_code]]=4,"Heavy Rain"))))</f>
        <v>Cloudy</v>
      </c>
      <c r="M666" s="9">
        <v>0.24</v>
      </c>
      <c r="N666" s="11" t="str">
        <f t="shared" si="31"/>
        <v>Winter</v>
      </c>
      <c r="O666" s="11" t="str">
        <f t="shared" si="32"/>
        <v>Weekend</v>
      </c>
      <c r="P666" s="9">
        <v>0.2424</v>
      </c>
      <c r="Q666" s="7">
        <f>Table1[[#This Row],[A_Temperature]]*41</f>
        <v>9.9383999999999997</v>
      </c>
      <c r="R666" s="9">
        <v>0.7</v>
      </c>
      <c r="S666" s="9">
        <v>0.16420000000000001</v>
      </c>
      <c r="T666" s="9">
        <v>3</v>
      </c>
      <c r="U666" s="9">
        <v>25</v>
      </c>
      <c r="V666" s="19">
        <v>28</v>
      </c>
    </row>
    <row r="667" spans="1:22" s="13" customFormat="1" ht="30" customHeight="1">
      <c r="A667" s="17" t="s">
        <v>66</v>
      </c>
      <c r="B667" s="8">
        <v>40573</v>
      </c>
      <c r="C667" s="8" t="str">
        <f t="shared" si="30"/>
        <v>Sunday</v>
      </c>
      <c r="D667" s="9">
        <v>1</v>
      </c>
      <c r="E667" s="9">
        <v>0</v>
      </c>
      <c r="F667" s="9">
        <v>1</v>
      </c>
      <c r="G667" s="7">
        <v>22</v>
      </c>
      <c r="H667" s="9" t="b">
        <v>0</v>
      </c>
      <c r="I667" s="9">
        <v>0</v>
      </c>
      <c r="J667" s="38" t="str">
        <f>CHOOSE(Table1[[#This Row],[Weekday]]+1,"Sunday","Monday","Tuesday","Wednesday","Thursday","Friday","Saturday")</f>
        <v>Sunday</v>
      </c>
      <c r="K667" s="9">
        <v>2</v>
      </c>
      <c r="L667" s="38" t="str">
        <f>IF(Table1[[#This Row],[Weather_code]]=1,"Clear",IF(Table1[[#This Row],[Weather_code]]=2,"Cloudy",IF(Table1[[#This Row],[Weather_code]]=3,"Light Rain",IF(Table1[[#This Row],[Weather_code]]=4,"Heavy Rain"))))</f>
        <v>Cloudy</v>
      </c>
      <c r="M667" s="9">
        <v>0.24</v>
      </c>
      <c r="N667" s="11" t="str">
        <f t="shared" si="31"/>
        <v>Winter</v>
      </c>
      <c r="O667" s="11" t="str">
        <f t="shared" si="32"/>
        <v>Weekend</v>
      </c>
      <c r="P667" s="9">
        <v>0.2273</v>
      </c>
      <c r="Q667" s="7">
        <f>Table1[[#This Row],[A_Temperature]]*41</f>
        <v>9.3193000000000001</v>
      </c>
      <c r="R667" s="9">
        <v>0.7</v>
      </c>
      <c r="S667" s="9">
        <v>0.19400000000000001</v>
      </c>
      <c r="T667" s="9">
        <v>2</v>
      </c>
      <c r="U667" s="9">
        <v>19</v>
      </c>
      <c r="V667" s="19">
        <v>21</v>
      </c>
    </row>
    <row r="668" spans="1:22" s="13" customFormat="1" ht="30" customHeight="1">
      <c r="A668" s="17" t="s">
        <v>67</v>
      </c>
      <c r="B668" s="8">
        <v>40573</v>
      </c>
      <c r="C668" s="8" t="str">
        <f t="shared" si="30"/>
        <v>Sunday</v>
      </c>
      <c r="D668" s="9">
        <v>1</v>
      </c>
      <c r="E668" s="9">
        <v>0</v>
      </c>
      <c r="F668" s="9">
        <v>1</v>
      </c>
      <c r="G668" s="7">
        <v>23</v>
      </c>
      <c r="H668" s="9" t="b">
        <v>0</v>
      </c>
      <c r="I668" s="9">
        <v>0</v>
      </c>
      <c r="J668" s="38" t="str">
        <f>CHOOSE(Table1[[#This Row],[Weekday]]+1,"Sunday","Monday","Tuesday","Wednesday","Thursday","Friday","Saturday")</f>
        <v>Sunday</v>
      </c>
      <c r="K668" s="9">
        <v>2</v>
      </c>
      <c r="L668" s="38" t="str">
        <f>IF(Table1[[#This Row],[Weather_code]]=1,"Clear",IF(Table1[[#This Row],[Weather_code]]=2,"Cloudy",IF(Table1[[#This Row],[Weather_code]]=3,"Light Rain",IF(Table1[[#This Row],[Weather_code]]=4,"Heavy Rain"))))</f>
        <v>Cloudy</v>
      </c>
      <c r="M668" s="9">
        <v>0.24</v>
      </c>
      <c r="N668" s="11" t="str">
        <f t="shared" si="31"/>
        <v>Winter</v>
      </c>
      <c r="O668" s="11" t="str">
        <f t="shared" si="32"/>
        <v>Weekend</v>
      </c>
      <c r="P668" s="9">
        <v>0.21210000000000001</v>
      </c>
      <c r="Q668" s="7">
        <f>Table1[[#This Row],[A_Temperature]]*41</f>
        <v>8.6961000000000013</v>
      </c>
      <c r="R668" s="9">
        <v>0.65</v>
      </c>
      <c r="S668" s="9">
        <v>0.28360000000000002</v>
      </c>
      <c r="T668" s="9">
        <v>5</v>
      </c>
      <c r="U668" s="9">
        <v>16</v>
      </c>
      <c r="V668" s="19">
        <v>21</v>
      </c>
    </row>
    <row r="669" spans="1:22" s="13" customFormat="1" ht="30" customHeight="1">
      <c r="A669" s="17" t="s">
        <v>68</v>
      </c>
      <c r="B669" s="8">
        <v>40574</v>
      </c>
      <c r="C669" s="8" t="str">
        <f t="shared" ref="C669:C732" si="33">TEXT(B669,"DDDD")</f>
        <v>Monday</v>
      </c>
      <c r="D669" s="9">
        <v>1</v>
      </c>
      <c r="E669" s="9">
        <v>0</v>
      </c>
      <c r="F669" s="9">
        <v>1</v>
      </c>
      <c r="G669" s="7">
        <v>0</v>
      </c>
      <c r="H669" s="9" t="b">
        <v>0</v>
      </c>
      <c r="I669" s="9">
        <v>1</v>
      </c>
      <c r="J669" s="38" t="str">
        <f>CHOOSE(Table1[[#This Row],[Weekday]]+1,"Sunday","Monday","Tuesday","Wednesday","Thursday","Friday","Saturday")</f>
        <v>Monday</v>
      </c>
      <c r="K669" s="9">
        <v>2</v>
      </c>
      <c r="L669" s="38" t="str">
        <f>IF(Table1[[#This Row],[Weather_code]]=1,"Clear",IF(Table1[[#This Row],[Weather_code]]=2,"Cloudy",IF(Table1[[#This Row],[Weather_code]]=3,"Light Rain",IF(Table1[[#This Row],[Weather_code]]=4,"Heavy Rain"))))</f>
        <v>Cloudy</v>
      </c>
      <c r="M669" s="9">
        <v>0.24</v>
      </c>
      <c r="N669" s="11" t="str">
        <f t="shared" si="31"/>
        <v>Winter</v>
      </c>
      <c r="O669" s="11" t="str">
        <f t="shared" si="32"/>
        <v>Weekday</v>
      </c>
      <c r="P669" s="9">
        <v>0.2273</v>
      </c>
      <c r="Q669" s="7">
        <f>Table1[[#This Row],[A_Temperature]]*41</f>
        <v>9.3193000000000001</v>
      </c>
      <c r="R669" s="9">
        <v>0.65</v>
      </c>
      <c r="S669" s="9">
        <v>0.22389999999999999</v>
      </c>
      <c r="T669" s="9">
        <v>1</v>
      </c>
      <c r="U669" s="9">
        <v>6</v>
      </c>
      <c r="V669" s="19">
        <v>7</v>
      </c>
    </row>
    <row r="670" spans="1:22" s="13" customFormat="1" ht="30" customHeight="1">
      <c r="A670" s="17" t="s">
        <v>69</v>
      </c>
      <c r="B670" s="8">
        <v>40574</v>
      </c>
      <c r="C670" s="8" t="str">
        <f t="shared" si="33"/>
        <v>Monday</v>
      </c>
      <c r="D670" s="9">
        <v>1</v>
      </c>
      <c r="E670" s="9">
        <v>0</v>
      </c>
      <c r="F670" s="9">
        <v>1</v>
      </c>
      <c r="G670" s="7">
        <v>1</v>
      </c>
      <c r="H670" s="9" t="b">
        <v>0</v>
      </c>
      <c r="I670" s="9">
        <v>1</v>
      </c>
      <c r="J670" s="38" t="str">
        <f>CHOOSE(Table1[[#This Row],[Weekday]]+1,"Sunday","Monday","Tuesday","Wednesday","Thursday","Friday","Saturday")</f>
        <v>Monday</v>
      </c>
      <c r="K670" s="9">
        <v>1</v>
      </c>
      <c r="L670" s="38" t="str">
        <f>IF(Table1[[#This Row],[Weather_code]]=1,"Clear",IF(Table1[[#This Row],[Weather_code]]=2,"Cloudy",IF(Table1[[#This Row],[Weather_code]]=3,"Light Rain",IF(Table1[[#This Row],[Weather_code]]=4,"Heavy Rain"))))</f>
        <v>Clear</v>
      </c>
      <c r="M670" s="9">
        <v>0.22</v>
      </c>
      <c r="N670" s="11" t="str">
        <f t="shared" si="31"/>
        <v>Winter</v>
      </c>
      <c r="O670" s="11" t="str">
        <f t="shared" si="32"/>
        <v>Weekday</v>
      </c>
      <c r="P670" s="9">
        <v>0.21210000000000001</v>
      </c>
      <c r="Q670" s="7">
        <f>Table1[[#This Row],[A_Temperature]]*41</f>
        <v>8.6961000000000013</v>
      </c>
      <c r="R670" s="9">
        <v>0.64</v>
      </c>
      <c r="S670" s="9">
        <v>0.25369999999999998</v>
      </c>
      <c r="T670" s="9">
        <v>2</v>
      </c>
      <c r="U670" s="9">
        <v>5</v>
      </c>
      <c r="V670" s="19">
        <v>7</v>
      </c>
    </row>
    <row r="671" spans="1:22" s="13" customFormat="1" ht="30" customHeight="1">
      <c r="A671" s="17" t="s">
        <v>70</v>
      </c>
      <c r="B671" s="8">
        <v>40574</v>
      </c>
      <c r="C671" s="8" t="str">
        <f t="shared" si="33"/>
        <v>Monday</v>
      </c>
      <c r="D671" s="9">
        <v>1</v>
      </c>
      <c r="E671" s="9">
        <v>0</v>
      </c>
      <c r="F671" s="9">
        <v>1</v>
      </c>
      <c r="G671" s="7">
        <v>2</v>
      </c>
      <c r="H671" s="9" t="b">
        <v>0</v>
      </c>
      <c r="I671" s="9">
        <v>1</v>
      </c>
      <c r="J671" s="38" t="str">
        <f>CHOOSE(Table1[[#This Row],[Weekday]]+1,"Sunday","Monday","Tuesday","Wednesday","Thursday","Friday","Saturday")</f>
        <v>Monday</v>
      </c>
      <c r="K671" s="9">
        <v>1</v>
      </c>
      <c r="L671" s="38" t="str">
        <f>IF(Table1[[#This Row],[Weather_code]]=1,"Clear",IF(Table1[[#This Row],[Weather_code]]=2,"Cloudy",IF(Table1[[#This Row],[Weather_code]]=3,"Light Rain",IF(Table1[[#This Row],[Weather_code]]=4,"Heavy Rain"))))</f>
        <v>Clear</v>
      </c>
      <c r="M671" s="9">
        <v>0.22</v>
      </c>
      <c r="N671" s="11" t="str">
        <f t="shared" si="31"/>
        <v>Winter</v>
      </c>
      <c r="O671" s="11" t="str">
        <f t="shared" si="32"/>
        <v>Weekday</v>
      </c>
      <c r="P671" s="9">
        <v>0.2273</v>
      </c>
      <c r="Q671" s="7">
        <f>Table1[[#This Row],[A_Temperature]]*41</f>
        <v>9.3193000000000001</v>
      </c>
      <c r="R671" s="9">
        <v>0.64</v>
      </c>
      <c r="S671" s="9">
        <v>0.19400000000000001</v>
      </c>
      <c r="T671" s="9">
        <v>0</v>
      </c>
      <c r="U671" s="9">
        <v>1</v>
      </c>
      <c r="V671" s="19">
        <v>1</v>
      </c>
    </row>
    <row r="672" spans="1:22" s="13" customFormat="1" ht="30" customHeight="1">
      <c r="A672" s="17" t="s">
        <v>71</v>
      </c>
      <c r="B672" s="8">
        <v>40574</v>
      </c>
      <c r="C672" s="8" t="str">
        <f t="shared" si="33"/>
        <v>Monday</v>
      </c>
      <c r="D672" s="9">
        <v>1</v>
      </c>
      <c r="E672" s="9">
        <v>0</v>
      </c>
      <c r="F672" s="9">
        <v>1</v>
      </c>
      <c r="G672" s="7">
        <v>3</v>
      </c>
      <c r="H672" s="9" t="b">
        <v>0</v>
      </c>
      <c r="I672" s="9">
        <v>1</v>
      </c>
      <c r="J672" s="38" t="str">
        <f>CHOOSE(Table1[[#This Row],[Weekday]]+1,"Sunday","Monday","Tuesday","Wednesday","Thursday","Friday","Saturday")</f>
        <v>Monday</v>
      </c>
      <c r="K672" s="9">
        <v>1</v>
      </c>
      <c r="L672" s="38" t="str">
        <f>IF(Table1[[#This Row],[Weather_code]]=1,"Clear",IF(Table1[[#This Row],[Weather_code]]=2,"Cloudy",IF(Table1[[#This Row],[Weather_code]]=3,"Light Rain",IF(Table1[[#This Row],[Weather_code]]=4,"Heavy Rain"))))</f>
        <v>Clear</v>
      </c>
      <c r="M672" s="9">
        <v>0.22</v>
      </c>
      <c r="N672" s="11" t="str">
        <f t="shared" si="31"/>
        <v>Winter</v>
      </c>
      <c r="O672" s="11" t="str">
        <f t="shared" si="32"/>
        <v>Weekday</v>
      </c>
      <c r="P672" s="9">
        <v>0.2273</v>
      </c>
      <c r="Q672" s="7">
        <f>Table1[[#This Row],[A_Temperature]]*41</f>
        <v>9.3193000000000001</v>
      </c>
      <c r="R672" s="9">
        <v>0.64</v>
      </c>
      <c r="S672" s="9">
        <v>0.19400000000000001</v>
      </c>
      <c r="T672" s="9">
        <v>0</v>
      </c>
      <c r="U672" s="9">
        <v>2</v>
      </c>
      <c r="V672" s="19">
        <v>2</v>
      </c>
    </row>
    <row r="673" spans="1:22" s="13" customFormat="1" ht="30" customHeight="1">
      <c r="A673" s="17" t="s">
        <v>72</v>
      </c>
      <c r="B673" s="8">
        <v>40574</v>
      </c>
      <c r="C673" s="8" t="str">
        <f t="shared" si="33"/>
        <v>Monday</v>
      </c>
      <c r="D673" s="9">
        <v>1</v>
      </c>
      <c r="E673" s="9">
        <v>0</v>
      </c>
      <c r="F673" s="9">
        <v>1</v>
      </c>
      <c r="G673" s="7">
        <v>4</v>
      </c>
      <c r="H673" s="9" t="b">
        <v>0</v>
      </c>
      <c r="I673" s="9">
        <v>1</v>
      </c>
      <c r="J673" s="38" t="str">
        <f>CHOOSE(Table1[[#This Row],[Weekday]]+1,"Sunday","Monday","Tuesday","Wednesday","Thursday","Friday","Saturday")</f>
        <v>Monday</v>
      </c>
      <c r="K673" s="9">
        <v>1</v>
      </c>
      <c r="L673" s="38" t="str">
        <f>IF(Table1[[#This Row],[Weather_code]]=1,"Clear",IF(Table1[[#This Row],[Weather_code]]=2,"Cloudy",IF(Table1[[#This Row],[Weather_code]]=3,"Light Rain",IF(Table1[[#This Row],[Weather_code]]=4,"Heavy Rain"))))</f>
        <v>Clear</v>
      </c>
      <c r="M673" s="9">
        <v>0.2</v>
      </c>
      <c r="N673" s="11" t="str">
        <f t="shared" si="31"/>
        <v>Winter</v>
      </c>
      <c r="O673" s="11" t="str">
        <f t="shared" si="32"/>
        <v>Weekday</v>
      </c>
      <c r="P673" s="9">
        <v>0.19700000000000001</v>
      </c>
      <c r="Q673" s="7">
        <f>Table1[[#This Row],[A_Temperature]]*41</f>
        <v>8.077</v>
      </c>
      <c r="R673" s="9">
        <v>0.59</v>
      </c>
      <c r="S673" s="9">
        <v>0.22389999999999999</v>
      </c>
      <c r="T673" s="9">
        <v>0</v>
      </c>
      <c r="U673" s="9">
        <v>2</v>
      </c>
      <c r="V673" s="19">
        <v>2</v>
      </c>
    </row>
    <row r="674" spans="1:22" s="13" customFormat="1" ht="30" customHeight="1">
      <c r="A674" s="17" t="s">
        <v>73</v>
      </c>
      <c r="B674" s="8">
        <v>40574</v>
      </c>
      <c r="C674" s="8" t="str">
        <f t="shared" si="33"/>
        <v>Monday</v>
      </c>
      <c r="D674" s="9">
        <v>1</v>
      </c>
      <c r="E674" s="9">
        <v>0</v>
      </c>
      <c r="F674" s="9">
        <v>1</v>
      </c>
      <c r="G674" s="7">
        <v>5</v>
      </c>
      <c r="H674" s="9" t="b">
        <v>0</v>
      </c>
      <c r="I674" s="9">
        <v>1</v>
      </c>
      <c r="J674" s="38" t="str">
        <f>CHOOSE(Table1[[#This Row],[Weekday]]+1,"Sunday","Monday","Tuesday","Wednesday","Thursday","Friday","Saturday")</f>
        <v>Monday</v>
      </c>
      <c r="K674" s="9">
        <v>1</v>
      </c>
      <c r="L674" s="38" t="str">
        <f>IF(Table1[[#This Row],[Weather_code]]=1,"Clear",IF(Table1[[#This Row],[Weather_code]]=2,"Cloudy",IF(Table1[[#This Row],[Weather_code]]=3,"Light Rain",IF(Table1[[#This Row],[Weather_code]]=4,"Heavy Rain"))))</f>
        <v>Clear</v>
      </c>
      <c r="M674" s="9">
        <v>0.18</v>
      </c>
      <c r="N674" s="11" t="str">
        <f t="shared" si="31"/>
        <v>Winter</v>
      </c>
      <c r="O674" s="11" t="str">
        <f t="shared" si="32"/>
        <v>Weekday</v>
      </c>
      <c r="P674" s="9">
        <v>0.16669999999999999</v>
      </c>
      <c r="Q674" s="7">
        <f>Table1[[#This Row],[A_Temperature]]*41</f>
        <v>6.8346999999999998</v>
      </c>
      <c r="R674" s="9">
        <v>0.64</v>
      </c>
      <c r="S674" s="9">
        <v>0.28360000000000002</v>
      </c>
      <c r="T674" s="9">
        <v>0</v>
      </c>
      <c r="U674" s="9">
        <v>8</v>
      </c>
      <c r="V674" s="19">
        <v>8</v>
      </c>
    </row>
    <row r="675" spans="1:22" s="13" customFormat="1" ht="30" customHeight="1">
      <c r="A675" s="17" t="s">
        <v>74</v>
      </c>
      <c r="B675" s="8">
        <v>40574</v>
      </c>
      <c r="C675" s="8" t="str">
        <f t="shared" si="33"/>
        <v>Monday</v>
      </c>
      <c r="D675" s="9">
        <v>1</v>
      </c>
      <c r="E675" s="9">
        <v>0</v>
      </c>
      <c r="F675" s="9">
        <v>1</v>
      </c>
      <c r="G675" s="7">
        <v>6</v>
      </c>
      <c r="H675" s="9" t="b">
        <v>0</v>
      </c>
      <c r="I675" s="9">
        <v>1</v>
      </c>
      <c r="J675" s="38" t="str">
        <f>CHOOSE(Table1[[#This Row],[Weekday]]+1,"Sunday","Monday","Tuesday","Wednesday","Thursday","Friday","Saturday")</f>
        <v>Monday</v>
      </c>
      <c r="K675" s="9">
        <v>1</v>
      </c>
      <c r="L675" s="38" t="str">
        <f>IF(Table1[[#This Row],[Weather_code]]=1,"Clear",IF(Table1[[#This Row],[Weather_code]]=2,"Cloudy",IF(Table1[[#This Row],[Weather_code]]=3,"Light Rain",IF(Table1[[#This Row],[Weather_code]]=4,"Heavy Rain"))))</f>
        <v>Clear</v>
      </c>
      <c r="M675" s="9">
        <v>0.16</v>
      </c>
      <c r="N675" s="11" t="str">
        <f t="shared" si="31"/>
        <v>Winter</v>
      </c>
      <c r="O675" s="11" t="str">
        <f t="shared" si="32"/>
        <v>Weekday</v>
      </c>
      <c r="P675" s="9">
        <v>0.13639999999999999</v>
      </c>
      <c r="Q675" s="7">
        <f>Table1[[#This Row],[A_Temperature]]*41</f>
        <v>5.5923999999999996</v>
      </c>
      <c r="R675" s="9">
        <v>0.69</v>
      </c>
      <c r="S675" s="9">
        <v>0.32840000000000003</v>
      </c>
      <c r="T675" s="9">
        <v>0</v>
      </c>
      <c r="U675" s="9">
        <v>37</v>
      </c>
      <c r="V675" s="19">
        <v>37</v>
      </c>
    </row>
    <row r="676" spans="1:22" s="13" customFormat="1" ht="30" customHeight="1">
      <c r="A676" s="17" t="s">
        <v>75</v>
      </c>
      <c r="B676" s="8">
        <v>40574</v>
      </c>
      <c r="C676" s="8" t="str">
        <f t="shared" si="33"/>
        <v>Monday</v>
      </c>
      <c r="D676" s="9">
        <v>1</v>
      </c>
      <c r="E676" s="9">
        <v>0</v>
      </c>
      <c r="F676" s="9">
        <v>1</v>
      </c>
      <c r="G676" s="7">
        <v>7</v>
      </c>
      <c r="H676" s="9" t="b">
        <v>0</v>
      </c>
      <c r="I676" s="9">
        <v>1</v>
      </c>
      <c r="J676" s="38" t="str">
        <f>CHOOSE(Table1[[#This Row],[Weekday]]+1,"Sunday","Monday","Tuesday","Wednesday","Thursday","Friday","Saturday")</f>
        <v>Monday</v>
      </c>
      <c r="K676" s="9">
        <v>2</v>
      </c>
      <c r="L676" s="38" t="str">
        <f>IF(Table1[[#This Row],[Weather_code]]=1,"Clear",IF(Table1[[#This Row],[Weather_code]]=2,"Cloudy",IF(Table1[[#This Row],[Weather_code]]=3,"Light Rain",IF(Table1[[#This Row],[Weather_code]]=4,"Heavy Rain"))))</f>
        <v>Cloudy</v>
      </c>
      <c r="M676" s="9">
        <v>0.16</v>
      </c>
      <c r="N676" s="11" t="str">
        <f t="shared" si="31"/>
        <v>Winter</v>
      </c>
      <c r="O676" s="11" t="str">
        <f t="shared" si="32"/>
        <v>Weekday</v>
      </c>
      <c r="P676" s="9">
        <v>0.13639999999999999</v>
      </c>
      <c r="Q676" s="7">
        <f>Table1[[#This Row],[A_Temperature]]*41</f>
        <v>5.5923999999999996</v>
      </c>
      <c r="R676" s="9">
        <v>0.64</v>
      </c>
      <c r="S676" s="9">
        <v>0.28360000000000002</v>
      </c>
      <c r="T676" s="9">
        <v>1</v>
      </c>
      <c r="U676" s="9">
        <v>71</v>
      </c>
      <c r="V676" s="19">
        <v>72</v>
      </c>
    </row>
    <row r="677" spans="1:22" s="13" customFormat="1" ht="30" customHeight="1">
      <c r="A677" s="17" t="s">
        <v>76</v>
      </c>
      <c r="B677" s="8">
        <v>40574</v>
      </c>
      <c r="C677" s="8" t="str">
        <f t="shared" si="33"/>
        <v>Monday</v>
      </c>
      <c r="D677" s="9">
        <v>1</v>
      </c>
      <c r="E677" s="9">
        <v>0</v>
      </c>
      <c r="F677" s="9">
        <v>1</v>
      </c>
      <c r="G677" s="7">
        <v>8</v>
      </c>
      <c r="H677" s="9" t="b">
        <v>0</v>
      </c>
      <c r="I677" s="9">
        <v>1</v>
      </c>
      <c r="J677" s="38" t="str">
        <f>CHOOSE(Table1[[#This Row],[Weekday]]+1,"Sunday","Monday","Tuesday","Wednesday","Thursday","Friday","Saturday")</f>
        <v>Monday</v>
      </c>
      <c r="K677" s="9">
        <v>2</v>
      </c>
      <c r="L677" s="38" t="str">
        <f>IF(Table1[[#This Row],[Weather_code]]=1,"Clear",IF(Table1[[#This Row],[Weather_code]]=2,"Cloudy",IF(Table1[[#This Row],[Weather_code]]=3,"Light Rain",IF(Table1[[#This Row],[Weather_code]]=4,"Heavy Rain"))))</f>
        <v>Cloudy</v>
      </c>
      <c r="M677" s="9">
        <v>0.16</v>
      </c>
      <c r="N677" s="11" t="str">
        <f t="shared" si="31"/>
        <v>Winter</v>
      </c>
      <c r="O677" s="11" t="str">
        <f t="shared" si="32"/>
        <v>Weekday</v>
      </c>
      <c r="P677" s="9">
        <v>0.13639999999999999</v>
      </c>
      <c r="Q677" s="7">
        <f>Table1[[#This Row],[A_Temperature]]*41</f>
        <v>5.5923999999999996</v>
      </c>
      <c r="R677" s="9">
        <v>0.59</v>
      </c>
      <c r="S677" s="9">
        <v>0.28360000000000002</v>
      </c>
      <c r="T677" s="9">
        <v>3</v>
      </c>
      <c r="U677" s="9">
        <v>182</v>
      </c>
      <c r="V677" s="19">
        <v>185</v>
      </c>
    </row>
    <row r="678" spans="1:22" s="13" customFormat="1" ht="30" customHeight="1">
      <c r="A678" s="17" t="s">
        <v>77</v>
      </c>
      <c r="B678" s="8">
        <v>40574</v>
      </c>
      <c r="C678" s="8" t="str">
        <f t="shared" si="33"/>
        <v>Monday</v>
      </c>
      <c r="D678" s="9">
        <v>1</v>
      </c>
      <c r="E678" s="9">
        <v>0</v>
      </c>
      <c r="F678" s="9">
        <v>1</v>
      </c>
      <c r="G678" s="7">
        <v>9</v>
      </c>
      <c r="H678" s="9" t="b">
        <v>0</v>
      </c>
      <c r="I678" s="9">
        <v>1</v>
      </c>
      <c r="J678" s="38" t="str">
        <f>CHOOSE(Table1[[#This Row],[Weekday]]+1,"Sunday","Monday","Tuesday","Wednesday","Thursday","Friday","Saturday")</f>
        <v>Monday</v>
      </c>
      <c r="K678" s="9">
        <v>2</v>
      </c>
      <c r="L678" s="38" t="str">
        <f>IF(Table1[[#This Row],[Weather_code]]=1,"Clear",IF(Table1[[#This Row],[Weather_code]]=2,"Cloudy",IF(Table1[[#This Row],[Weather_code]]=3,"Light Rain",IF(Table1[[#This Row],[Weather_code]]=4,"Heavy Rain"))))</f>
        <v>Cloudy</v>
      </c>
      <c r="M678" s="9">
        <v>0.16</v>
      </c>
      <c r="N678" s="11" t="str">
        <f t="shared" si="31"/>
        <v>Winter</v>
      </c>
      <c r="O678" s="11" t="str">
        <f t="shared" si="32"/>
        <v>Weekday</v>
      </c>
      <c r="P678" s="9">
        <v>0.13639999999999999</v>
      </c>
      <c r="Q678" s="7">
        <f>Table1[[#This Row],[A_Temperature]]*41</f>
        <v>5.5923999999999996</v>
      </c>
      <c r="R678" s="9">
        <v>0.59</v>
      </c>
      <c r="S678" s="9">
        <v>0.29849999999999999</v>
      </c>
      <c r="T678" s="9">
        <v>0</v>
      </c>
      <c r="U678" s="9">
        <v>112</v>
      </c>
      <c r="V678" s="19">
        <v>112</v>
      </c>
    </row>
    <row r="679" spans="1:22" s="13" customFormat="1" ht="30" customHeight="1">
      <c r="A679" s="17" t="s">
        <v>78</v>
      </c>
      <c r="B679" s="8">
        <v>40574</v>
      </c>
      <c r="C679" s="8" t="str">
        <f t="shared" si="33"/>
        <v>Monday</v>
      </c>
      <c r="D679" s="9">
        <v>1</v>
      </c>
      <c r="E679" s="9">
        <v>0</v>
      </c>
      <c r="F679" s="9">
        <v>1</v>
      </c>
      <c r="G679" s="7">
        <v>10</v>
      </c>
      <c r="H679" s="9" t="b">
        <v>0</v>
      </c>
      <c r="I679" s="9">
        <v>1</v>
      </c>
      <c r="J679" s="38" t="str">
        <f>CHOOSE(Table1[[#This Row],[Weekday]]+1,"Sunday","Monday","Tuesday","Wednesday","Thursday","Friday","Saturday")</f>
        <v>Monday</v>
      </c>
      <c r="K679" s="9">
        <v>2</v>
      </c>
      <c r="L679" s="38" t="str">
        <f>IF(Table1[[#This Row],[Weather_code]]=1,"Clear",IF(Table1[[#This Row],[Weather_code]]=2,"Cloudy",IF(Table1[[#This Row],[Weather_code]]=3,"Light Rain",IF(Table1[[#This Row],[Weather_code]]=4,"Heavy Rain"))))</f>
        <v>Cloudy</v>
      </c>
      <c r="M679" s="9">
        <v>0.16</v>
      </c>
      <c r="N679" s="11" t="str">
        <f t="shared" ref="N679:N742" si="34">CHOOSE(D679,"Winter","Spring","Summer","Fall")</f>
        <v>Winter</v>
      </c>
      <c r="O679" s="11" t="str">
        <f t="shared" si="32"/>
        <v>Weekday</v>
      </c>
      <c r="P679" s="9">
        <v>0.1515</v>
      </c>
      <c r="Q679" s="7">
        <f>Table1[[#This Row],[A_Temperature]]*41</f>
        <v>6.2115</v>
      </c>
      <c r="R679" s="9">
        <v>0.59</v>
      </c>
      <c r="S679" s="9">
        <v>0.19400000000000001</v>
      </c>
      <c r="T679" s="9">
        <v>1</v>
      </c>
      <c r="U679" s="9">
        <v>68</v>
      </c>
      <c r="V679" s="19">
        <v>69</v>
      </c>
    </row>
    <row r="680" spans="1:22" s="13" customFormat="1" ht="30" customHeight="1">
      <c r="A680" s="17" t="s">
        <v>79</v>
      </c>
      <c r="B680" s="8">
        <v>40574</v>
      </c>
      <c r="C680" s="8" t="str">
        <f t="shared" si="33"/>
        <v>Monday</v>
      </c>
      <c r="D680" s="9">
        <v>1</v>
      </c>
      <c r="E680" s="9">
        <v>0</v>
      </c>
      <c r="F680" s="9">
        <v>1</v>
      </c>
      <c r="G680" s="7">
        <v>11</v>
      </c>
      <c r="H680" s="9" t="b">
        <v>0</v>
      </c>
      <c r="I680" s="9">
        <v>1</v>
      </c>
      <c r="J680" s="38" t="str">
        <f>CHOOSE(Table1[[#This Row],[Weekday]]+1,"Sunday","Monday","Tuesday","Wednesday","Thursday","Friday","Saturday")</f>
        <v>Monday</v>
      </c>
      <c r="K680" s="9">
        <v>2</v>
      </c>
      <c r="L680" s="38" t="str">
        <f>IF(Table1[[#This Row],[Weather_code]]=1,"Clear",IF(Table1[[#This Row],[Weather_code]]=2,"Cloudy",IF(Table1[[#This Row],[Weather_code]]=3,"Light Rain",IF(Table1[[#This Row],[Weather_code]]=4,"Heavy Rain"))))</f>
        <v>Cloudy</v>
      </c>
      <c r="M680" s="9">
        <v>0.16</v>
      </c>
      <c r="N680" s="11" t="str">
        <f t="shared" si="34"/>
        <v>Winter</v>
      </c>
      <c r="O680" s="11" t="str">
        <f t="shared" si="32"/>
        <v>Weekday</v>
      </c>
      <c r="P680" s="9">
        <v>0.1515</v>
      </c>
      <c r="Q680" s="7">
        <f>Table1[[#This Row],[A_Temperature]]*41</f>
        <v>6.2115</v>
      </c>
      <c r="R680" s="9">
        <v>0.59</v>
      </c>
      <c r="S680" s="9">
        <v>0.19400000000000001</v>
      </c>
      <c r="T680" s="9">
        <v>2</v>
      </c>
      <c r="U680" s="9">
        <v>46</v>
      </c>
      <c r="V680" s="19">
        <v>48</v>
      </c>
    </row>
    <row r="681" spans="1:22" s="13" customFormat="1" ht="30" customHeight="1">
      <c r="A681" s="17" t="s">
        <v>80</v>
      </c>
      <c r="B681" s="8">
        <v>40574</v>
      </c>
      <c r="C681" s="8" t="str">
        <f t="shared" si="33"/>
        <v>Monday</v>
      </c>
      <c r="D681" s="9">
        <v>1</v>
      </c>
      <c r="E681" s="9">
        <v>0</v>
      </c>
      <c r="F681" s="9">
        <v>1</v>
      </c>
      <c r="G681" s="7">
        <v>12</v>
      </c>
      <c r="H681" s="9" t="b">
        <v>0</v>
      </c>
      <c r="I681" s="9">
        <v>1</v>
      </c>
      <c r="J681" s="38" t="str">
        <f>CHOOSE(Table1[[#This Row],[Weekday]]+1,"Sunday","Monday","Tuesday","Wednesday","Thursday","Friday","Saturday")</f>
        <v>Monday</v>
      </c>
      <c r="K681" s="9">
        <v>2</v>
      </c>
      <c r="L681" s="38" t="str">
        <f>IF(Table1[[#This Row],[Weather_code]]=1,"Clear",IF(Table1[[#This Row],[Weather_code]]=2,"Cloudy",IF(Table1[[#This Row],[Weather_code]]=3,"Light Rain",IF(Table1[[#This Row],[Weather_code]]=4,"Heavy Rain"))))</f>
        <v>Cloudy</v>
      </c>
      <c r="M681" s="9">
        <v>0.18</v>
      </c>
      <c r="N681" s="11" t="str">
        <f t="shared" si="34"/>
        <v>Winter</v>
      </c>
      <c r="O681" s="11" t="str">
        <f t="shared" si="32"/>
        <v>Weekday</v>
      </c>
      <c r="P681" s="9">
        <v>0.21210000000000001</v>
      </c>
      <c r="Q681" s="7">
        <f>Table1[[#This Row],[A_Temperature]]*41</f>
        <v>8.6961000000000013</v>
      </c>
      <c r="R681" s="9">
        <v>0.55000000000000004</v>
      </c>
      <c r="S681" s="9">
        <v>0.1045</v>
      </c>
      <c r="T681" s="9">
        <v>6</v>
      </c>
      <c r="U681" s="9">
        <v>62</v>
      </c>
      <c r="V681" s="19">
        <v>68</v>
      </c>
    </row>
    <row r="682" spans="1:22" s="13" customFormat="1" ht="30" customHeight="1">
      <c r="A682" s="17" t="s">
        <v>81</v>
      </c>
      <c r="B682" s="8">
        <v>40574</v>
      </c>
      <c r="C682" s="8" t="str">
        <f t="shared" si="33"/>
        <v>Monday</v>
      </c>
      <c r="D682" s="9">
        <v>1</v>
      </c>
      <c r="E682" s="9">
        <v>0</v>
      </c>
      <c r="F682" s="9">
        <v>1</v>
      </c>
      <c r="G682" s="7">
        <v>13</v>
      </c>
      <c r="H682" s="9" t="b">
        <v>0</v>
      </c>
      <c r="I682" s="9">
        <v>1</v>
      </c>
      <c r="J682" s="38" t="str">
        <f>CHOOSE(Table1[[#This Row],[Weekday]]+1,"Sunday","Monday","Tuesday","Wednesday","Thursday","Friday","Saturday")</f>
        <v>Monday</v>
      </c>
      <c r="K682" s="9">
        <v>2</v>
      </c>
      <c r="L682" s="38" t="str">
        <f>IF(Table1[[#This Row],[Weather_code]]=1,"Clear",IF(Table1[[#This Row],[Weather_code]]=2,"Cloudy",IF(Table1[[#This Row],[Weather_code]]=3,"Light Rain",IF(Table1[[#This Row],[Weather_code]]=4,"Heavy Rain"))))</f>
        <v>Cloudy</v>
      </c>
      <c r="M682" s="9">
        <v>0.16</v>
      </c>
      <c r="N682" s="11" t="str">
        <f t="shared" si="34"/>
        <v>Winter</v>
      </c>
      <c r="O682" s="11" t="str">
        <f t="shared" si="32"/>
        <v>Weekday</v>
      </c>
      <c r="P682" s="9">
        <v>0.2273</v>
      </c>
      <c r="Q682" s="7">
        <f>Table1[[#This Row],[A_Temperature]]*41</f>
        <v>9.3193000000000001</v>
      </c>
      <c r="R682" s="9">
        <v>0.59</v>
      </c>
      <c r="S682" s="9">
        <v>0</v>
      </c>
      <c r="T682" s="9">
        <v>2</v>
      </c>
      <c r="U682" s="9">
        <v>52</v>
      </c>
      <c r="V682" s="19">
        <v>54</v>
      </c>
    </row>
    <row r="683" spans="1:22" s="13" customFormat="1" ht="30" customHeight="1">
      <c r="A683" s="17" t="s">
        <v>82</v>
      </c>
      <c r="B683" s="8">
        <v>40574</v>
      </c>
      <c r="C683" s="8" t="str">
        <f t="shared" si="33"/>
        <v>Monday</v>
      </c>
      <c r="D683" s="9">
        <v>1</v>
      </c>
      <c r="E683" s="9">
        <v>0</v>
      </c>
      <c r="F683" s="9">
        <v>1</v>
      </c>
      <c r="G683" s="7">
        <v>14</v>
      </c>
      <c r="H683" s="9" t="b">
        <v>0</v>
      </c>
      <c r="I683" s="9">
        <v>1</v>
      </c>
      <c r="J683" s="38" t="str">
        <f>CHOOSE(Table1[[#This Row],[Weekday]]+1,"Sunday","Monday","Tuesday","Wednesday","Thursday","Friday","Saturday")</f>
        <v>Monday</v>
      </c>
      <c r="K683" s="9">
        <v>2</v>
      </c>
      <c r="L683" s="38" t="str">
        <f>IF(Table1[[#This Row],[Weather_code]]=1,"Clear",IF(Table1[[#This Row],[Weather_code]]=2,"Cloudy",IF(Table1[[#This Row],[Weather_code]]=3,"Light Rain",IF(Table1[[#This Row],[Weather_code]]=4,"Heavy Rain"))))</f>
        <v>Cloudy</v>
      </c>
      <c r="M683" s="9">
        <v>0.18</v>
      </c>
      <c r="N683" s="11" t="str">
        <f t="shared" si="34"/>
        <v>Winter</v>
      </c>
      <c r="O683" s="11" t="str">
        <f t="shared" si="32"/>
        <v>Weekday</v>
      </c>
      <c r="P683" s="9">
        <v>0.19700000000000001</v>
      </c>
      <c r="Q683" s="7">
        <f>Table1[[#This Row],[A_Temperature]]*41</f>
        <v>8.077</v>
      </c>
      <c r="R683" s="9">
        <v>0.55000000000000004</v>
      </c>
      <c r="S683" s="9">
        <v>0.1343</v>
      </c>
      <c r="T683" s="9">
        <v>1</v>
      </c>
      <c r="U683" s="9">
        <v>85</v>
      </c>
      <c r="V683" s="19">
        <v>86</v>
      </c>
    </row>
    <row r="684" spans="1:22" s="13" customFormat="1" ht="30" customHeight="1">
      <c r="A684" s="17" t="s">
        <v>83</v>
      </c>
      <c r="B684" s="8">
        <v>40574</v>
      </c>
      <c r="C684" s="8" t="str">
        <f t="shared" si="33"/>
        <v>Monday</v>
      </c>
      <c r="D684" s="9">
        <v>1</v>
      </c>
      <c r="E684" s="9">
        <v>0</v>
      </c>
      <c r="F684" s="9">
        <v>1</v>
      </c>
      <c r="G684" s="7">
        <v>15</v>
      </c>
      <c r="H684" s="9" t="b">
        <v>0</v>
      </c>
      <c r="I684" s="9">
        <v>1</v>
      </c>
      <c r="J684" s="38" t="str">
        <f>CHOOSE(Table1[[#This Row],[Weekday]]+1,"Sunday","Monday","Tuesday","Wednesday","Thursday","Friday","Saturday")</f>
        <v>Monday</v>
      </c>
      <c r="K684" s="9">
        <v>2</v>
      </c>
      <c r="L684" s="38" t="str">
        <f>IF(Table1[[#This Row],[Weather_code]]=1,"Clear",IF(Table1[[#This Row],[Weather_code]]=2,"Cloudy",IF(Table1[[#This Row],[Weather_code]]=3,"Light Rain",IF(Table1[[#This Row],[Weather_code]]=4,"Heavy Rain"))))</f>
        <v>Cloudy</v>
      </c>
      <c r="M684" s="9">
        <v>0.16</v>
      </c>
      <c r="N684" s="11" t="str">
        <f t="shared" si="34"/>
        <v>Winter</v>
      </c>
      <c r="O684" s="11" t="str">
        <f t="shared" si="32"/>
        <v>Weekday</v>
      </c>
      <c r="P684" s="9">
        <v>0.18179999999999999</v>
      </c>
      <c r="Q684" s="7">
        <f>Table1[[#This Row],[A_Temperature]]*41</f>
        <v>7.4537999999999993</v>
      </c>
      <c r="R684" s="9">
        <v>0.59</v>
      </c>
      <c r="S684" s="9">
        <v>0.1343</v>
      </c>
      <c r="T684" s="9">
        <v>3</v>
      </c>
      <c r="U684" s="9">
        <v>41</v>
      </c>
      <c r="V684" s="19">
        <v>44</v>
      </c>
    </row>
    <row r="685" spans="1:22" s="13" customFormat="1" ht="30" customHeight="1">
      <c r="A685" s="17" t="s">
        <v>84</v>
      </c>
      <c r="B685" s="8">
        <v>40574</v>
      </c>
      <c r="C685" s="8" t="str">
        <f t="shared" si="33"/>
        <v>Monday</v>
      </c>
      <c r="D685" s="9">
        <v>1</v>
      </c>
      <c r="E685" s="9">
        <v>0</v>
      </c>
      <c r="F685" s="9">
        <v>1</v>
      </c>
      <c r="G685" s="7">
        <v>16</v>
      </c>
      <c r="H685" s="9" t="b">
        <v>0</v>
      </c>
      <c r="I685" s="9">
        <v>1</v>
      </c>
      <c r="J685" s="38" t="str">
        <f>CHOOSE(Table1[[#This Row],[Weekday]]+1,"Sunday","Monday","Tuesday","Wednesday","Thursday","Friday","Saturday")</f>
        <v>Monday</v>
      </c>
      <c r="K685" s="9">
        <v>2</v>
      </c>
      <c r="L685" s="38" t="str">
        <f>IF(Table1[[#This Row],[Weather_code]]=1,"Clear",IF(Table1[[#This Row],[Weather_code]]=2,"Cloudy",IF(Table1[[#This Row],[Weather_code]]=3,"Light Rain",IF(Table1[[#This Row],[Weather_code]]=4,"Heavy Rain"))))</f>
        <v>Cloudy</v>
      </c>
      <c r="M685" s="9">
        <v>0.16</v>
      </c>
      <c r="N685" s="11" t="str">
        <f t="shared" si="34"/>
        <v>Winter</v>
      </c>
      <c r="O685" s="11" t="str">
        <f t="shared" si="32"/>
        <v>Weekday</v>
      </c>
      <c r="P685" s="9">
        <v>0.18179999999999999</v>
      </c>
      <c r="Q685" s="7">
        <f>Table1[[#This Row],[A_Temperature]]*41</f>
        <v>7.4537999999999993</v>
      </c>
      <c r="R685" s="9">
        <v>0.56000000000000005</v>
      </c>
      <c r="S685" s="9">
        <v>0.19400000000000001</v>
      </c>
      <c r="T685" s="9">
        <v>3</v>
      </c>
      <c r="U685" s="9">
        <v>83</v>
      </c>
      <c r="V685" s="19">
        <v>86</v>
      </c>
    </row>
    <row r="686" spans="1:22" s="13" customFormat="1" ht="30" customHeight="1">
      <c r="A686" s="17" t="s">
        <v>85</v>
      </c>
      <c r="B686" s="8">
        <v>40574</v>
      </c>
      <c r="C686" s="8" t="str">
        <f t="shared" si="33"/>
        <v>Monday</v>
      </c>
      <c r="D686" s="9">
        <v>1</v>
      </c>
      <c r="E686" s="9">
        <v>0</v>
      </c>
      <c r="F686" s="9">
        <v>1</v>
      </c>
      <c r="G686" s="7">
        <v>17</v>
      </c>
      <c r="H686" s="9" t="b">
        <v>0</v>
      </c>
      <c r="I686" s="9">
        <v>1</v>
      </c>
      <c r="J686" s="38" t="str">
        <f>CHOOSE(Table1[[#This Row],[Weekday]]+1,"Sunday","Monday","Tuesday","Wednesday","Thursday","Friday","Saturday")</f>
        <v>Monday</v>
      </c>
      <c r="K686" s="9">
        <v>2</v>
      </c>
      <c r="L686" s="38" t="str">
        <f>IF(Table1[[#This Row],[Weather_code]]=1,"Clear",IF(Table1[[#This Row],[Weather_code]]=2,"Cloudy",IF(Table1[[#This Row],[Weather_code]]=3,"Light Rain",IF(Table1[[#This Row],[Weather_code]]=4,"Heavy Rain"))))</f>
        <v>Cloudy</v>
      </c>
      <c r="M686" s="9">
        <v>0.16</v>
      </c>
      <c r="N686" s="11" t="str">
        <f t="shared" si="34"/>
        <v>Winter</v>
      </c>
      <c r="O686" s="11" t="str">
        <f t="shared" si="32"/>
        <v>Weekday</v>
      </c>
      <c r="P686" s="9">
        <v>0.1515</v>
      </c>
      <c r="Q686" s="7">
        <f>Table1[[#This Row],[A_Temperature]]*41</f>
        <v>6.2115</v>
      </c>
      <c r="R686" s="9">
        <v>0.59</v>
      </c>
      <c r="S686" s="9">
        <v>0.19400000000000001</v>
      </c>
      <c r="T686" s="9">
        <v>6</v>
      </c>
      <c r="U686" s="9">
        <v>155</v>
      </c>
      <c r="V686" s="19">
        <v>161</v>
      </c>
    </row>
    <row r="687" spans="1:22" s="13" customFormat="1" ht="30" customHeight="1">
      <c r="A687" s="17" t="s">
        <v>86</v>
      </c>
      <c r="B687" s="8">
        <v>40574</v>
      </c>
      <c r="C687" s="8" t="str">
        <f t="shared" si="33"/>
        <v>Monday</v>
      </c>
      <c r="D687" s="9">
        <v>1</v>
      </c>
      <c r="E687" s="9">
        <v>0</v>
      </c>
      <c r="F687" s="9">
        <v>1</v>
      </c>
      <c r="G687" s="7">
        <v>18</v>
      </c>
      <c r="H687" s="9" t="b">
        <v>0</v>
      </c>
      <c r="I687" s="9">
        <v>1</v>
      </c>
      <c r="J687" s="38" t="str">
        <f>CHOOSE(Table1[[#This Row],[Weekday]]+1,"Sunday","Monday","Tuesday","Wednesday","Thursday","Friday","Saturday")</f>
        <v>Monday</v>
      </c>
      <c r="K687" s="9">
        <v>2</v>
      </c>
      <c r="L687" s="38" t="str">
        <f>IF(Table1[[#This Row],[Weather_code]]=1,"Clear",IF(Table1[[#This Row],[Weather_code]]=2,"Cloudy",IF(Table1[[#This Row],[Weather_code]]=3,"Light Rain",IF(Table1[[#This Row],[Weather_code]]=4,"Heavy Rain"))))</f>
        <v>Cloudy</v>
      </c>
      <c r="M687" s="9">
        <v>0.16</v>
      </c>
      <c r="N687" s="11" t="str">
        <f t="shared" si="34"/>
        <v>Winter</v>
      </c>
      <c r="O687" s="11" t="str">
        <f t="shared" si="32"/>
        <v>Weekday</v>
      </c>
      <c r="P687" s="9">
        <v>0.1515</v>
      </c>
      <c r="Q687" s="7">
        <f>Table1[[#This Row],[A_Temperature]]*41</f>
        <v>6.2115</v>
      </c>
      <c r="R687" s="9">
        <v>0.55000000000000004</v>
      </c>
      <c r="S687" s="9">
        <v>0.22389999999999999</v>
      </c>
      <c r="T687" s="9">
        <v>3</v>
      </c>
      <c r="U687" s="9">
        <v>153</v>
      </c>
      <c r="V687" s="19">
        <v>156</v>
      </c>
    </row>
    <row r="688" spans="1:22" s="13" customFormat="1" ht="30" customHeight="1">
      <c r="A688" s="17" t="s">
        <v>87</v>
      </c>
      <c r="B688" s="8">
        <v>40574</v>
      </c>
      <c r="C688" s="8" t="str">
        <f t="shared" si="33"/>
        <v>Monday</v>
      </c>
      <c r="D688" s="9">
        <v>1</v>
      </c>
      <c r="E688" s="9">
        <v>0</v>
      </c>
      <c r="F688" s="9">
        <v>1</v>
      </c>
      <c r="G688" s="7">
        <v>19</v>
      </c>
      <c r="H688" s="9" t="b">
        <v>0</v>
      </c>
      <c r="I688" s="9">
        <v>1</v>
      </c>
      <c r="J688" s="38" t="str">
        <f>CHOOSE(Table1[[#This Row],[Weekday]]+1,"Sunday","Monday","Tuesday","Wednesday","Thursday","Friday","Saturday")</f>
        <v>Monday</v>
      </c>
      <c r="K688" s="9">
        <v>1</v>
      </c>
      <c r="L688" s="38" t="str">
        <f>IF(Table1[[#This Row],[Weather_code]]=1,"Clear",IF(Table1[[#This Row],[Weather_code]]=2,"Cloudy",IF(Table1[[#This Row],[Weather_code]]=3,"Light Rain",IF(Table1[[#This Row],[Weather_code]]=4,"Heavy Rain"))))</f>
        <v>Clear</v>
      </c>
      <c r="M688" s="9">
        <v>0.3</v>
      </c>
      <c r="N688" s="11" t="str">
        <f t="shared" si="34"/>
        <v>Winter</v>
      </c>
      <c r="O688" s="11" t="str">
        <f t="shared" si="32"/>
        <v>Weekday</v>
      </c>
      <c r="P688" s="9">
        <v>0.31819999999999998</v>
      </c>
      <c r="Q688" s="7">
        <f>Table1[[#This Row],[A_Temperature]]*41</f>
        <v>13.046199999999999</v>
      </c>
      <c r="R688" s="9">
        <v>0.61</v>
      </c>
      <c r="S688" s="9">
        <v>0.1045</v>
      </c>
      <c r="T688" s="9">
        <v>3</v>
      </c>
      <c r="U688" s="9">
        <v>108</v>
      </c>
      <c r="V688" s="19">
        <v>111</v>
      </c>
    </row>
    <row r="689" spans="1:22" s="13" customFormat="1" ht="30" customHeight="1">
      <c r="A689" s="17" t="s">
        <v>88</v>
      </c>
      <c r="B689" s="8">
        <v>40574</v>
      </c>
      <c r="C689" s="8" t="str">
        <f t="shared" si="33"/>
        <v>Monday</v>
      </c>
      <c r="D689" s="9">
        <v>1</v>
      </c>
      <c r="E689" s="9">
        <v>0</v>
      </c>
      <c r="F689" s="9">
        <v>1</v>
      </c>
      <c r="G689" s="7">
        <v>20</v>
      </c>
      <c r="H689" s="9" t="b">
        <v>0</v>
      </c>
      <c r="I689" s="9">
        <v>1</v>
      </c>
      <c r="J689" s="38" t="str">
        <f>CHOOSE(Table1[[#This Row],[Weekday]]+1,"Sunday","Monday","Tuesday","Wednesday","Thursday","Friday","Saturday")</f>
        <v>Monday</v>
      </c>
      <c r="K689" s="9">
        <v>3</v>
      </c>
      <c r="L689" s="38" t="str">
        <f>IF(Table1[[#This Row],[Weather_code]]=1,"Clear",IF(Table1[[#This Row],[Weather_code]]=2,"Cloudy",IF(Table1[[#This Row],[Weather_code]]=3,"Light Rain",IF(Table1[[#This Row],[Weather_code]]=4,"Heavy Rain"))))</f>
        <v>Light Rain</v>
      </c>
      <c r="M689" s="9">
        <v>0.16</v>
      </c>
      <c r="N689" s="11" t="str">
        <f t="shared" si="34"/>
        <v>Winter</v>
      </c>
      <c r="O689" s="11" t="str">
        <f t="shared" si="32"/>
        <v>Weekday</v>
      </c>
      <c r="P689" s="9">
        <v>0.16669999999999999</v>
      </c>
      <c r="Q689" s="7">
        <f>Table1[[#This Row],[A_Temperature]]*41</f>
        <v>6.8346999999999998</v>
      </c>
      <c r="R689" s="9">
        <v>0.59</v>
      </c>
      <c r="S689" s="9">
        <v>0.16420000000000001</v>
      </c>
      <c r="T689" s="9">
        <v>0</v>
      </c>
      <c r="U689" s="9">
        <v>78</v>
      </c>
      <c r="V689" s="19">
        <v>78</v>
      </c>
    </row>
    <row r="690" spans="1:22" s="13" customFormat="1" ht="30" customHeight="1">
      <c r="A690" s="17" t="s">
        <v>89</v>
      </c>
      <c r="B690" s="8">
        <v>40574</v>
      </c>
      <c r="C690" s="8" t="str">
        <f t="shared" si="33"/>
        <v>Monday</v>
      </c>
      <c r="D690" s="9">
        <v>1</v>
      </c>
      <c r="E690" s="9">
        <v>0</v>
      </c>
      <c r="F690" s="9">
        <v>1</v>
      </c>
      <c r="G690" s="7">
        <v>21</v>
      </c>
      <c r="H690" s="9" t="b">
        <v>0</v>
      </c>
      <c r="I690" s="9">
        <v>1</v>
      </c>
      <c r="J690" s="38" t="str">
        <f>CHOOSE(Table1[[#This Row],[Weekday]]+1,"Sunday","Monday","Tuesday","Wednesday","Thursday","Friday","Saturday")</f>
        <v>Monday</v>
      </c>
      <c r="K690" s="9">
        <v>3</v>
      </c>
      <c r="L690" s="38" t="str">
        <f>IF(Table1[[#This Row],[Weather_code]]=1,"Clear",IF(Table1[[#This Row],[Weather_code]]=2,"Cloudy",IF(Table1[[#This Row],[Weather_code]]=3,"Light Rain",IF(Table1[[#This Row],[Weather_code]]=4,"Heavy Rain"))))</f>
        <v>Light Rain</v>
      </c>
      <c r="M690" s="9">
        <v>0.16</v>
      </c>
      <c r="N690" s="11" t="str">
        <f t="shared" si="34"/>
        <v>Winter</v>
      </c>
      <c r="O690" s="11" t="str">
        <f t="shared" si="32"/>
        <v>Weekday</v>
      </c>
      <c r="P690" s="9">
        <v>0.19700000000000001</v>
      </c>
      <c r="Q690" s="7">
        <f>Table1[[#This Row],[A_Temperature]]*41</f>
        <v>8.077</v>
      </c>
      <c r="R690" s="9">
        <v>0.59</v>
      </c>
      <c r="S690" s="9">
        <v>8.9599999999999999E-2</v>
      </c>
      <c r="T690" s="9">
        <v>3</v>
      </c>
      <c r="U690" s="9">
        <v>53</v>
      </c>
      <c r="V690" s="19">
        <v>56</v>
      </c>
    </row>
    <row r="691" spans="1:22" s="13" customFormat="1" ht="30" customHeight="1">
      <c r="A691" s="17" t="s">
        <v>90</v>
      </c>
      <c r="B691" s="8">
        <v>40574</v>
      </c>
      <c r="C691" s="8" t="str">
        <f t="shared" si="33"/>
        <v>Monday</v>
      </c>
      <c r="D691" s="9">
        <v>1</v>
      </c>
      <c r="E691" s="9">
        <v>0</v>
      </c>
      <c r="F691" s="9">
        <v>1</v>
      </c>
      <c r="G691" s="7">
        <v>22</v>
      </c>
      <c r="H691" s="9" t="b">
        <v>0</v>
      </c>
      <c r="I691" s="9">
        <v>1</v>
      </c>
      <c r="J691" s="38" t="str">
        <f>CHOOSE(Table1[[#This Row],[Weekday]]+1,"Sunday","Monday","Tuesday","Wednesday","Thursday","Friday","Saturday")</f>
        <v>Monday</v>
      </c>
      <c r="K691" s="9">
        <v>2</v>
      </c>
      <c r="L691" s="38" t="str">
        <f>IF(Table1[[#This Row],[Weather_code]]=1,"Clear",IF(Table1[[#This Row],[Weather_code]]=2,"Cloudy",IF(Table1[[#This Row],[Weather_code]]=3,"Light Rain",IF(Table1[[#This Row],[Weather_code]]=4,"Heavy Rain"))))</f>
        <v>Cloudy</v>
      </c>
      <c r="M691" s="9">
        <v>0.16</v>
      </c>
      <c r="N691" s="11" t="str">
        <f t="shared" si="34"/>
        <v>Winter</v>
      </c>
      <c r="O691" s="11" t="str">
        <f t="shared" si="32"/>
        <v>Weekday</v>
      </c>
      <c r="P691" s="9">
        <v>0.18179999999999999</v>
      </c>
      <c r="Q691" s="7">
        <f>Table1[[#This Row],[A_Temperature]]*41</f>
        <v>7.4537999999999993</v>
      </c>
      <c r="R691" s="9">
        <v>0.59</v>
      </c>
      <c r="S691" s="9">
        <v>0.1045</v>
      </c>
      <c r="T691" s="9">
        <v>0</v>
      </c>
      <c r="U691" s="9">
        <v>34</v>
      </c>
      <c r="V691" s="19">
        <v>34</v>
      </c>
    </row>
    <row r="692" spans="1:22" s="13" customFormat="1" ht="30" customHeight="1">
      <c r="A692" s="17" t="s">
        <v>91</v>
      </c>
      <c r="B692" s="8">
        <v>40574</v>
      </c>
      <c r="C692" s="8" t="str">
        <f t="shared" si="33"/>
        <v>Monday</v>
      </c>
      <c r="D692" s="9">
        <v>1</v>
      </c>
      <c r="E692" s="9">
        <v>0</v>
      </c>
      <c r="F692" s="9">
        <v>1</v>
      </c>
      <c r="G692" s="7">
        <v>23</v>
      </c>
      <c r="H692" s="9" t="b">
        <v>0</v>
      </c>
      <c r="I692" s="9">
        <v>1</v>
      </c>
      <c r="J692" s="38" t="str">
        <f>CHOOSE(Table1[[#This Row],[Weekday]]+1,"Sunday","Monday","Tuesday","Wednesday","Thursday","Friday","Saturday")</f>
        <v>Monday</v>
      </c>
      <c r="K692" s="9">
        <v>2</v>
      </c>
      <c r="L692" s="38" t="str">
        <f>IF(Table1[[#This Row],[Weather_code]]=1,"Clear",IF(Table1[[#This Row],[Weather_code]]=2,"Cloudy",IF(Table1[[#This Row],[Weather_code]]=3,"Light Rain",IF(Table1[[#This Row],[Weather_code]]=4,"Heavy Rain"))))</f>
        <v>Cloudy</v>
      </c>
      <c r="M692" s="9">
        <v>0.16</v>
      </c>
      <c r="N692" s="11" t="str">
        <f t="shared" si="34"/>
        <v>Winter</v>
      </c>
      <c r="O692" s="11" t="str">
        <f t="shared" si="32"/>
        <v>Weekday</v>
      </c>
      <c r="P692" s="9">
        <v>0.19700000000000001</v>
      </c>
      <c r="Q692" s="7">
        <f>Table1[[#This Row],[A_Temperature]]*41</f>
        <v>8.077</v>
      </c>
      <c r="R692" s="9">
        <v>0.64</v>
      </c>
      <c r="S692" s="9">
        <v>8.9599999999999999E-2</v>
      </c>
      <c r="T692" s="9">
        <v>2</v>
      </c>
      <c r="U692" s="9">
        <v>15</v>
      </c>
      <c r="V692" s="19">
        <v>17</v>
      </c>
    </row>
    <row r="693" spans="1:22" s="13" customFormat="1" ht="30" customHeight="1">
      <c r="A693" s="17" t="s">
        <v>92</v>
      </c>
      <c r="B693" s="8">
        <v>40545</v>
      </c>
      <c r="C693" s="8" t="str">
        <f t="shared" si="33"/>
        <v>Sunday</v>
      </c>
      <c r="D693" s="9">
        <v>1</v>
      </c>
      <c r="E693" s="9">
        <v>0</v>
      </c>
      <c r="F693" s="9">
        <v>2</v>
      </c>
      <c r="G693" s="7">
        <v>0</v>
      </c>
      <c r="H693" s="9" t="b">
        <v>0</v>
      </c>
      <c r="I693" s="9">
        <v>2</v>
      </c>
      <c r="J693" s="38" t="str">
        <f>CHOOSE(Table1[[#This Row],[Weekday]]+1,"Sunday","Monday","Tuesday","Wednesday","Thursday","Friday","Saturday")</f>
        <v>Tuesday</v>
      </c>
      <c r="K693" s="9">
        <v>2</v>
      </c>
      <c r="L693" s="38" t="str">
        <f>IF(Table1[[#This Row],[Weather_code]]=1,"Clear",IF(Table1[[#This Row],[Weather_code]]=2,"Cloudy",IF(Table1[[#This Row],[Weather_code]]=3,"Light Rain",IF(Table1[[#This Row],[Weather_code]]=4,"Heavy Rain"))))</f>
        <v>Cloudy</v>
      </c>
      <c r="M693" s="9">
        <v>0.16</v>
      </c>
      <c r="N693" s="11" t="str">
        <f t="shared" si="34"/>
        <v>Winter</v>
      </c>
      <c r="O693" s="11" t="str">
        <f t="shared" si="32"/>
        <v>Weekend</v>
      </c>
      <c r="P693" s="9">
        <v>0.18179999999999999</v>
      </c>
      <c r="Q693" s="7">
        <f>Table1[[#This Row],[A_Temperature]]*41</f>
        <v>7.4537999999999993</v>
      </c>
      <c r="R693" s="9">
        <v>0.64</v>
      </c>
      <c r="S693" s="9">
        <v>0.1045</v>
      </c>
      <c r="T693" s="9">
        <v>2</v>
      </c>
      <c r="U693" s="9">
        <v>6</v>
      </c>
      <c r="V693" s="19">
        <v>8</v>
      </c>
    </row>
    <row r="694" spans="1:22" s="13" customFormat="1" ht="30" customHeight="1">
      <c r="A694" s="17" t="s">
        <v>93</v>
      </c>
      <c r="B694" s="8">
        <v>40545</v>
      </c>
      <c r="C694" s="8" t="str">
        <f t="shared" si="33"/>
        <v>Sunday</v>
      </c>
      <c r="D694" s="9">
        <v>1</v>
      </c>
      <c r="E694" s="9">
        <v>0</v>
      </c>
      <c r="F694" s="9">
        <v>2</v>
      </c>
      <c r="G694" s="7">
        <v>1</v>
      </c>
      <c r="H694" s="9" t="b">
        <v>0</v>
      </c>
      <c r="I694" s="9">
        <v>2</v>
      </c>
      <c r="J694" s="38" t="str">
        <f>CHOOSE(Table1[[#This Row],[Weekday]]+1,"Sunday","Monday","Tuesday","Wednesday","Thursday","Friday","Saturday")</f>
        <v>Tuesday</v>
      </c>
      <c r="K694" s="9">
        <v>2</v>
      </c>
      <c r="L694" s="38" t="str">
        <f>IF(Table1[[#This Row],[Weather_code]]=1,"Clear",IF(Table1[[#This Row],[Weather_code]]=2,"Cloudy",IF(Table1[[#This Row],[Weather_code]]=3,"Light Rain",IF(Table1[[#This Row],[Weather_code]]=4,"Heavy Rain"))))</f>
        <v>Cloudy</v>
      </c>
      <c r="M694" s="9">
        <v>0.16</v>
      </c>
      <c r="N694" s="11" t="str">
        <f t="shared" si="34"/>
        <v>Winter</v>
      </c>
      <c r="O694" s="11" t="str">
        <f t="shared" si="32"/>
        <v>Weekend</v>
      </c>
      <c r="P694" s="9">
        <v>0.18179999999999999</v>
      </c>
      <c r="Q694" s="7">
        <f>Table1[[#This Row],[A_Temperature]]*41</f>
        <v>7.4537999999999993</v>
      </c>
      <c r="R694" s="9">
        <v>0.69</v>
      </c>
      <c r="S694" s="9">
        <v>0.1045</v>
      </c>
      <c r="T694" s="9">
        <v>0</v>
      </c>
      <c r="U694" s="9">
        <v>3</v>
      </c>
      <c r="V694" s="19">
        <v>3</v>
      </c>
    </row>
    <row r="695" spans="1:22" s="13" customFormat="1" ht="30" customHeight="1">
      <c r="A695" s="17" t="s">
        <v>94</v>
      </c>
      <c r="B695" s="8">
        <v>40545</v>
      </c>
      <c r="C695" s="8" t="str">
        <f t="shared" si="33"/>
        <v>Sunday</v>
      </c>
      <c r="D695" s="9">
        <v>1</v>
      </c>
      <c r="E695" s="9">
        <v>0</v>
      </c>
      <c r="F695" s="9">
        <v>2</v>
      </c>
      <c r="G695" s="7">
        <v>2</v>
      </c>
      <c r="H695" s="9" t="b">
        <v>0</v>
      </c>
      <c r="I695" s="9">
        <v>2</v>
      </c>
      <c r="J695" s="38" t="str">
        <f>CHOOSE(Table1[[#This Row],[Weekday]]+1,"Sunday","Monday","Tuesday","Wednesday","Thursday","Friday","Saturday")</f>
        <v>Tuesday</v>
      </c>
      <c r="K695" s="9">
        <v>2</v>
      </c>
      <c r="L695" s="38" t="str">
        <f>IF(Table1[[#This Row],[Weather_code]]=1,"Clear",IF(Table1[[#This Row],[Weather_code]]=2,"Cloudy",IF(Table1[[#This Row],[Weather_code]]=3,"Light Rain",IF(Table1[[#This Row],[Weather_code]]=4,"Heavy Rain"))))</f>
        <v>Cloudy</v>
      </c>
      <c r="M695" s="9">
        <v>0.16</v>
      </c>
      <c r="N695" s="11" t="str">
        <f t="shared" si="34"/>
        <v>Winter</v>
      </c>
      <c r="O695" s="11" t="str">
        <f t="shared" si="32"/>
        <v>Weekend</v>
      </c>
      <c r="P695" s="9">
        <v>0.2273</v>
      </c>
      <c r="Q695" s="7">
        <f>Table1[[#This Row],[A_Temperature]]*41</f>
        <v>9.3193000000000001</v>
      </c>
      <c r="R695" s="9">
        <v>0.69</v>
      </c>
      <c r="S695" s="9">
        <v>0</v>
      </c>
      <c r="T695" s="9">
        <v>0</v>
      </c>
      <c r="U695" s="9">
        <v>2</v>
      </c>
      <c r="V695" s="19">
        <v>2</v>
      </c>
    </row>
    <row r="696" spans="1:22" s="13" customFormat="1" ht="30" customHeight="1">
      <c r="A696" s="17" t="s">
        <v>95</v>
      </c>
      <c r="B696" s="8">
        <v>40545</v>
      </c>
      <c r="C696" s="8" t="str">
        <f t="shared" si="33"/>
        <v>Sunday</v>
      </c>
      <c r="D696" s="9">
        <v>1</v>
      </c>
      <c r="E696" s="9">
        <v>0</v>
      </c>
      <c r="F696" s="9">
        <v>2</v>
      </c>
      <c r="G696" s="7">
        <v>3</v>
      </c>
      <c r="H696" s="9" t="b">
        <v>0</v>
      </c>
      <c r="I696" s="9">
        <v>2</v>
      </c>
      <c r="J696" s="38" t="str">
        <f>CHOOSE(Table1[[#This Row],[Weekday]]+1,"Sunday","Monday","Tuesday","Wednesday","Thursday","Friday","Saturday")</f>
        <v>Tuesday</v>
      </c>
      <c r="K696" s="9">
        <v>2</v>
      </c>
      <c r="L696" s="38" t="str">
        <f>IF(Table1[[#This Row],[Weather_code]]=1,"Clear",IF(Table1[[#This Row],[Weather_code]]=2,"Cloudy",IF(Table1[[#This Row],[Weather_code]]=3,"Light Rain",IF(Table1[[#This Row],[Weather_code]]=4,"Heavy Rain"))))</f>
        <v>Cloudy</v>
      </c>
      <c r="M696" s="9">
        <v>0.16</v>
      </c>
      <c r="N696" s="11" t="str">
        <f t="shared" si="34"/>
        <v>Winter</v>
      </c>
      <c r="O696" s="11" t="str">
        <f t="shared" si="32"/>
        <v>Weekend</v>
      </c>
      <c r="P696" s="9">
        <v>0.2273</v>
      </c>
      <c r="Q696" s="7">
        <f>Table1[[#This Row],[A_Temperature]]*41</f>
        <v>9.3193000000000001</v>
      </c>
      <c r="R696" s="9">
        <v>0.69</v>
      </c>
      <c r="S696" s="9">
        <v>0</v>
      </c>
      <c r="T696" s="9">
        <v>0</v>
      </c>
      <c r="U696" s="9">
        <v>2</v>
      </c>
      <c r="V696" s="19">
        <v>2</v>
      </c>
    </row>
    <row r="697" spans="1:22" s="13" customFormat="1" ht="30" customHeight="1">
      <c r="A697" s="17" t="s">
        <v>96</v>
      </c>
      <c r="B697" s="8">
        <v>40545</v>
      </c>
      <c r="C697" s="8" t="str">
        <f t="shared" si="33"/>
        <v>Sunday</v>
      </c>
      <c r="D697" s="9">
        <v>1</v>
      </c>
      <c r="E697" s="9">
        <v>0</v>
      </c>
      <c r="F697" s="9">
        <v>2</v>
      </c>
      <c r="G697" s="7">
        <v>5</v>
      </c>
      <c r="H697" s="9" t="b">
        <v>0</v>
      </c>
      <c r="I697" s="9">
        <v>2</v>
      </c>
      <c r="J697" s="38" t="str">
        <f>CHOOSE(Table1[[#This Row],[Weekday]]+1,"Sunday","Monday","Tuesday","Wednesday","Thursday","Friday","Saturday")</f>
        <v>Tuesday</v>
      </c>
      <c r="K697" s="9">
        <v>3</v>
      </c>
      <c r="L697" s="38" t="str">
        <f>IF(Table1[[#This Row],[Weather_code]]=1,"Clear",IF(Table1[[#This Row],[Weather_code]]=2,"Cloudy",IF(Table1[[#This Row],[Weather_code]]=3,"Light Rain",IF(Table1[[#This Row],[Weather_code]]=4,"Heavy Rain"))))</f>
        <v>Light Rain</v>
      </c>
      <c r="M697" s="9">
        <v>0.14000000000000001</v>
      </c>
      <c r="N697" s="11" t="str">
        <f t="shared" si="34"/>
        <v>Winter</v>
      </c>
      <c r="O697" s="11" t="str">
        <f t="shared" si="32"/>
        <v>Weekend</v>
      </c>
      <c r="P697" s="9">
        <v>0.21210000000000001</v>
      </c>
      <c r="Q697" s="7">
        <f>Table1[[#This Row],[A_Temperature]]*41</f>
        <v>8.6961000000000013</v>
      </c>
      <c r="R697" s="9">
        <v>0.93</v>
      </c>
      <c r="S697" s="9">
        <v>0</v>
      </c>
      <c r="T697" s="9">
        <v>0</v>
      </c>
      <c r="U697" s="9">
        <v>3</v>
      </c>
      <c r="V697" s="19">
        <v>3</v>
      </c>
    </row>
    <row r="698" spans="1:22" s="13" customFormat="1" ht="30" customHeight="1">
      <c r="A698" s="17" t="s">
        <v>97</v>
      </c>
      <c r="B698" s="8">
        <v>40545</v>
      </c>
      <c r="C698" s="8" t="str">
        <f t="shared" si="33"/>
        <v>Sunday</v>
      </c>
      <c r="D698" s="9">
        <v>1</v>
      </c>
      <c r="E698" s="9">
        <v>0</v>
      </c>
      <c r="F698" s="9">
        <v>2</v>
      </c>
      <c r="G698" s="7">
        <v>6</v>
      </c>
      <c r="H698" s="9" t="b">
        <v>0</v>
      </c>
      <c r="I698" s="9">
        <v>2</v>
      </c>
      <c r="J698" s="38" t="str">
        <f>CHOOSE(Table1[[#This Row],[Weekday]]+1,"Sunday","Monday","Tuesday","Wednesday","Thursday","Friday","Saturday")</f>
        <v>Tuesday</v>
      </c>
      <c r="K698" s="9">
        <v>3</v>
      </c>
      <c r="L698" s="38" t="str">
        <f>IF(Table1[[#This Row],[Weather_code]]=1,"Clear",IF(Table1[[#This Row],[Weather_code]]=2,"Cloudy",IF(Table1[[#This Row],[Weather_code]]=3,"Light Rain",IF(Table1[[#This Row],[Weather_code]]=4,"Heavy Rain"))))</f>
        <v>Light Rain</v>
      </c>
      <c r="M698" s="9">
        <v>0.14000000000000001</v>
      </c>
      <c r="N698" s="11" t="str">
        <f t="shared" si="34"/>
        <v>Winter</v>
      </c>
      <c r="O698" s="11" t="str">
        <f t="shared" si="32"/>
        <v>Weekend</v>
      </c>
      <c r="P698" s="9">
        <v>0.21210000000000001</v>
      </c>
      <c r="Q698" s="7">
        <f>Table1[[#This Row],[A_Temperature]]*41</f>
        <v>8.6961000000000013</v>
      </c>
      <c r="R698" s="9">
        <v>0.93</v>
      </c>
      <c r="S698" s="9">
        <v>0</v>
      </c>
      <c r="T698" s="9">
        <v>0</v>
      </c>
      <c r="U698" s="9">
        <v>22</v>
      </c>
      <c r="V698" s="19">
        <v>22</v>
      </c>
    </row>
    <row r="699" spans="1:22" s="13" customFormat="1" ht="30" customHeight="1">
      <c r="A699" s="17" t="s">
        <v>98</v>
      </c>
      <c r="B699" s="8">
        <v>40545</v>
      </c>
      <c r="C699" s="8" t="str">
        <f t="shared" si="33"/>
        <v>Sunday</v>
      </c>
      <c r="D699" s="9">
        <v>1</v>
      </c>
      <c r="E699" s="9">
        <v>0</v>
      </c>
      <c r="F699" s="9">
        <v>2</v>
      </c>
      <c r="G699" s="7">
        <v>7</v>
      </c>
      <c r="H699" s="9" t="b">
        <v>0</v>
      </c>
      <c r="I699" s="9">
        <v>2</v>
      </c>
      <c r="J699" s="38" t="str">
        <f>CHOOSE(Table1[[#This Row],[Weekday]]+1,"Sunday","Monday","Tuesday","Wednesday","Thursday","Friday","Saturday")</f>
        <v>Tuesday</v>
      </c>
      <c r="K699" s="9">
        <v>3</v>
      </c>
      <c r="L699" s="38" t="str">
        <f>IF(Table1[[#This Row],[Weather_code]]=1,"Clear",IF(Table1[[#This Row],[Weather_code]]=2,"Cloudy",IF(Table1[[#This Row],[Weather_code]]=3,"Light Rain",IF(Table1[[#This Row],[Weather_code]]=4,"Heavy Rain"))))</f>
        <v>Light Rain</v>
      </c>
      <c r="M699" s="9">
        <v>0.16</v>
      </c>
      <c r="N699" s="11" t="str">
        <f t="shared" si="34"/>
        <v>Winter</v>
      </c>
      <c r="O699" s="11" t="str">
        <f t="shared" si="32"/>
        <v>Weekend</v>
      </c>
      <c r="P699" s="9">
        <v>0.2273</v>
      </c>
      <c r="Q699" s="7">
        <f>Table1[[#This Row],[A_Temperature]]*41</f>
        <v>9.3193000000000001</v>
      </c>
      <c r="R699" s="9">
        <v>0.93</v>
      </c>
      <c r="S699" s="9">
        <v>0</v>
      </c>
      <c r="T699" s="9">
        <v>0</v>
      </c>
      <c r="U699" s="9">
        <v>52</v>
      </c>
      <c r="V699" s="19">
        <v>52</v>
      </c>
    </row>
    <row r="700" spans="1:22" s="13" customFormat="1" ht="30" customHeight="1">
      <c r="A700" s="17" t="s">
        <v>99</v>
      </c>
      <c r="B700" s="8">
        <v>40545</v>
      </c>
      <c r="C700" s="8" t="str">
        <f t="shared" si="33"/>
        <v>Sunday</v>
      </c>
      <c r="D700" s="9">
        <v>1</v>
      </c>
      <c r="E700" s="9">
        <v>0</v>
      </c>
      <c r="F700" s="9">
        <v>2</v>
      </c>
      <c r="G700" s="7">
        <v>8</v>
      </c>
      <c r="H700" s="9" t="b">
        <v>0</v>
      </c>
      <c r="I700" s="9">
        <v>2</v>
      </c>
      <c r="J700" s="38" t="str">
        <f>CHOOSE(Table1[[#This Row],[Weekday]]+1,"Sunday","Monday","Tuesday","Wednesday","Thursday","Friday","Saturday")</f>
        <v>Tuesday</v>
      </c>
      <c r="K700" s="9">
        <v>3</v>
      </c>
      <c r="L700" s="38" t="str">
        <f>IF(Table1[[#This Row],[Weather_code]]=1,"Clear",IF(Table1[[#This Row],[Weather_code]]=2,"Cloudy",IF(Table1[[#This Row],[Weather_code]]=3,"Light Rain",IF(Table1[[#This Row],[Weather_code]]=4,"Heavy Rain"))))</f>
        <v>Light Rain</v>
      </c>
      <c r="M700" s="9">
        <v>0.16</v>
      </c>
      <c r="N700" s="11" t="str">
        <f t="shared" si="34"/>
        <v>Winter</v>
      </c>
      <c r="O700" s="11" t="str">
        <f t="shared" si="32"/>
        <v>Weekend</v>
      </c>
      <c r="P700" s="9">
        <v>0.2273</v>
      </c>
      <c r="Q700" s="7">
        <f>Table1[[#This Row],[A_Temperature]]*41</f>
        <v>9.3193000000000001</v>
      </c>
      <c r="R700" s="9">
        <v>0.93</v>
      </c>
      <c r="S700" s="9">
        <v>0</v>
      </c>
      <c r="T700" s="9">
        <v>3</v>
      </c>
      <c r="U700" s="9">
        <v>132</v>
      </c>
      <c r="V700" s="19">
        <v>135</v>
      </c>
    </row>
    <row r="701" spans="1:22" s="13" customFormat="1" ht="30" customHeight="1">
      <c r="A701" s="17" t="s">
        <v>100</v>
      </c>
      <c r="B701" s="8">
        <v>40545</v>
      </c>
      <c r="C701" s="8" t="str">
        <f t="shared" si="33"/>
        <v>Sunday</v>
      </c>
      <c r="D701" s="9">
        <v>1</v>
      </c>
      <c r="E701" s="9">
        <v>0</v>
      </c>
      <c r="F701" s="9">
        <v>2</v>
      </c>
      <c r="G701" s="7">
        <v>9</v>
      </c>
      <c r="H701" s="9" t="b">
        <v>0</v>
      </c>
      <c r="I701" s="9">
        <v>2</v>
      </c>
      <c r="J701" s="38" t="str">
        <f>CHOOSE(Table1[[#This Row],[Weekday]]+1,"Sunday","Monday","Tuesday","Wednesday","Thursday","Friday","Saturday")</f>
        <v>Tuesday</v>
      </c>
      <c r="K701" s="9">
        <v>2</v>
      </c>
      <c r="L701" s="38" t="str">
        <f>IF(Table1[[#This Row],[Weather_code]]=1,"Clear",IF(Table1[[#This Row],[Weather_code]]=2,"Cloudy",IF(Table1[[#This Row],[Weather_code]]=3,"Light Rain",IF(Table1[[#This Row],[Weather_code]]=4,"Heavy Rain"))))</f>
        <v>Cloudy</v>
      </c>
      <c r="M701" s="9">
        <v>0.16</v>
      </c>
      <c r="N701" s="11" t="str">
        <f t="shared" si="34"/>
        <v>Winter</v>
      </c>
      <c r="O701" s="11" t="str">
        <f t="shared" si="32"/>
        <v>Weekend</v>
      </c>
      <c r="P701" s="9">
        <v>0.2273</v>
      </c>
      <c r="Q701" s="7">
        <f>Table1[[#This Row],[A_Temperature]]*41</f>
        <v>9.3193000000000001</v>
      </c>
      <c r="R701" s="9">
        <v>0.93</v>
      </c>
      <c r="S701" s="9">
        <v>0</v>
      </c>
      <c r="T701" s="9">
        <v>2</v>
      </c>
      <c r="U701" s="9">
        <v>114</v>
      </c>
      <c r="V701" s="19">
        <v>116</v>
      </c>
    </row>
    <row r="702" spans="1:22" s="13" customFormat="1" ht="30" customHeight="1">
      <c r="A702" s="17" t="s">
        <v>101</v>
      </c>
      <c r="B702" s="8">
        <v>40545</v>
      </c>
      <c r="C702" s="8" t="str">
        <f t="shared" si="33"/>
        <v>Sunday</v>
      </c>
      <c r="D702" s="9">
        <v>1</v>
      </c>
      <c r="E702" s="9">
        <v>0</v>
      </c>
      <c r="F702" s="9">
        <v>2</v>
      </c>
      <c r="G702" s="7">
        <v>10</v>
      </c>
      <c r="H702" s="9" t="b">
        <v>0</v>
      </c>
      <c r="I702" s="9">
        <v>2</v>
      </c>
      <c r="J702" s="38" t="str">
        <f>CHOOSE(Table1[[#This Row],[Weekday]]+1,"Sunday","Monday","Tuesday","Wednesday","Thursday","Friday","Saturday")</f>
        <v>Tuesday</v>
      </c>
      <c r="K702" s="9">
        <v>2</v>
      </c>
      <c r="L702" s="38" t="str">
        <f>IF(Table1[[#This Row],[Weather_code]]=1,"Clear",IF(Table1[[#This Row],[Weather_code]]=2,"Cloudy",IF(Table1[[#This Row],[Weather_code]]=3,"Light Rain",IF(Table1[[#This Row],[Weather_code]]=4,"Heavy Rain"))))</f>
        <v>Cloudy</v>
      </c>
      <c r="M702" s="9">
        <v>0.16</v>
      </c>
      <c r="N702" s="11" t="str">
        <f t="shared" si="34"/>
        <v>Winter</v>
      </c>
      <c r="O702" s="11" t="str">
        <f t="shared" si="32"/>
        <v>Weekend</v>
      </c>
      <c r="P702" s="9">
        <v>0.2273</v>
      </c>
      <c r="Q702" s="7">
        <f>Table1[[#This Row],[A_Temperature]]*41</f>
        <v>9.3193000000000001</v>
      </c>
      <c r="R702" s="9">
        <v>0.93</v>
      </c>
      <c r="S702" s="9">
        <v>0</v>
      </c>
      <c r="T702" s="9">
        <v>0</v>
      </c>
      <c r="U702" s="9">
        <v>47</v>
      </c>
      <c r="V702" s="19">
        <v>47</v>
      </c>
    </row>
    <row r="703" spans="1:22" s="13" customFormat="1" ht="30" customHeight="1">
      <c r="A703" s="17" t="s">
        <v>102</v>
      </c>
      <c r="B703" s="8">
        <v>40545</v>
      </c>
      <c r="C703" s="8" t="str">
        <f t="shared" si="33"/>
        <v>Sunday</v>
      </c>
      <c r="D703" s="9">
        <v>1</v>
      </c>
      <c r="E703" s="9">
        <v>0</v>
      </c>
      <c r="F703" s="9">
        <v>2</v>
      </c>
      <c r="G703" s="7">
        <v>11</v>
      </c>
      <c r="H703" s="9" t="b">
        <v>0</v>
      </c>
      <c r="I703" s="9">
        <v>2</v>
      </c>
      <c r="J703" s="38" t="str">
        <f>CHOOSE(Table1[[#This Row],[Weekday]]+1,"Sunday","Monday","Tuesday","Wednesday","Thursday","Friday","Saturday")</f>
        <v>Tuesday</v>
      </c>
      <c r="K703" s="9">
        <v>2</v>
      </c>
      <c r="L703" s="38" t="str">
        <f>IF(Table1[[#This Row],[Weather_code]]=1,"Clear",IF(Table1[[#This Row],[Weather_code]]=2,"Cloudy",IF(Table1[[#This Row],[Weather_code]]=3,"Light Rain",IF(Table1[[#This Row],[Weather_code]]=4,"Heavy Rain"))))</f>
        <v>Cloudy</v>
      </c>
      <c r="M703" s="9">
        <v>0.18</v>
      </c>
      <c r="N703" s="11" t="str">
        <f t="shared" si="34"/>
        <v>Winter</v>
      </c>
      <c r="O703" s="11" t="str">
        <f t="shared" si="32"/>
        <v>Weekend</v>
      </c>
      <c r="P703" s="9">
        <v>0.2424</v>
      </c>
      <c r="Q703" s="7">
        <f>Table1[[#This Row],[A_Temperature]]*41</f>
        <v>9.9383999999999997</v>
      </c>
      <c r="R703" s="9">
        <v>0.86</v>
      </c>
      <c r="S703" s="9">
        <v>0</v>
      </c>
      <c r="T703" s="9">
        <v>2</v>
      </c>
      <c r="U703" s="9">
        <v>49</v>
      </c>
      <c r="V703" s="19">
        <v>51</v>
      </c>
    </row>
    <row r="704" spans="1:22" s="13" customFormat="1" ht="30" customHeight="1">
      <c r="A704" s="17" t="s">
        <v>103</v>
      </c>
      <c r="B704" s="8">
        <v>40545</v>
      </c>
      <c r="C704" s="8" t="str">
        <f t="shared" si="33"/>
        <v>Sunday</v>
      </c>
      <c r="D704" s="9">
        <v>1</v>
      </c>
      <c r="E704" s="9">
        <v>0</v>
      </c>
      <c r="F704" s="9">
        <v>2</v>
      </c>
      <c r="G704" s="7">
        <v>12</v>
      </c>
      <c r="H704" s="9" t="b">
        <v>0</v>
      </c>
      <c r="I704" s="9">
        <v>2</v>
      </c>
      <c r="J704" s="38" t="str">
        <f>CHOOSE(Table1[[#This Row],[Weekday]]+1,"Sunday","Monday","Tuesday","Wednesday","Thursday","Friday","Saturday")</f>
        <v>Tuesday</v>
      </c>
      <c r="K704" s="9">
        <v>2</v>
      </c>
      <c r="L704" s="38" t="str">
        <f>IF(Table1[[#This Row],[Weather_code]]=1,"Clear",IF(Table1[[#This Row],[Weather_code]]=2,"Cloudy",IF(Table1[[#This Row],[Weather_code]]=3,"Light Rain",IF(Table1[[#This Row],[Weather_code]]=4,"Heavy Rain"))))</f>
        <v>Cloudy</v>
      </c>
      <c r="M704" s="9">
        <v>0.2</v>
      </c>
      <c r="N704" s="11" t="str">
        <f t="shared" si="34"/>
        <v>Winter</v>
      </c>
      <c r="O704" s="11" t="str">
        <f t="shared" si="32"/>
        <v>Weekend</v>
      </c>
      <c r="P704" s="9">
        <v>0.2576</v>
      </c>
      <c r="Q704" s="7">
        <f>Table1[[#This Row],[A_Temperature]]*41</f>
        <v>10.5616</v>
      </c>
      <c r="R704" s="9">
        <v>0.86</v>
      </c>
      <c r="S704" s="9">
        <v>0</v>
      </c>
      <c r="T704" s="9">
        <v>2</v>
      </c>
      <c r="U704" s="9">
        <v>53</v>
      </c>
      <c r="V704" s="19">
        <v>55</v>
      </c>
    </row>
    <row r="705" spans="1:22" s="13" customFormat="1" ht="30" customHeight="1">
      <c r="A705" s="17" t="s">
        <v>104</v>
      </c>
      <c r="B705" s="8">
        <v>40545</v>
      </c>
      <c r="C705" s="8" t="str">
        <f t="shared" si="33"/>
        <v>Sunday</v>
      </c>
      <c r="D705" s="9">
        <v>1</v>
      </c>
      <c r="E705" s="9">
        <v>0</v>
      </c>
      <c r="F705" s="9">
        <v>2</v>
      </c>
      <c r="G705" s="7">
        <v>13</v>
      </c>
      <c r="H705" s="9" t="b">
        <v>0</v>
      </c>
      <c r="I705" s="9">
        <v>2</v>
      </c>
      <c r="J705" s="38" t="str">
        <f>CHOOSE(Table1[[#This Row],[Weekday]]+1,"Sunday","Monday","Tuesday","Wednesday","Thursday","Friday","Saturday")</f>
        <v>Tuesday</v>
      </c>
      <c r="K705" s="9">
        <v>2</v>
      </c>
      <c r="L705" s="38" t="str">
        <f>IF(Table1[[#This Row],[Weather_code]]=1,"Clear",IF(Table1[[#This Row],[Weather_code]]=2,"Cloudy",IF(Table1[[#This Row],[Weather_code]]=3,"Light Rain",IF(Table1[[#This Row],[Weather_code]]=4,"Heavy Rain"))))</f>
        <v>Cloudy</v>
      </c>
      <c r="M705" s="9">
        <v>0.2</v>
      </c>
      <c r="N705" s="11" t="str">
        <f t="shared" si="34"/>
        <v>Winter</v>
      </c>
      <c r="O705" s="11" t="str">
        <f t="shared" si="32"/>
        <v>Weekend</v>
      </c>
      <c r="P705" s="9">
        <v>0.2576</v>
      </c>
      <c r="Q705" s="7">
        <f>Table1[[#This Row],[A_Temperature]]*41</f>
        <v>10.5616</v>
      </c>
      <c r="R705" s="9">
        <v>0.86</v>
      </c>
      <c r="S705" s="9">
        <v>0</v>
      </c>
      <c r="T705" s="9">
        <v>3</v>
      </c>
      <c r="U705" s="9">
        <v>49</v>
      </c>
      <c r="V705" s="19">
        <v>52</v>
      </c>
    </row>
    <row r="706" spans="1:22" s="13" customFormat="1" ht="30" customHeight="1">
      <c r="A706" s="17" t="s">
        <v>105</v>
      </c>
      <c r="B706" s="8">
        <v>40545</v>
      </c>
      <c r="C706" s="8" t="str">
        <f t="shared" si="33"/>
        <v>Sunday</v>
      </c>
      <c r="D706" s="9">
        <v>1</v>
      </c>
      <c r="E706" s="9">
        <v>0</v>
      </c>
      <c r="F706" s="9">
        <v>2</v>
      </c>
      <c r="G706" s="7">
        <v>14</v>
      </c>
      <c r="H706" s="9" t="b">
        <v>0</v>
      </c>
      <c r="I706" s="9">
        <v>2</v>
      </c>
      <c r="J706" s="38" t="str">
        <f>CHOOSE(Table1[[#This Row],[Weekday]]+1,"Sunday","Monday","Tuesday","Wednesday","Thursday","Friday","Saturday")</f>
        <v>Tuesday</v>
      </c>
      <c r="K706" s="9">
        <v>2</v>
      </c>
      <c r="L706" s="38" t="str">
        <f>IF(Table1[[#This Row],[Weather_code]]=1,"Clear",IF(Table1[[#This Row],[Weather_code]]=2,"Cloudy",IF(Table1[[#This Row],[Weather_code]]=3,"Light Rain",IF(Table1[[#This Row],[Weather_code]]=4,"Heavy Rain"))))</f>
        <v>Cloudy</v>
      </c>
      <c r="M706" s="9">
        <v>0.22</v>
      </c>
      <c r="N706" s="11" t="str">
        <f t="shared" si="34"/>
        <v>Winter</v>
      </c>
      <c r="O706" s="11" t="str">
        <f t="shared" si="32"/>
        <v>Weekend</v>
      </c>
      <c r="P706" s="9">
        <v>0.2576</v>
      </c>
      <c r="Q706" s="7">
        <f>Table1[[#This Row],[A_Temperature]]*41</f>
        <v>10.5616</v>
      </c>
      <c r="R706" s="9">
        <v>0.8</v>
      </c>
      <c r="S706" s="9">
        <v>8.9599999999999999E-2</v>
      </c>
      <c r="T706" s="9">
        <v>5</v>
      </c>
      <c r="U706" s="9">
        <v>49</v>
      </c>
      <c r="V706" s="19">
        <v>54</v>
      </c>
    </row>
    <row r="707" spans="1:22" s="13" customFormat="1" ht="30" customHeight="1">
      <c r="A707" s="17" t="s">
        <v>106</v>
      </c>
      <c r="B707" s="8">
        <v>40545</v>
      </c>
      <c r="C707" s="8" t="str">
        <f t="shared" si="33"/>
        <v>Sunday</v>
      </c>
      <c r="D707" s="9">
        <v>1</v>
      </c>
      <c r="E707" s="9">
        <v>0</v>
      </c>
      <c r="F707" s="9">
        <v>2</v>
      </c>
      <c r="G707" s="7">
        <v>15</v>
      </c>
      <c r="H707" s="9" t="b">
        <v>0</v>
      </c>
      <c r="I707" s="9">
        <v>2</v>
      </c>
      <c r="J707" s="38" t="str">
        <f>CHOOSE(Table1[[#This Row],[Weekday]]+1,"Sunday","Monday","Tuesday","Wednesday","Thursday","Friday","Saturday")</f>
        <v>Tuesday</v>
      </c>
      <c r="K707" s="9">
        <v>2</v>
      </c>
      <c r="L707" s="38" t="str">
        <f>IF(Table1[[#This Row],[Weather_code]]=1,"Clear",IF(Table1[[#This Row],[Weather_code]]=2,"Cloudy",IF(Table1[[#This Row],[Weather_code]]=3,"Light Rain",IF(Table1[[#This Row],[Weather_code]]=4,"Heavy Rain"))))</f>
        <v>Cloudy</v>
      </c>
      <c r="M707" s="9">
        <v>0.24</v>
      </c>
      <c r="N707" s="11" t="str">
        <f t="shared" si="34"/>
        <v>Winter</v>
      </c>
      <c r="O707" s="11" t="str">
        <f t="shared" si="32"/>
        <v>Weekend</v>
      </c>
      <c r="P707" s="9">
        <v>0.28789999999999999</v>
      </c>
      <c r="Q707" s="7">
        <f>Table1[[#This Row],[A_Temperature]]*41</f>
        <v>11.803899999999999</v>
      </c>
      <c r="R707" s="9">
        <v>0.75</v>
      </c>
      <c r="S707" s="9">
        <v>0</v>
      </c>
      <c r="T707" s="9">
        <v>7</v>
      </c>
      <c r="U707" s="9">
        <v>45</v>
      </c>
      <c r="V707" s="19">
        <v>52</v>
      </c>
    </row>
    <row r="708" spans="1:22" s="13" customFormat="1" ht="30" customHeight="1">
      <c r="A708" s="17" t="s">
        <v>107</v>
      </c>
      <c r="B708" s="8">
        <v>40545</v>
      </c>
      <c r="C708" s="8" t="str">
        <f t="shared" si="33"/>
        <v>Sunday</v>
      </c>
      <c r="D708" s="9">
        <v>1</v>
      </c>
      <c r="E708" s="9">
        <v>0</v>
      </c>
      <c r="F708" s="9">
        <v>2</v>
      </c>
      <c r="G708" s="7">
        <v>16</v>
      </c>
      <c r="H708" s="9" t="b">
        <v>0</v>
      </c>
      <c r="I708" s="9">
        <v>2</v>
      </c>
      <c r="J708" s="38" t="str">
        <f>CHOOSE(Table1[[#This Row],[Weekday]]+1,"Sunday","Monday","Tuesday","Wednesday","Thursday","Friday","Saturday")</f>
        <v>Tuesday</v>
      </c>
      <c r="K708" s="9">
        <v>2</v>
      </c>
      <c r="L708" s="38" t="str">
        <f>IF(Table1[[#This Row],[Weather_code]]=1,"Clear",IF(Table1[[#This Row],[Weather_code]]=2,"Cloudy",IF(Table1[[#This Row],[Weather_code]]=3,"Light Rain",IF(Table1[[#This Row],[Weather_code]]=4,"Heavy Rain"))))</f>
        <v>Cloudy</v>
      </c>
      <c r="M708" s="9">
        <v>0.24</v>
      </c>
      <c r="N708" s="11" t="str">
        <f t="shared" si="34"/>
        <v>Winter</v>
      </c>
      <c r="O708" s="11" t="str">
        <f t="shared" si="32"/>
        <v>Weekend</v>
      </c>
      <c r="P708" s="9">
        <v>0.2424</v>
      </c>
      <c r="Q708" s="7">
        <f>Table1[[#This Row],[A_Temperature]]*41</f>
        <v>9.9383999999999997</v>
      </c>
      <c r="R708" s="9">
        <v>0.75</v>
      </c>
      <c r="S708" s="9">
        <v>0.1343</v>
      </c>
      <c r="T708" s="9">
        <v>3</v>
      </c>
      <c r="U708" s="9">
        <v>61</v>
      </c>
      <c r="V708" s="19">
        <v>64</v>
      </c>
    </row>
    <row r="709" spans="1:22" s="13" customFormat="1" ht="30" customHeight="1">
      <c r="A709" s="17" t="s">
        <v>108</v>
      </c>
      <c r="B709" s="8">
        <v>40545</v>
      </c>
      <c r="C709" s="8" t="str">
        <f t="shared" si="33"/>
        <v>Sunday</v>
      </c>
      <c r="D709" s="9">
        <v>1</v>
      </c>
      <c r="E709" s="9">
        <v>0</v>
      </c>
      <c r="F709" s="9">
        <v>2</v>
      </c>
      <c r="G709" s="7">
        <v>17</v>
      </c>
      <c r="H709" s="9" t="b">
        <v>0</v>
      </c>
      <c r="I709" s="9">
        <v>2</v>
      </c>
      <c r="J709" s="38" t="str">
        <f>CHOOSE(Table1[[#This Row],[Weekday]]+1,"Sunday","Monday","Tuesday","Wednesday","Thursday","Friday","Saturday")</f>
        <v>Tuesday</v>
      </c>
      <c r="K709" s="9">
        <v>2</v>
      </c>
      <c r="L709" s="38" t="str">
        <f>IF(Table1[[#This Row],[Weather_code]]=1,"Clear",IF(Table1[[#This Row],[Weather_code]]=2,"Cloudy",IF(Table1[[#This Row],[Weather_code]]=3,"Light Rain",IF(Table1[[#This Row],[Weather_code]]=4,"Heavy Rain"))))</f>
        <v>Cloudy</v>
      </c>
      <c r="M709" s="9">
        <v>0.24</v>
      </c>
      <c r="N709" s="11" t="str">
        <f t="shared" si="34"/>
        <v>Winter</v>
      </c>
      <c r="O709" s="11" t="str">
        <f t="shared" si="32"/>
        <v>Weekend</v>
      </c>
      <c r="P709" s="9">
        <v>0.28789999999999999</v>
      </c>
      <c r="Q709" s="7">
        <f>Table1[[#This Row],[A_Temperature]]*41</f>
        <v>11.803899999999999</v>
      </c>
      <c r="R709" s="9">
        <v>0.75</v>
      </c>
      <c r="S709" s="9">
        <v>0</v>
      </c>
      <c r="T709" s="9">
        <v>4</v>
      </c>
      <c r="U709" s="9">
        <v>172</v>
      </c>
      <c r="V709" s="19">
        <v>176</v>
      </c>
    </row>
    <row r="710" spans="1:22" s="13" customFormat="1" ht="30" customHeight="1">
      <c r="A710" s="17" t="s">
        <v>109</v>
      </c>
      <c r="B710" s="8">
        <v>40545</v>
      </c>
      <c r="C710" s="8" t="str">
        <f t="shared" si="33"/>
        <v>Sunday</v>
      </c>
      <c r="D710" s="9">
        <v>1</v>
      </c>
      <c r="E710" s="9">
        <v>0</v>
      </c>
      <c r="F710" s="9">
        <v>2</v>
      </c>
      <c r="G710" s="7">
        <v>18</v>
      </c>
      <c r="H710" s="9" t="b">
        <v>0</v>
      </c>
      <c r="I710" s="9">
        <v>2</v>
      </c>
      <c r="J710" s="38" t="str">
        <f>CHOOSE(Table1[[#This Row],[Weekday]]+1,"Sunday","Monday","Tuesday","Wednesday","Thursday","Friday","Saturday")</f>
        <v>Tuesday</v>
      </c>
      <c r="K710" s="9">
        <v>2</v>
      </c>
      <c r="L710" s="38" t="str">
        <f>IF(Table1[[#This Row],[Weather_code]]=1,"Clear",IF(Table1[[#This Row],[Weather_code]]=2,"Cloudy",IF(Table1[[#This Row],[Weather_code]]=3,"Light Rain",IF(Table1[[#This Row],[Weather_code]]=4,"Heavy Rain"))))</f>
        <v>Cloudy</v>
      </c>
      <c r="M710" s="9">
        <v>0.24</v>
      </c>
      <c r="N710" s="11" t="str">
        <f t="shared" si="34"/>
        <v>Winter</v>
      </c>
      <c r="O710" s="11" t="str">
        <f t="shared" ref="O710:O773" si="35">IF(OR(WEEKDAY(B710,2)=6,WEEKDAY(B710,2)=7),"Weekend","Weekday")</f>
        <v>Weekend</v>
      </c>
      <c r="P710" s="9">
        <v>0.2576</v>
      </c>
      <c r="Q710" s="7">
        <f>Table1[[#This Row],[A_Temperature]]*41</f>
        <v>10.5616</v>
      </c>
      <c r="R710" s="9">
        <v>0.81</v>
      </c>
      <c r="S710" s="9">
        <v>0.1045</v>
      </c>
      <c r="T710" s="9">
        <v>3</v>
      </c>
      <c r="U710" s="9">
        <v>165</v>
      </c>
      <c r="V710" s="19">
        <v>168</v>
      </c>
    </row>
    <row r="711" spans="1:22" s="13" customFormat="1" ht="30" customHeight="1">
      <c r="A711" s="17" t="s">
        <v>110</v>
      </c>
      <c r="B711" s="8">
        <v>40545</v>
      </c>
      <c r="C711" s="8" t="str">
        <f t="shared" si="33"/>
        <v>Sunday</v>
      </c>
      <c r="D711" s="9">
        <v>1</v>
      </c>
      <c r="E711" s="9">
        <v>0</v>
      </c>
      <c r="F711" s="9">
        <v>2</v>
      </c>
      <c r="G711" s="7">
        <v>19</v>
      </c>
      <c r="H711" s="9" t="b">
        <v>0</v>
      </c>
      <c r="I711" s="9">
        <v>2</v>
      </c>
      <c r="J711" s="38" t="str">
        <f>CHOOSE(Table1[[#This Row],[Weekday]]+1,"Sunday","Monday","Tuesday","Wednesday","Thursday","Friday","Saturday")</f>
        <v>Tuesday</v>
      </c>
      <c r="K711" s="9">
        <v>2</v>
      </c>
      <c r="L711" s="38" t="str">
        <f>IF(Table1[[#This Row],[Weather_code]]=1,"Clear",IF(Table1[[#This Row],[Weather_code]]=2,"Cloudy",IF(Table1[[#This Row],[Weather_code]]=3,"Light Rain",IF(Table1[[#This Row],[Weather_code]]=4,"Heavy Rain"))))</f>
        <v>Cloudy</v>
      </c>
      <c r="M711" s="9">
        <v>0.24</v>
      </c>
      <c r="N711" s="11" t="str">
        <f t="shared" si="34"/>
        <v>Winter</v>
      </c>
      <c r="O711" s="11" t="str">
        <f t="shared" si="35"/>
        <v>Weekend</v>
      </c>
      <c r="P711" s="9">
        <v>0.2424</v>
      </c>
      <c r="Q711" s="7">
        <f>Table1[[#This Row],[A_Temperature]]*41</f>
        <v>9.9383999999999997</v>
      </c>
      <c r="R711" s="9">
        <v>0.81</v>
      </c>
      <c r="S711" s="9">
        <v>0.1343</v>
      </c>
      <c r="T711" s="9">
        <v>3</v>
      </c>
      <c r="U711" s="9">
        <v>105</v>
      </c>
      <c r="V711" s="19">
        <v>108</v>
      </c>
    </row>
    <row r="712" spans="1:22" s="13" customFormat="1" ht="30" customHeight="1">
      <c r="A712" s="17" t="s">
        <v>111</v>
      </c>
      <c r="B712" s="8">
        <v>40545</v>
      </c>
      <c r="C712" s="8" t="str">
        <f t="shared" si="33"/>
        <v>Sunday</v>
      </c>
      <c r="D712" s="9">
        <v>1</v>
      </c>
      <c r="E712" s="9">
        <v>0</v>
      </c>
      <c r="F712" s="9">
        <v>2</v>
      </c>
      <c r="G712" s="7">
        <v>20</v>
      </c>
      <c r="H712" s="9" t="b">
        <v>0</v>
      </c>
      <c r="I712" s="9">
        <v>2</v>
      </c>
      <c r="J712" s="38" t="str">
        <f>CHOOSE(Table1[[#This Row],[Weekday]]+1,"Sunday","Monday","Tuesday","Wednesday","Thursday","Friday","Saturday")</f>
        <v>Tuesday</v>
      </c>
      <c r="K712" s="9">
        <v>2</v>
      </c>
      <c r="L712" s="38" t="str">
        <f>IF(Table1[[#This Row],[Weather_code]]=1,"Clear",IF(Table1[[#This Row],[Weather_code]]=2,"Cloudy",IF(Table1[[#This Row],[Weather_code]]=3,"Light Rain",IF(Table1[[#This Row],[Weather_code]]=4,"Heavy Rain"))))</f>
        <v>Cloudy</v>
      </c>
      <c r="M712" s="9">
        <v>0.22</v>
      </c>
      <c r="N712" s="11" t="str">
        <f t="shared" si="34"/>
        <v>Winter</v>
      </c>
      <c r="O712" s="11" t="str">
        <f t="shared" si="35"/>
        <v>Weekend</v>
      </c>
      <c r="P712" s="9">
        <v>0.2273</v>
      </c>
      <c r="Q712" s="7">
        <f>Table1[[#This Row],[A_Temperature]]*41</f>
        <v>9.3193000000000001</v>
      </c>
      <c r="R712" s="9">
        <v>0.87</v>
      </c>
      <c r="S712" s="9">
        <v>0.1343</v>
      </c>
      <c r="T712" s="9">
        <v>5</v>
      </c>
      <c r="U712" s="9">
        <v>69</v>
      </c>
      <c r="V712" s="19">
        <v>74</v>
      </c>
    </row>
    <row r="713" spans="1:22" s="13" customFormat="1" ht="30" customHeight="1">
      <c r="A713" s="17" t="s">
        <v>112</v>
      </c>
      <c r="B713" s="8">
        <v>40545</v>
      </c>
      <c r="C713" s="8" t="str">
        <f t="shared" si="33"/>
        <v>Sunday</v>
      </c>
      <c r="D713" s="9">
        <v>1</v>
      </c>
      <c r="E713" s="9">
        <v>0</v>
      </c>
      <c r="F713" s="9">
        <v>2</v>
      </c>
      <c r="G713" s="7">
        <v>21</v>
      </c>
      <c r="H713" s="9" t="b">
        <v>0</v>
      </c>
      <c r="I713" s="9">
        <v>2</v>
      </c>
      <c r="J713" s="38" t="str">
        <f>CHOOSE(Table1[[#This Row],[Weekday]]+1,"Sunday","Monday","Tuesday","Wednesday","Thursday","Friday","Saturday")</f>
        <v>Tuesday</v>
      </c>
      <c r="K713" s="9">
        <v>2</v>
      </c>
      <c r="L713" s="38" t="str">
        <f>IF(Table1[[#This Row],[Weather_code]]=1,"Clear",IF(Table1[[#This Row],[Weather_code]]=2,"Cloudy",IF(Table1[[#This Row],[Weather_code]]=3,"Light Rain",IF(Table1[[#This Row],[Weather_code]]=4,"Heavy Rain"))))</f>
        <v>Cloudy</v>
      </c>
      <c r="M713" s="9">
        <v>0.22</v>
      </c>
      <c r="N713" s="11" t="str">
        <f t="shared" si="34"/>
        <v>Winter</v>
      </c>
      <c r="O713" s="11" t="str">
        <f t="shared" si="35"/>
        <v>Weekend</v>
      </c>
      <c r="P713" s="9">
        <v>0.2273</v>
      </c>
      <c r="Q713" s="7">
        <f>Table1[[#This Row],[A_Temperature]]*41</f>
        <v>9.3193000000000001</v>
      </c>
      <c r="R713" s="9">
        <v>0.87</v>
      </c>
      <c r="S713" s="9">
        <v>0.1343</v>
      </c>
      <c r="T713" s="9">
        <v>0</v>
      </c>
      <c r="U713" s="9">
        <v>64</v>
      </c>
      <c r="V713" s="19">
        <v>64</v>
      </c>
    </row>
    <row r="714" spans="1:22" s="13" customFormat="1" ht="30" customHeight="1">
      <c r="A714" s="17" t="s">
        <v>113</v>
      </c>
      <c r="B714" s="8">
        <v>40545</v>
      </c>
      <c r="C714" s="8" t="str">
        <f t="shared" si="33"/>
        <v>Sunday</v>
      </c>
      <c r="D714" s="9">
        <v>1</v>
      </c>
      <c r="E714" s="9">
        <v>0</v>
      </c>
      <c r="F714" s="9">
        <v>2</v>
      </c>
      <c r="G714" s="7">
        <v>22</v>
      </c>
      <c r="H714" s="9" t="b">
        <v>0</v>
      </c>
      <c r="I714" s="9">
        <v>2</v>
      </c>
      <c r="J714" s="38" t="str">
        <f>CHOOSE(Table1[[#This Row],[Weekday]]+1,"Sunday","Monday","Tuesday","Wednesday","Thursday","Friday","Saturday")</f>
        <v>Tuesday</v>
      </c>
      <c r="K714" s="9">
        <v>2</v>
      </c>
      <c r="L714" s="38" t="str">
        <f>IF(Table1[[#This Row],[Weather_code]]=1,"Clear",IF(Table1[[#This Row],[Weather_code]]=2,"Cloudy",IF(Table1[[#This Row],[Weather_code]]=3,"Light Rain",IF(Table1[[#This Row],[Weather_code]]=4,"Heavy Rain"))))</f>
        <v>Cloudy</v>
      </c>
      <c r="M714" s="9">
        <v>0.22</v>
      </c>
      <c r="N714" s="11" t="str">
        <f t="shared" si="34"/>
        <v>Winter</v>
      </c>
      <c r="O714" s="11" t="str">
        <f t="shared" si="35"/>
        <v>Weekend</v>
      </c>
      <c r="P714" s="9">
        <v>0.2576</v>
      </c>
      <c r="Q714" s="7">
        <f>Table1[[#This Row],[A_Temperature]]*41</f>
        <v>10.5616</v>
      </c>
      <c r="R714" s="9">
        <v>0.87</v>
      </c>
      <c r="S714" s="9">
        <v>8.9599999999999999E-2</v>
      </c>
      <c r="T714" s="9">
        <v>2</v>
      </c>
      <c r="U714" s="9">
        <v>34</v>
      </c>
      <c r="V714" s="19">
        <v>36</v>
      </c>
    </row>
    <row r="715" spans="1:22" s="13" customFormat="1" ht="30" customHeight="1">
      <c r="A715" s="17" t="s">
        <v>114</v>
      </c>
      <c r="B715" s="8">
        <v>40545</v>
      </c>
      <c r="C715" s="8" t="str">
        <f t="shared" si="33"/>
        <v>Sunday</v>
      </c>
      <c r="D715" s="9">
        <v>1</v>
      </c>
      <c r="E715" s="9">
        <v>0</v>
      </c>
      <c r="F715" s="9">
        <v>2</v>
      </c>
      <c r="G715" s="7">
        <v>23</v>
      </c>
      <c r="H715" s="9" t="b">
        <v>0</v>
      </c>
      <c r="I715" s="9">
        <v>2</v>
      </c>
      <c r="J715" s="38" t="str">
        <f>CHOOSE(Table1[[#This Row],[Weekday]]+1,"Sunday","Monday","Tuesday","Wednesday","Thursday","Friday","Saturday")</f>
        <v>Tuesday</v>
      </c>
      <c r="K715" s="9">
        <v>3</v>
      </c>
      <c r="L715" s="38" t="str">
        <f>IF(Table1[[#This Row],[Weather_code]]=1,"Clear",IF(Table1[[#This Row],[Weather_code]]=2,"Cloudy",IF(Table1[[#This Row],[Weather_code]]=3,"Light Rain",IF(Table1[[#This Row],[Weather_code]]=4,"Heavy Rain"))))</f>
        <v>Light Rain</v>
      </c>
      <c r="M715" s="9">
        <v>0.2</v>
      </c>
      <c r="N715" s="11" t="str">
        <f t="shared" si="34"/>
        <v>Winter</v>
      </c>
      <c r="O715" s="11" t="str">
        <f t="shared" si="35"/>
        <v>Weekend</v>
      </c>
      <c r="P715" s="9">
        <v>0.19700000000000001</v>
      </c>
      <c r="Q715" s="7">
        <f>Table1[[#This Row],[A_Temperature]]*41</f>
        <v>8.077</v>
      </c>
      <c r="R715" s="9">
        <v>0.93</v>
      </c>
      <c r="S715" s="9">
        <v>0.19400000000000001</v>
      </c>
      <c r="T715" s="9">
        <v>1</v>
      </c>
      <c r="U715" s="9">
        <v>15</v>
      </c>
      <c r="V715" s="19">
        <v>16</v>
      </c>
    </row>
    <row r="716" spans="1:22" s="13" customFormat="1" ht="30" customHeight="1">
      <c r="A716" s="17" t="s">
        <v>115</v>
      </c>
      <c r="B716" s="8">
        <v>40576</v>
      </c>
      <c r="C716" s="8" t="str">
        <f t="shared" si="33"/>
        <v>Wednesday</v>
      </c>
      <c r="D716" s="9">
        <v>1</v>
      </c>
      <c r="E716" s="9">
        <v>0</v>
      </c>
      <c r="F716" s="9">
        <v>2</v>
      </c>
      <c r="G716" s="7">
        <v>0</v>
      </c>
      <c r="H716" s="9" t="b">
        <v>0</v>
      </c>
      <c r="I716" s="9">
        <v>3</v>
      </c>
      <c r="J716" s="38" t="str">
        <f>CHOOSE(Table1[[#This Row],[Weekday]]+1,"Sunday","Monday","Tuesday","Wednesday","Thursday","Friday","Saturday")</f>
        <v>Wednesday</v>
      </c>
      <c r="K716" s="9">
        <v>3</v>
      </c>
      <c r="L716" s="38" t="str">
        <f>IF(Table1[[#This Row],[Weather_code]]=1,"Clear",IF(Table1[[#This Row],[Weather_code]]=2,"Cloudy",IF(Table1[[#This Row],[Weather_code]]=3,"Light Rain",IF(Table1[[#This Row],[Weather_code]]=4,"Heavy Rain"))))</f>
        <v>Light Rain</v>
      </c>
      <c r="M716" s="9">
        <v>0.22</v>
      </c>
      <c r="N716" s="11" t="str">
        <f t="shared" si="34"/>
        <v>Winter</v>
      </c>
      <c r="O716" s="11" t="str">
        <f t="shared" si="35"/>
        <v>Weekday</v>
      </c>
      <c r="P716" s="9">
        <v>0.2424</v>
      </c>
      <c r="Q716" s="7">
        <f>Table1[[#This Row],[A_Temperature]]*41</f>
        <v>9.9383999999999997</v>
      </c>
      <c r="R716" s="9">
        <v>0.93</v>
      </c>
      <c r="S716" s="9">
        <v>0.1045</v>
      </c>
      <c r="T716" s="9">
        <v>0</v>
      </c>
      <c r="U716" s="9">
        <v>2</v>
      </c>
      <c r="V716" s="19">
        <v>2</v>
      </c>
    </row>
    <row r="717" spans="1:22" s="13" customFormat="1" ht="30" customHeight="1">
      <c r="A717" s="17" t="s">
        <v>116</v>
      </c>
      <c r="B717" s="8">
        <v>40576</v>
      </c>
      <c r="C717" s="8" t="str">
        <f t="shared" si="33"/>
        <v>Wednesday</v>
      </c>
      <c r="D717" s="9">
        <v>1</v>
      </c>
      <c r="E717" s="9">
        <v>0</v>
      </c>
      <c r="F717" s="9">
        <v>2</v>
      </c>
      <c r="G717" s="7">
        <v>1</v>
      </c>
      <c r="H717" s="9" t="b">
        <v>0</v>
      </c>
      <c r="I717" s="9">
        <v>3</v>
      </c>
      <c r="J717" s="38" t="str">
        <f>CHOOSE(Table1[[#This Row],[Weekday]]+1,"Sunday","Monday","Tuesday","Wednesday","Thursday","Friday","Saturday")</f>
        <v>Wednesday</v>
      </c>
      <c r="K717" s="9">
        <v>3</v>
      </c>
      <c r="L717" s="38" t="str">
        <f>IF(Table1[[#This Row],[Weather_code]]=1,"Clear",IF(Table1[[#This Row],[Weather_code]]=2,"Cloudy",IF(Table1[[#This Row],[Weather_code]]=3,"Light Rain",IF(Table1[[#This Row],[Weather_code]]=4,"Heavy Rain"))))</f>
        <v>Light Rain</v>
      </c>
      <c r="M717" s="9">
        <v>0.22</v>
      </c>
      <c r="N717" s="11" t="str">
        <f t="shared" si="34"/>
        <v>Winter</v>
      </c>
      <c r="O717" s="11" t="str">
        <f t="shared" si="35"/>
        <v>Weekday</v>
      </c>
      <c r="P717" s="9">
        <v>0.2273</v>
      </c>
      <c r="Q717" s="7">
        <f>Table1[[#This Row],[A_Temperature]]*41</f>
        <v>9.3193000000000001</v>
      </c>
      <c r="R717" s="9">
        <v>0.93</v>
      </c>
      <c r="S717" s="9">
        <v>0.19400000000000001</v>
      </c>
      <c r="T717" s="9">
        <v>0</v>
      </c>
      <c r="U717" s="9">
        <v>3</v>
      </c>
      <c r="V717" s="19">
        <v>3</v>
      </c>
    </row>
    <row r="718" spans="1:22" s="13" customFormat="1" ht="30" customHeight="1">
      <c r="A718" s="17" t="s">
        <v>117</v>
      </c>
      <c r="B718" s="8">
        <v>40576</v>
      </c>
      <c r="C718" s="8" t="str">
        <f t="shared" si="33"/>
        <v>Wednesday</v>
      </c>
      <c r="D718" s="9">
        <v>1</v>
      </c>
      <c r="E718" s="9">
        <v>0</v>
      </c>
      <c r="F718" s="9">
        <v>2</v>
      </c>
      <c r="G718" s="7">
        <v>2</v>
      </c>
      <c r="H718" s="9" t="b">
        <v>0</v>
      </c>
      <c r="I718" s="9">
        <v>3</v>
      </c>
      <c r="J718" s="38" t="str">
        <f>CHOOSE(Table1[[#This Row],[Weekday]]+1,"Sunday","Monday","Tuesday","Wednesday","Thursday","Friday","Saturday")</f>
        <v>Wednesday</v>
      </c>
      <c r="K718" s="9">
        <v>3</v>
      </c>
      <c r="L718" s="38" t="str">
        <f>IF(Table1[[#This Row],[Weather_code]]=1,"Clear",IF(Table1[[#This Row],[Weather_code]]=2,"Cloudy",IF(Table1[[#This Row],[Weather_code]]=3,"Light Rain",IF(Table1[[#This Row],[Weather_code]]=4,"Heavy Rain"))))</f>
        <v>Light Rain</v>
      </c>
      <c r="M718" s="9">
        <v>0.22</v>
      </c>
      <c r="N718" s="11" t="str">
        <f t="shared" si="34"/>
        <v>Winter</v>
      </c>
      <c r="O718" s="11" t="str">
        <f t="shared" si="35"/>
        <v>Weekday</v>
      </c>
      <c r="P718" s="9">
        <v>0.2273</v>
      </c>
      <c r="Q718" s="7">
        <f>Table1[[#This Row],[A_Temperature]]*41</f>
        <v>9.3193000000000001</v>
      </c>
      <c r="R718" s="9">
        <v>0.93</v>
      </c>
      <c r="S718" s="9">
        <v>0.1343</v>
      </c>
      <c r="T718" s="9">
        <v>4</v>
      </c>
      <c r="U718" s="9">
        <v>0</v>
      </c>
      <c r="V718" s="19">
        <v>4</v>
      </c>
    </row>
    <row r="719" spans="1:22" s="13" customFormat="1" ht="30" customHeight="1">
      <c r="A719" s="17" t="s">
        <v>118</v>
      </c>
      <c r="B719" s="8">
        <v>40576</v>
      </c>
      <c r="C719" s="8" t="str">
        <f t="shared" si="33"/>
        <v>Wednesday</v>
      </c>
      <c r="D719" s="9">
        <v>1</v>
      </c>
      <c r="E719" s="9">
        <v>0</v>
      </c>
      <c r="F719" s="9">
        <v>2</v>
      </c>
      <c r="G719" s="7">
        <v>3</v>
      </c>
      <c r="H719" s="9" t="b">
        <v>0</v>
      </c>
      <c r="I719" s="9">
        <v>3</v>
      </c>
      <c r="J719" s="38" t="str">
        <f>CHOOSE(Table1[[#This Row],[Weekday]]+1,"Sunday","Monday","Tuesday","Wednesday","Thursday","Friday","Saturday")</f>
        <v>Wednesday</v>
      </c>
      <c r="K719" s="9">
        <v>3</v>
      </c>
      <c r="L719" s="38" t="str">
        <f>IF(Table1[[#This Row],[Weather_code]]=1,"Clear",IF(Table1[[#This Row],[Weather_code]]=2,"Cloudy",IF(Table1[[#This Row],[Weather_code]]=3,"Light Rain",IF(Table1[[#This Row],[Weather_code]]=4,"Heavy Rain"))))</f>
        <v>Light Rain</v>
      </c>
      <c r="M719" s="9">
        <v>0.22</v>
      </c>
      <c r="N719" s="11" t="str">
        <f t="shared" si="34"/>
        <v>Winter</v>
      </c>
      <c r="O719" s="11" t="str">
        <f t="shared" si="35"/>
        <v>Weekday</v>
      </c>
      <c r="P719" s="9">
        <v>0.2273</v>
      </c>
      <c r="Q719" s="7">
        <f>Table1[[#This Row],[A_Temperature]]*41</f>
        <v>9.3193000000000001</v>
      </c>
      <c r="R719" s="9">
        <v>0.93</v>
      </c>
      <c r="S719" s="9">
        <v>0.1343</v>
      </c>
      <c r="T719" s="9">
        <v>0</v>
      </c>
      <c r="U719" s="9">
        <v>1</v>
      </c>
      <c r="V719" s="19">
        <v>1</v>
      </c>
    </row>
    <row r="720" spans="1:22" s="13" customFormat="1" ht="30" customHeight="1">
      <c r="A720" s="17" t="s">
        <v>119</v>
      </c>
      <c r="B720" s="8">
        <v>40576</v>
      </c>
      <c r="C720" s="8" t="str">
        <f t="shared" si="33"/>
        <v>Wednesday</v>
      </c>
      <c r="D720" s="9">
        <v>1</v>
      </c>
      <c r="E720" s="9">
        <v>0</v>
      </c>
      <c r="F720" s="9">
        <v>2</v>
      </c>
      <c r="G720" s="7">
        <v>4</v>
      </c>
      <c r="H720" s="9" t="b">
        <v>0</v>
      </c>
      <c r="I720" s="9">
        <v>3</v>
      </c>
      <c r="J720" s="38" t="str">
        <f>CHOOSE(Table1[[#This Row],[Weekday]]+1,"Sunday","Monday","Tuesday","Wednesday","Thursday","Friday","Saturday")</f>
        <v>Wednesday</v>
      </c>
      <c r="K720" s="9">
        <v>3</v>
      </c>
      <c r="L720" s="38" t="str">
        <f>IF(Table1[[#This Row],[Weather_code]]=1,"Clear",IF(Table1[[#This Row],[Weather_code]]=2,"Cloudy",IF(Table1[[#This Row],[Weather_code]]=3,"Light Rain",IF(Table1[[#This Row],[Weather_code]]=4,"Heavy Rain"))))</f>
        <v>Light Rain</v>
      </c>
      <c r="M720" s="9">
        <v>0.22</v>
      </c>
      <c r="N720" s="11" t="str">
        <f t="shared" si="34"/>
        <v>Winter</v>
      </c>
      <c r="O720" s="11" t="str">
        <f t="shared" si="35"/>
        <v>Weekday</v>
      </c>
      <c r="P720" s="9">
        <v>0.21210000000000001</v>
      </c>
      <c r="Q720" s="7">
        <f>Table1[[#This Row],[A_Temperature]]*41</f>
        <v>8.6961000000000013</v>
      </c>
      <c r="R720" s="9">
        <v>0.93</v>
      </c>
      <c r="S720" s="9">
        <v>0.28360000000000002</v>
      </c>
      <c r="T720" s="9">
        <v>0</v>
      </c>
      <c r="U720" s="9">
        <v>1</v>
      </c>
      <c r="V720" s="19">
        <v>1</v>
      </c>
    </row>
    <row r="721" spans="1:22" s="13" customFormat="1" ht="30" customHeight="1">
      <c r="A721" s="17" t="s">
        <v>120</v>
      </c>
      <c r="B721" s="8">
        <v>40576</v>
      </c>
      <c r="C721" s="8" t="str">
        <f t="shared" si="33"/>
        <v>Wednesday</v>
      </c>
      <c r="D721" s="9">
        <v>1</v>
      </c>
      <c r="E721" s="9">
        <v>0</v>
      </c>
      <c r="F721" s="9">
        <v>2</v>
      </c>
      <c r="G721" s="7">
        <v>5</v>
      </c>
      <c r="H721" s="9" t="b">
        <v>0</v>
      </c>
      <c r="I721" s="9">
        <v>3</v>
      </c>
      <c r="J721" s="38" t="str">
        <f>CHOOSE(Table1[[#This Row],[Weekday]]+1,"Sunday","Monday","Tuesday","Wednesday","Thursday","Friday","Saturday")</f>
        <v>Wednesday</v>
      </c>
      <c r="K721" s="9">
        <v>3</v>
      </c>
      <c r="L721" s="38" t="str">
        <f>IF(Table1[[#This Row],[Weather_code]]=1,"Clear",IF(Table1[[#This Row],[Weather_code]]=2,"Cloudy",IF(Table1[[#This Row],[Weather_code]]=3,"Light Rain",IF(Table1[[#This Row],[Weather_code]]=4,"Heavy Rain"))))</f>
        <v>Light Rain</v>
      </c>
      <c r="M721" s="9">
        <v>0.22</v>
      </c>
      <c r="N721" s="11" t="str">
        <f t="shared" si="34"/>
        <v>Winter</v>
      </c>
      <c r="O721" s="11" t="str">
        <f t="shared" si="35"/>
        <v>Weekday</v>
      </c>
      <c r="P721" s="9">
        <v>0.2424</v>
      </c>
      <c r="Q721" s="7">
        <f>Table1[[#This Row],[A_Temperature]]*41</f>
        <v>9.9383999999999997</v>
      </c>
      <c r="R721" s="9">
        <v>0.93</v>
      </c>
      <c r="S721" s="9">
        <v>0.1045</v>
      </c>
      <c r="T721" s="9">
        <v>0</v>
      </c>
      <c r="U721" s="9">
        <v>3</v>
      </c>
      <c r="V721" s="19">
        <v>3</v>
      </c>
    </row>
    <row r="722" spans="1:22" s="13" customFormat="1" ht="30" customHeight="1">
      <c r="A722" s="17" t="s">
        <v>121</v>
      </c>
      <c r="B722" s="8">
        <v>40576</v>
      </c>
      <c r="C722" s="8" t="str">
        <f t="shared" si="33"/>
        <v>Wednesday</v>
      </c>
      <c r="D722" s="9">
        <v>1</v>
      </c>
      <c r="E722" s="9">
        <v>0</v>
      </c>
      <c r="F722" s="9">
        <v>2</v>
      </c>
      <c r="G722" s="7">
        <v>6</v>
      </c>
      <c r="H722" s="9" t="b">
        <v>0</v>
      </c>
      <c r="I722" s="9">
        <v>3</v>
      </c>
      <c r="J722" s="38" t="str">
        <f>CHOOSE(Table1[[#This Row],[Weekday]]+1,"Sunday","Monday","Tuesday","Wednesday","Thursday","Friday","Saturday")</f>
        <v>Wednesday</v>
      </c>
      <c r="K722" s="9">
        <v>3</v>
      </c>
      <c r="L722" s="38" t="str">
        <f>IF(Table1[[#This Row],[Weather_code]]=1,"Clear",IF(Table1[[#This Row],[Weather_code]]=2,"Cloudy",IF(Table1[[#This Row],[Weather_code]]=3,"Light Rain",IF(Table1[[#This Row],[Weather_code]]=4,"Heavy Rain"))))</f>
        <v>Light Rain</v>
      </c>
      <c r="M722" s="9">
        <v>0.22</v>
      </c>
      <c r="N722" s="11" t="str">
        <f t="shared" si="34"/>
        <v>Winter</v>
      </c>
      <c r="O722" s="11" t="str">
        <f t="shared" si="35"/>
        <v>Weekday</v>
      </c>
      <c r="P722" s="9">
        <v>0.2424</v>
      </c>
      <c r="Q722" s="7">
        <f>Table1[[#This Row],[A_Temperature]]*41</f>
        <v>9.9383999999999997</v>
      </c>
      <c r="R722" s="9">
        <v>0.93</v>
      </c>
      <c r="S722" s="9">
        <v>0.1045</v>
      </c>
      <c r="T722" s="9">
        <v>1</v>
      </c>
      <c r="U722" s="9">
        <v>17</v>
      </c>
      <c r="V722" s="19">
        <v>18</v>
      </c>
    </row>
    <row r="723" spans="1:22" s="13" customFormat="1" ht="30" customHeight="1">
      <c r="A723" s="17" t="s">
        <v>122</v>
      </c>
      <c r="B723" s="8">
        <v>40576</v>
      </c>
      <c r="C723" s="8" t="str">
        <f t="shared" si="33"/>
        <v>Wednesday</v>
      </c>
      <c r="D723" s="9">
        <v>1</v>
      </c>
      <c r="E723" s="9">
        <v>0</v>
      </c>
      <c r="F723" s="9">
        <v>2</v>
      </c>
      <c r="G723" s="7">
        <v>7</v>
      </c>
      <c r="H723" s="9" t="b">
        <v>0</v>
      </c>
      <c r="I723" s="9">
        <v>3</v>
      </c>
      <c r="J723" s="38" t="str">
        <f>CHOOSE(Table1[[#This Row],[Weekday]]+1,"Sunday","Monday","Tuesday","Wednesday","Thursday","Friday","Saturday")</f>
        <v>Wednesday</v>
      </c>
      <c r="K723" s="9">
        <v>3</v>
      </c>
      <c r="L723" s="38" t="str">
        <f>IF(Table1[[#This Row],[Weather_code]]=1,"Clear",IF(Table1[[#This Row],[Weather_code]]=2,"Cloudy",IF(Table1[[#This Row],[Weather_code]]=3,"Light Rain",IF(Table1[[#This Row],[Weather_code]]=4,"Heavy Rain"))))</f>
        <v>Light Rain</v>
      </c>
      <c r="M723" s="9">
        <v>0.22</v>
      </c>
      <c r="N723" s="11" t="str">
        <f t="shared" si="34"/>
        <v>Winter</v>
      </c>
      <c r="O723" s="11" t="str">
        <f t="shared" si="35"/>
        <v>Weekday</v>
      </c>
      <c r="P723" s="9">
        <v>0.21210000000000001</v>
      </c>
      <c r="Q723" s="7">
        <f>Table1[[#This Row],[A_Temperature]]*41</f>
        <v>8.6961000000000013</v>
      </c>
      <c r="R723" s="9">
        <v>0.93</v>
      </c>
      <c r="S723" s="9">
        <v>0.22389999999999999</v>
      </c>
      <c r="T723" s="9">
        <v>1</v>
      </c>
      <c r="U723" s="9">
        <v>48</v>
      </c>
      <c r="V723" s="19">
        <v>49</v>
      </c>
    </row>
    <row r="724" spans="1:22" s="13" customFormat="1" ht="30" customHeight="1">
      <c r="A724" s="17" t="s">
        <v>123</v>
      </c>
      <c r="B724" s="8">
        <v>40576</v>
      </c>
      <c r="C724" s="8" t="str">
        <f t="shared" si="33"/>
        <v>Wednesday</v>
      </c>
      <c r="D724" s="9">
        <v>1</v>
      </c>
      <c r="E724" s="9">
        <v>0</v>
      </c>
      <c r="F724" s="9">
        <v>2</v>
      </c>
      <c r="G724" s="7">
        <v>8</v>
      </c>
      <c r="H724" s="9" t="b">
        <v>0</v>
      </c>
      <c r="I724" s="9">
        <v>3</v>
      </c>
      <c r="J724" s="38" t="str">
        <f>CHOOSE(Table1[[#This Row],[Weekday]]+1,"Sunday","Monday","Tuesday","Wednesday","Thursday","Friday","Saturday")</f>
        <v>Wednesday</v>
      </c>
      <c r="K724" s="9">
        <v>3</v>
      </c>
      <c r="L724" s="38" t="str">
        <f>IF(Table1[[#This Row],[Weather_code]]=1,"Clear",IF(Table1[[#This Row],[Weather_code]]=2,"Cloudy",IF(Table1[[#This Row],[Weather_code]]=3,"Light Rain",IF(Table1[[#This Row],[Weather_code]]=4,"Heavy Rain"))))</f>
        <v>Light Rain</v>
      </c>
      <c r="M724" s="9">
        <v>0.22</v>
      </c>
      <c r="N724" s="11" t="str">
        <f t="shared" si="34"/>
        <v>Winter</v>
      </c>
      <c r="O724" s="11" t="str">
        <f t="shared" si="35"/>
        <v>Weekday</v>
      </c>
      <c r="P724" s="9">
        <v>0.21210000000000001</v>
      </c>
      <c r="Q724" s="7">
        <f>Table1[[#This Row],[A_Temperature]]*41</f>
        <v>8.6961000000000013</v>
      </c>
      <c r="R724" s="9">
        <v>0.93</v>
      </c>
      <c r="S724" s="9">
        <v>0.22389999999999999</v>
      </c>
      <c r="T724" s="9">
        <v>1</v>
      </c>
      <c r="U724" s="9">
        <v>154</v>
      </c>
      <c r="V724" s="19">
        <v>155</v>
      </c>
    </row>
    <row r="725" spans="1:22" s="13" customFormat="1" ht="30" customHeight="1">
      <c r="A725" s="17" t="s">
        <v>124</v>
      </c>
      <c r="B725" s="8">
        <v>40576</v>
      </c>
      <c r="C725" s="8" t="str">
        <f t="shared" si="33"/>
        <v>Wednesday</v>
      </c>
      <c r="D725" s="9">
        <v>1</v>
      </c>
      <c r="E725" s="9">
        <v>0</v>
      </c>
      <c r="F725" s="9">
        <v>2</v>
      </c>
      <c r="G725" s="7">
        <v>9</v>
      </c>
      <c r="H725" s="9" t="b">
        <v>0</v>
      </c>
      <c r="I725" s="9">
        <v>3</v>
      </c>
      <c r="J725" s="38" t="str">
        <f>CHOOSE(Table1[[#This Row],[Weekday]]+1,"Sunday","Monday","Tuesday","Wednesday","Thursday","Friday","Saturday")</f>
        <v>Wednesday</v>
      </c>
      <c r="K725" s="9">
        <v>2</v>
      </c>
      <c r="L725" s="38" t="str">
        <f>IF(Table1[[#This Row],[Weather_code]]=1,"Clear",IF(Table1[[#This Row],[Weather_code]]=2,"Cloudy",IF(Table1[[#This Row],[Weather_code]]=3,"Light Rain",IF(Table1[[#This Row],[Weather_code]]=4,"Heavy Rain"))))</f>
        <v>Cloudy</v>
      </c>
      <c r="M725" s="9">
        <v>0.24</v>
      </c>
      <c r="N725" s="11" t="str">
        <f t="shared" si="34"/>
        <v>Winter</v>
      </c>
      <c r="O725" s="11" t="str">
        <f t="shared" si="35"/>
        <v>Weekday</v>
      </c>
      <c r="P725" s="9">
        <v>0.2576</v>
      </c>
      <c r="Q725" s="7">
        <f>Table1[[#This Row],[A_Temperature]]*41</f>
        <v>10.5616</v>
      </c>
      <c r="R725" s="9">
        <v>0.93</v>
      </c>
      <c r="S725" s="9">
        <v>8.9599999999999999E-2</v>
      </c>
      <c r="T725" s="9">
        <v>4</v>
      </c>
      <c r="U725" s="9">
        <v>119</v>
      </c>
      <c r="V725" s="19">
        <v>123</v>
      </c>
    </row>
    <row r="726" spans="1:22" s="13" customFormat="1" ht="30" customHeight="1">
      <c r="A726" s="17" t="s">
        <v>125</v>
      </c>
      <c r="B726" s="8">
        <v>40576</v>
      </c>
      <c r="C726" s="8" t="str">
        <f t="shared" si="33"/>
        <v>Wednesday</v>
      </c>
      <c r="D726" s="9">
        <v>1</v>
      </c>
      <c r="E726" s="9">
        <v>0</v>
      </c>
      <c r="F726" s="9">
        <v>2</v>
      </c>
      <c r="G726" s="7">
        <v>10</v>
      </c>
      <c r="H726" s="9" t="b">
        <v>0</v>
      </c>
      <c r="I726" s="9">
        <v>3</v>
      </c>
      <c r="J726" s="38" t="str">
        <f>CHOOSE(Table1[[#This Row],[Weekday]]+1,"Sunday","Monday","Tuesday","Wednesday","Thursday","Friday","Saturday")</f>
        <v>Wednesday</v>
      </c>
      <c r="K726" s="9">
        <v>2</v>
      </c>
      <c r="L726" s="38" t="str">
        <f>IF(Table1[[#This Row],[Weather_code]]=1,"Clear",IF(Table1[[#This Row],[Weather_code]]=2,"Cloudy",IF(Table1[[#This Row],[Weather_code]]=3,"Light Rain",IF(Table1[[#This Row],[Weather_code]]=4,"Heavy Rain"))))</f>
        <v>Cloudy</v>
      </c>
      <c r="M726" s="9">
        <v>0.22</v>
      </c>
      <c r="N726" s="11" t="str">
        <f t="shared" si="34"/>
        <v>Winter</v>
      </c>
      <c r="O726" s="11" t="str">
        <f t="shared" si="35"/>
        <v>Weekday</v>
      </c>
      <c r="P726" s="9">
        <v>0.2727</v>
      </c>
      <c r="Q726" s="7">
        <f>Table1[[#This Row],[A_Temperature]]*41</f>
        <v>11.1807</v>
      </c>
      <c r="R726" s="9">
        <v>1</v>
      </c>
      <c r="S726" s="9">
        <v>0</v>
      </c>
      <c r="T726" s="9">
        <v>2</v>
      </c>
      <c r="U726" s="9">
        <v>59</v>
      </c>
      <c r="V726" s="19">
        <v>61</v>
      </c>
    </row>
    <row r="727" spans="1:22" s="13" customFormat="1" ht="30" customHeight="1">
      <c r="A727" s="17" t="s">
        <v>126</v>
      </c>
      <c r="B727" s="8">
        <v>40576</v>
      </c>
      <c r="C727" s="8" t="str">
        <f t="shared" si="33"/>
        <v>Wednesday</v>
      </c>
      <c r="D727" s="9">
        <v>1</v>
      </c>
      <c r="E727" s="9">
        <v>0</v>
      </c>
      <c r="F727" s="9">
        <v>2</v>
      </c>
      <c r="G727" s="7">
        <v>11</v>
      </c>
      <c r="H727" s="9" t="b">
        <v>0</v>
      </c>
      <c r="I727" s="9">
        <v>3</v>
      </c>
      <c r="J727" s="38" t="str">
        <f>CHOOSE(Table1[[#This Row],[Weekday]]+1,"Sunday","Monday","Tuesday","Wednesday","Thursday","Friday","Saturday")</f>
        <v>Wednesday</v>
      </c>
      <c r="K727" s="9">
        <v>2</v>
      </c>
      <c r="L727" s="38" t="str">
        <f>IF(Table1[[#This Row],[Weather_code]]=1,"Clear",IF(Table1[[#This Row],[Weather_code]]=2,"Cloudy",IF(Table1[[#This Row],[Weather_code]]=3,"Light Rain",IF(Table1[[#This Row],[Weather_code]]=4,"Heavy Rain"))))</f>
        <v>Cloudy</v>
      </c>
      <c r="M727" s="9">
        <v>0.24</v>
      </c>
      <c r="N727" s="11" t="str">
        <f t="shared" si="34"/>
        <v>Winter</v>
      </c>
      <c r="O727" s="11" t="str">
        <f t="shared" si="35"/>
        <v>Weekday</v>
      </c>
      <c r="P727" s="9">
        <v>0.2273</v>
      </c>
      <c r="Q727" s="7">
        <f>Table1[[#This Row],[A_Temperature]]*41</f>
        <v>9.3193000000000001</v>
      </c>
      <c r="R727" s="9">
        <v>0.93</v>
      </c>
      <c r="S727" s="9">
        <v>0.19400000000000001</v>
      </c>
      <c r="T727" s="9">
        <v>5</v>
      </c>
      <c r="U727" s="9">
        <v>47</v>
      </c>
      <c r="V727" s="19">
        <v>52</v>
      </c>
    </row>
    <row r="728" spans="1:22" s="13" customFormat="1" ht="30" customHeight="1">
      <c r="A728" s="17" t="s">
        <v>127</v>
      </c>
      <c r="B728" s="8">
        <v>40576</v>
      </c>
      <c r="C728" s="8" t="str">
        <f t="shared" si="33"/>
        <v>Wednesday</v>
      </c>
      <c r="D728" s="9">
        <v>1</v>
      </c>
      <c r="E728" s="9">
        <v>0</v>
      </c>
      <c r="F728" s="9">
        <v>2</v>
      </c>
      <c r="G728" s="7">
        <v>12</v>
      </c>
      <c r="H728" s="9" t="b">
        <v>0</v>
      </c>
      <c r="I728" s="9">
        <v>3</v>
      </c>
      <c r="J728" s="38" t="str">
        <f>CHOOSE(Table1[[#This Row],[Weekday]]+1,"Sunday","Monday","Tuesday","Wednesday","Thursday","Friday","Saturday")</f>
        <v>Wednesday</v>
      </c>
      <c r="K728" s="9">
        <v>2</v>
      </c>
      <c r="L728" s="38" t="str">
        <f>IF(Table1[[#This Row],[Weather_code]]=1,"Clear",IF(Table1[[#This Row],[Weather_code]]=2,"Cloudy",IF(Table1[[#This Row],[Weather_code]]=3,"Light Rain",IF(Table1[[#This Row],[Weather_code]]=4,"Heavy Rain"))))</f>
        <v>Cloudy</v>
      </c>
      <c r="M728" s="9">
        <v>0.24</v>
      </c>
      <c r="N728" s="11" t="str">
        <f t="shared" si="34"/>
        <v>Winter</v>
      </c>
      <c r="O728" s="11" t="str">
        <f t="shared" si="35"/>
        <v>Weekday</v>
      </c>
      <c r="P728" s="9">
        <v>0.2273</v>
      </c>
      <c r="Q728" s="7">
        <f>Table1[[#This Row],[A_Temperature]]*41</f>
        <v>9.3193000000000001</v>
      </c>
      <c r="R728" s="9">
        <v>0.93</v>
      </c>
      <c r="S728" s="9">
        <v>0.22389999999999999</v>
      </c>
      <c r="T728" s="9">
        <v>3</v>
      </c>
      <c r="U728" s="9">
        <v>61</v>
      </c>
      <c r="V728" s="19">
        <v>64</v>
      </c>
    </row>
    <row r="729" spans="1:22" s="13" customFormat="1" ht="30" customHeight="1">
      <c r="A729" s="17" t="s">
        <v>128</v>
      </c>
      <c r="B729" s="8">
        <v>40576</v>
      </c>
      <c r="C729" s="8" t="str">
        <f t="shared" si="33"/>
        <v>Wednesday</v>
      </c>
      <c r="D729" s="9">
        <v>1</v>
      </c>
      <c r="E729" s="9">
        <v>0</v>
      </c>
      <c r="F729" s="9">
        <v>2</v>
      </c>
      <c r="G729" s="7">
        <v>13</v>
      </c>
      <c r="H729" s="9" t="b">
        <v>0</v>
      </c>
      <c r="I729" s="9">
        <v>3</v>
      </c>
      <c r="J729" s="38" t="str">
        <f>CHOOSE(Table1[[#This Row],[Weekday]]+1,"Sunday","Monday","Tuesday","Wednesday","Thursday","Friday","Saturday")</f>
        <v>Wednesday</v>
      </c>
      <c r="K729" s="9">
        <v>1</v>
      </c>
      <c r="L729" s="38" t="str">
        <f>IF(Table1[[#This Row],[Weather_code]]=1,"Clear",IF(Table1[[#This Row],[Weather_code]]=2,"Cloudy",IF(Table1[[#This Row],[Weather_code]]=3,"Light Rain",IF(Table1[[#This Row],[Weather_code]]=4,"Heavy Rain"))))</f>
        <v>Clear</v>
      </c>
      <c r="M729" s="9">
        <v>0.34</v>
      </c>
      <c r="N729" s="11" t="str">
        <f t="shared" si="34"/>
        <v>Winter</v>
      </c>
      <c r="O729" s="11" t="str">
        <f t="shared" si="35"/>
        <v>Weekday</v>
      </c>
      <c r="P729" s="9">
        <v>0.33329999999999999</v>
      </c>
      <c r="Q729" s="7">
        <f>Table1[[#This Row],[A_Temperature]]*41</f>
        <v>13.6653</v>
      </c>
      <c r="R729" s="9">
        <v>0.93</v>
      </c>
      <c r="S729" s="9">
        <v>0.16420000000000001</v>
      </c>
      <c r="T729" s="9">
        <v>1</v>
      </c>
      <c r="U729" s="9">
        <v>74</v>
      </c>
      <c r="V729" s="19">
        <v>75</v>
      </c>
    </row>
    <row r="730" spans="1:22" s="13" customFormat="1" ht="30" customHeight="1">
      <c r="A730" s="17" t="s">
        <v>129</v>
      </c>
      <c r="B730" s="8">
        <v>40576</v>
      </c>
      <c r="C730" s="8" t="str">
        <f t="shared" si="33"/>
        <v>Wednesday</v>
      </c>
      <c r="D730" s="9">
        <v>1</v>
      </c>
      <c r="E730" s="9">
        <v>0</v>
      </c>
      <c r="F730" s="9">
        <v>2</v>
      </c>
      <c r="G730" s="7">
        <v>14</v>
      </c>
      <c r="H730" s="9" t="b">
        <v>0</v>
      </c>
      <c r="I730" s="9">
        <v>3</v>
      </c>
      <c r="J730" s="38" t="str">
        <f>CHOOSE(Table1[[#This Row],[Weekday]]+1,"Sunday","Monday","Tuesday","Wednesday","Thursday","Friday","Saturday")</f>
        <v>Wednesday</v>
      </c>
      <c r="K730" s="9">
        <v>1</v>
      </c>
      <c r="L730" s="38" t="str">
        <f>IF(Table1[[#This Row],[Weather_code]]=1,"Clear",IF(Table1[[#This Row],[Weather_code]]=2,"Cloudy",IF(Table1[[#This Row],[Weather_code]]=3,"Light Rain",IF(Table1[[#This Row],[Weather_code]]=4,"Heavy Rain"))))</f>
        <v>Clear</v>
      </c>
      <c r="M730" s="9">
        <v>0.38</v>
      </c>
      <c r="N730" s="11" t="str">
        <f t="shared" si="34"/>
        <v>Winter</v>
      </c>
      <c r="O730" s="11" t="str">
        <f t="shared" si="35"/>
        <v>Weekday</v>
      </c>
      <c r="P730" s="9">
        <v>0.39389999999999997</v>
      </c>
      <c r="Q730" s="7">
        <f>Table1[[#This Row],[A_Temperature]]*41</f>
        <v>16.149899999999999</v>
      </c>
      <c r="R730" s="9">
        <v>0.82</v>
      </c>
      <c r="S730" s="9">
        <v>0.3881</v>
      </c>
      <c r="T730" s="9">
        <v>2</v>
      </c>
      <c r="U730" s="9">
        <v>61</v>
      </c>
      <c r="V730" s="19">
        <v>63</v>
      </c>
    </row>
    <row r="731" spans="1:22" s="13" customFormat="1" ht="30" customHeight="1">
      <c r="A731" s="17" t="s">
        <v>130</v>
      </c>
      <c r="B731" s="8">
        <v>40576</v>
      </c>
      <c r="C731" s="8" t="str">
        <f t="shared" si="33"/>
        <v>Wednesday</v>
      </c>
      <c r="D731" s="9">
        <v>1</v>
      </c>
      <c r="E731" s="9">
        <v>0</v>
      </c>
      <c r="F731" s="9">
        <v>2</v>
      </c>
      <c r="G731" s="7">
        <v>15</v>
      </c>
      <c r="H731" s="9" t="b">
        <v>0</v>
      </c>
      <c r="I731" s="9">
        <v>3</v>
      </c>
      <c r="J731" s="38" t="str">
        <f>CHOOSE(Table1[[#This Row],[Weekday]]+1,"Sunday","Monday","Tuesday","Wednesday","Thursday","Friday","Saturday")</f>
        <v>Wednesday</v>
      </c>
      <c r="K731" s="9">
        <v>1</v>
      </c>
      <c r="L731" s="38" t="str">
        <f>IF(Table1[[#This Row],[Weather_code]]=1,"Clear",IF(Table1[[#This Row],[Weather_code]]=2,"Cloudy",IF(Table1[[#This Row],[Weather_code]]=3,"Light Rain",IF(Table1[[#This Row],[Weather_code]]=4,"Heavy Rain"))))</f>
        <v>Clear</v>
      </c>
      <c r="M731" s="9">
        <v>0.38</v>
      </c>
      <c r="N731" s="11" t="str">
        <f t="shared" si="34"/>
        <v>Winter</v>
      </c>
      <c r="O731" s="11" t="str">
        <f t="shared" si="35"/>
        <v>Weekday</v>
      </c>
      <c r="P731" s="9">
        <v>0.39389999999999997</v>
      </c>
      <c r="Q731" s="7">
        <f>Table1[[#This Row],[A_Temperature]]*41</f>
        <v>16.149899999999999</v>
      </c>
      <c r="R731" s="9">
        <v>0.76</v>
      </c>
      <c r="S731" s="9">
        <v>0.32840000000000003</v>
      </c>
      <c r="T731" s="9">
        <v>10</v>
      </c>
      <c r="U731" s="9">
        <v>66</v>
      </c>
      <c r="V731" s="19">
        <v>76</v>
      </c>
    </row>
    <row r="732" spans="1:22" s="13" customFormat="1" ht="30" customHeight="1">
      <c r="A732" s="17" t="s">
        <v>131</v>
      </c>
      <c r="B732" s="8">
        <v>40576</v>
      </c>
      <c r="C732" s="8" t="str">
        <f t="shared" si="33"/>
        <v>Wednesday</v>
      </c>
      <c r="D732" s="9">
        <v>1</v>
      </c>
      <c r="E732" s="9">
        <v>0</v>
      </c>
      <c r="F732" s="9">
        <v>2</v>
      </c>
      <c r="G732" s="7">
        <v>16</v>
      </c>
      <c r="H732" s="9" t="b">
        <v>0</v>
      </c>
      <c r="I732" s="9">
        <v>3</v>
      </c>
      <c r="J732" s="38" t="str">
        <f>CHOOSE(Table1[[#This Row],[Weekday]]+1,"Sunday","Monday","Tuesday","Wednesday","Thursday","Friday","Saturday")</f>
        <v>Wednesday</v>
      </c>
      <c r="K732" s="9">
        <v>1</v>
      </c>
      <c r="L732" s="38" t="str">
        <f>IF(Table1[[#This Row],[Weather_code]]=1,"Clear",IF(Table1[[#This Row],[Weather_code]]=2,"Cloudy",IF(Table1[[#This Row],[Weather_code]]=3,"Light Rain",IF(Table1[[#This Row],[Weather_code]]=4,"Heavy Rain"))))</f>
        <v>Clear</v>
      </c>
      <c r="M732" s="9">
        <v>0.36</v>
      </c>
      <c r="N732" s="11" t="str">
        <f t="shared" si="34"/>
        <v>Winter</v>
      </c>
      <c r="O732" s="11" t="str">
        <f t="shared" si="35"/>
        <v>Weekday</v>
      </c>
      <c r="P732" s="9">
        <v>0.33329999999999999</v>
      </c>
      <c r="Q732" s="7">
        <f>Table1[[#This Row],[A_Temperature]]*41</f>
        <v>13.6653</v>
      </c>
      <c r="R732" s="9">
        <v>0.71</v>
      </c>
      <c r="S732" s="9">
        <v>0.29849999999999999</v>
      </c>
      <c r="T732" s="9">
        <v>8</v>
      </c>
      <c r="U732" s="9">
        <v>95</v>
      </c>
      <c r="V732" s="19">
        <v>103</v>
      </c>
    </row>
    <row r="733" spans="1:22" s="13" customFormat="1" ht="30" customHeight="1">
      <c r="A733" s="17" t="s">
        <v>132</v>
      </c>
      <c r="B733" s="8">
        <v>40576</v>
      </c>
      <c r="C733" s="8" t="str">
        <f t="shared" ref="C733:C796" si="36">TEXT(B733,"DDDD")</f>
        <v>Wednesday</v>
      </c>
      <c r="D733" s="9">
        <v>1</v>
      </c>
      <c r="E733" s="9">
        <v>0</v>
      </c>
      <c r="F733" s="9">
        <v>2</v>
      </c>
      <c r="G733" s="7">
        <v>17</v>
      </c>
      <c r="H733" s="9" t="b">
        <v>0</v>
      </c>
      <c r="I733" s="9">
        <v>3</v>
      </c>
      <c r="J733" s="38" t="str">
        <f>CHOOSE(Table1[[#This Row],[Weekday]]+1,"Sunday","Monday","Tuesday","Wednesday","Thursday","Friday","Saturday")</f>
        <v>Wednesday</v>
      </c>
      <c r="K733" s="9">
        <v>1</v>
      </c>
      <c r="L733" s="38" t="str">
        <f>IF(Table1[[#This Row],[Weather_code]]=1,"Clear",IF(Table1[[#This Row],[Weather_code]]=2,"Cloudy",IF(Table1[[#This Row],[Weather_code]]=3,"Light Rain",IF(Table1[[#This Row],[Weather_code]]=4,"Heavy Rain"))))</f>
        <v>Clear</v>
      </c>
      <c r="M733" s="9">
        <v>0.36</v>
      </c>
      <c r="N733" s="11" t="str">
        <f t="shared" si="34"/>
        <v>Winter</v>
      </c>
      <c r="O733" s="11" t="str">
        <f t="shared" si="35"/>
        <v>Weekday</v>
      </c>
      <c r="P733" s="9">
        <v>0.31819999999999998</v>
      </c>
      <c r="Q733" s="7">
        <f>Table1[[#This Row],[A_Temperature]]*41</f>
        <v>13.046199999999999</v>
      </c>
      <c r="R733" s="9">
        <v>0.53</v>
      </c>
      <c r="S733" s="9">
        <v>0.52239999999999998</v>
      </c>
      <c r="T733" s="9">
        <v>7</v>
      </c>
      <c r="U733" s="9">
        <v>183</v>
      </c>
      <c r="V733" s="19">
        <v>190</v>
      </c>
    </row>
    <row r="734" spans="1:22" s="13" customFormat="1" ht="30" customHeight="1">
      <c r="A734" s="17" t="s">
        <v>133</v>
      </c>
      <c r="B734" s="8">
        <v>40576</v>
      </c>
      <c r="C734" s="8" t="str">
        <f t="shared" si="36"/>
        <v>Wednesday</v>
      </c>
      <c r="D734" s="9">
        <v>1</v>
      </c>
      <c r="E734" s="9">
        <v>0</v>
      </c>
      <c r="F734" s="9">
        <v>2</v>
      </c>
      <c r="G734" s="7">
        <v>18</v>
      </c>
      <c r="H734" s="9" t="b">
        <v>0</v>
      </c>
      <c r="I734" s="9">
        <v>3</v>
      </c>
      <c r="J734" s="38" t="str">
        <f>CHOOSE(Table1[[#This Row],[Weekday]]+1,"Sunday","Monday","Tuesday","Wednesday","Thursday","Friday","Saturday")</f>
        <v>Wednesday</v>
      </c>
      <c r="K734" s="9">
        <v>1</v>
      </c>
      <c r="L734" s="38" t="str">
        <f>IF(Table1[[#This Row],[Weather_code]]=1,"Clear",IF(Table1[[#This Row],[Weather_code]]=2,"Cloudy",IF(Table1[[#This Row],[Weather_code]]=3,"Light Rain",IF(Table1[[#This Row],[Weather_code]]=4,"Heavy Rain"))))</f>
        <v>Clear</v>
      </c>
      <c r="M734" s="9">
        <v>0.34</v>
      </c>
      <c r="N734" s="11" t="str">
        <f t="shared" si="34"/>
        <v>Winter</v>
      </c>
      <c r="O734" s="11" t="str">
        <f t="shared" si="35"/>
        <v>Weekday</v>
      </c>
      <c r="P734" s="9">
        <v>0.28789999999999999</v>
      </c>
      <c r="Q734" s="7">
        <f>Table1[[#This Row],[A_Temperature]]*41</f>
        <v>11.803899999999999</v>
      </c>
      <c r="R734" s="9">
        <v>0.42</v>
      </c>
      <c r="S734" s="9">
        <v>0.55220000000000002</v>
      </c>
      <c r="T734" s="9">
        <v>7</v>
      </c>
      <c r="U734" s="9">
        <v>175</v>
      </c>
      <c r="V734" s="19">
        <v>182</v>
      </c>
    </row>
    <row r="735" spans="1:22" s="13" customFormat="1" ht="30" customHeight="1">
      <c r="A735" s="17" t="s">
        <v>134</v>
      </c>
      <c r="B735" s="8">
        <v>40576</v>
      </c>
      <c r="C735" s="8" t="str">
        <f t="shared" si="36"/>
        <v>Wednesday</v>
      </c>
      <c r="D735" s="9">
        <v>1</v>
      </c>
      <c r="E735" s="9">
        <v>0</v>
      </c>
      <c r="F735" s="9">
        <v>2</v>
      </c>
      <c r="G735" s="7">
        <v>19</v>
      </c>
      <c r="H735" s="9" t="b">
        <v>0</v>
      </c>
      <c r="I735" s="9">
        <v>3</v>
      </c>
      <c r="J735" s="38" t="str">
        <f>CHOOSE(Table1[[#This Row],[Weekday]]+1,"Sunday","Monday","Tuesday","Wednesday","Thursday","Friday","Saturday")</f>
        <v>Wednesday</v>
      </c>
      <c r="K735" s="9">
        <v>1</v>
      </c>
      <c r="L735" s="38" t="str">
        <f>IF(Table1[[#This Row],[Weather_code]]=1,"Clear",IF(Table1[[#This Row],[Weather_code]]=2,"Cloudy",IF(Table1[[#This Row],[Weather_code]]=3,"Light Rain",IF(Table1[[#This Row],[Weather_code]]=4,"Heavy Rain"))))</f>
        <v>Clear</v>
      </c>
      <c r="M735" s="9">
        <v>0.28000000000000003</v>
      </c>
      <c r="N735" s="11" t="str">
        <f t="shared" si="34"/>
        <v>Winter</v>
      </c>
      <c r="O735" s="11" t="str">
        <f t="shared" si="35"/>
        <v>Weekday</v>
      </c>
      <c r="P735" s="9">
        <v>0.2424</v>
      </c>
      <c r="Q735" s="7">
        <f>Table1[[#This Row],[A_Temperature]]*41</f>
        <v>9.9383999999999997</v>
      </c>
      <c r="R735" s="9">
        <v>0.45</v>
      </c>
      <c r="S735" s="9">
        <v>0.49249999999999999</v>
      </c>
      <c r="T735" s="9">
        <v>3</v>
      </c>
      <c r="U735" s="9">
        <v>88</v>
      </c>
      <c r="V735" s="19">
        <v>91</v>
      </c>
    </row>
    <row r="736" spans="1:22" s="13" customFormat="1" ht="30" customHeight="1">
      <c r="A736" s="17" t="s">
        <v>135</v>
      </c>
      <c r="B736" s="8">
        <v>40576</v>
      </c>
      <c r="C736" s="8" t="str">
        <f t="shared" si="36"/>
        <v>Wednesday</v>
      </c>
      <c r="D736" s="9">
        <v>1</v>
      </c>
      <c r="E736" s="9">
        <v>0</v>
      </c>
      <c r="F736" s="9">
        <v>2</v>
      </c>
      <c r="G736" s="7">
        <v>20</v>
      </c>
      <c r="H736" s="9" t="b">
        <v>0</v>
      </c>
      <c r="I736" s="9">
        <v>3</v>
      </c>
      <c r="J736" s="38" t="str">
        <f>CHOOSE(Table1[[#This Row],[Weekday]]+1,"Sunday","Monday","Tuesday","Wednesday","Thursday","Friday","Saturday")</f>
        <v>Wednesday</v>
      </c>
      <c r="K736" s="9">
        <v>1</v>
      </c>
      <c r="L736" s="38" t="str">
        <f>IF(Table1[[#This Row],[Weather_code]]=1,"Clear",IF(Table1[[#This Row],[Weather_code]]=2,"Cloudy",IF(Table1[[#This Row],[Weather_code]]=3,"Light Rain",IF(Table1[[#This Row],[Weather_code]]=4,"Heavy Rain"))))</f>
        <v>Clear</v>
      </c>
      <c r="M736" s="9">
        <v>0.24</v>
      </c>
      <c r="N736" s="11" t="str">
        <f t="shared" si="34"/>
        <v>Winter</v>
      </c>
      <c r="O736" s="11" t="str">
        <f t="shared" si="35"/>
        <v>Weekday</v>
      </c>
      <c r="P736" s="9">
        <v>0.19700000000000001</v>
      </c>
      <c r="Q736" s="7">
        <f>Table1[[#This Row],[A_Temperature]]*41</f>
        <v>8.077</v>
      </c>
      <c r="R736" s="9">
        <v>0.48</v>
      </c>
      <c r="S736" s="9">
        <v>0.55220000000000002</v>
      </c>
      <c r="T736" s="9">
        <v>4</v>
      </c>
      <c r="U736" s="9">
        <v>71</v>
      </c>
      <c r="V736" s="19">
        <v>75</v>
      </c>
    </row>
    <row r="737" spans="1:22" s="13" customFormat="1" ht="30" customHeight="1">
      <c r="A737" s="17" t="s">
        <v>136</v>
      </c>
      <c r="B737" s="8">
        <v>40576</v>
      </c>
      <c r="C737" s="8" t="str">
        <f t="shared" si="36"/>
        <v>Wednesday</v>
      </c>
      <c r="D737" s="9">
        <v>1</v>
      </c>
      <c r="E737" s="9">
        <v>0</v>
      </c>
      <c r="F737" s="9">
        <v>2</v>
      </c>
      <c r="G737" s="7">
        <v>21</v>
      </c>
      <c r="H737" s="9" t="b">
        <v>0</v>
      </c>
      <c r="I737" s="9">
        <v>3</v>
      </c>
      <c r="J737" s="38" t="str">
        <f>CHOOSE(Table1[[#This Row],[Weekday]]+1,"Sunday","Monday","Tuesday","Wednesday","Thursday","Friday","Saturday")</f>
        <v>Wednesday</v>
      </c>
      <c r="K737" s="9">
        <v>1</v>
      </c>
      <c r="L737" s="38" t="str">
        <f>IF(Table1[[#This Row],[Weather_code]]=1,"Clear",IF(Table1[[#This Row],[Weather_code]]=2,"Cloudy",IF(Table1[[#This Row],[Weather_code]]=3,"Light Rain",IF(Table1[[#This Row],[Weather_code]]=4,"Heavy Rain"))))</f>
        <v>Clear</v>
      </c>
      <c r="M737" s="9">
        <v>0.22</v>
      </c>
      <c r="N737" s="11" t="str">
        <f t="shared" si="34"/>
        <v>Winter</v>
      </c>
      <c r="O737" s="11" t="str">
        <f t="shared" si="35"/>
        <v>Weekday</v>
      </c>
      <c r="P737" s="9">
        <v>0.19700000000000001</v>
      </c>
      <c r="Q737" s="7">
        <f>Table1[[#This Row],[A_Temperature]]*41</f>
        <v>8.077</v>
      </c>
      <c r="R737" s="9">
        <v>0.47</v>
      </c>
      <c r="S737" s="9">
        <v>0.32840000000000003</v>
      </c>
      <c r="T737" s="9">
        <v>1</v>
      </c>
      <c r="U737" s="9">
        <v>62</v>
      </c>
      <c r="V737" s="19">
        <v>63</v>
      </c>
    </row>
    <row r="738" spans="1:22" s="13" customFormat="1" ht="30" customHeight="1">
      <c r="A738" s="17" t="s">
        <v>137</v>
      </c>
      <c r="B738" s="8">
        <v>40576</v>
      </c>
      <c r="C738" s="8" t="str">
        <f t="shared" si="36"/>
        <v>Wednesday</v>
      </c>
      <c r="D738" s="9">
        <v>1</v>
      </c>
      <c r="E738" s="9">
        <v>0</v>
      </c>
      <c r="F738" s="9">
        <v>2</v>
      </c>
      <c r="G738" s="7">
        <v>22</v>
      </c>
      <c r="H738" s="9" t="b">
        <v>0</v>
      </c>
      <c r="I738" s="9">
        <v>3</v>
      </c>
      <c r="J738" s="38" t="str">
        <f>CHOOSE(Table1[[#This Row],[Weekday]]+1,"Sunday","Monday","Tuesday","Wednesday","Thursday","Friday","Saturday")</f>
        <v>Wednesday</v>
      </c>
      <c r="K738" s="9">
        <v>1</v>
      </c>
      <c r="L738" s="38" t="str">
        <f>IF(Table1[[#This Row],[Weather_code]]=1,"Clear",IF(Table1[[#This Row],[Weather_code]]=2,"Cloudy",IF(Table1[[#This Row],[Weather_code]]=3,"Light Rain",IF(Table1[[#This Row],[Weather_code]]=4,"Heavy Rain"))))</f>
        <v>Clear</v>
      </c>
      <c r="M738" s="9">
        <v>0.22</v>
      </c>
      <c r="N738" s="11" t="str">
        <f t="shared" si="34"/>
        <v>Winter</v>
      </c>
      <c r="O738" s="11" t="str">
        <f t="shared" si="35"/>
        <v>Weekday</v>
      </c>
      <c r="P738" s="9">
        <v>0.21210000000000001</v>
      </c>
      <c r="Q738" s="7">
        <f>Table1[[#This Row],[A_Temperature]]*41</f>
        <v>8.6961000000000013</v>
      </c>
      <c r="R738" s="9">
        <v>0.44</v>
      </c>
      <c r="S738" s="9">
        <v>0.25369999999999998</v>
      </c>
      <c r="T738" s="9">
        <v>5</v>
      </c>
      <c r="U738" s="9">
        <v>35</v>
      </c>
      <c r="V738" s="19">
        <v>40</v>
      </c>
    </row>
    <row r="739" spans="1:22" s="13" customFormat="1" ht="30" customHeight="1">
      <c r="A739" s="17" t="s">
        <v>138</v>
      </c>
      <c r="B739" s="8">
        <v>40576</v>
      </c>
      <c r="C739" s="8" t="str">
        <f t="shared" si="36"/>
        <v>Wednesday</v>
      </c>
      <c r="D739" s="9">
        <v>1</v>
      </c>
      <c r="E739" s="9">
        <v>0</v>
      </c>
      <c r="F739" s="9">
        <v>2</v>
      </c>
      <c r="G739" s="7">
        <v>23</v>
      </c>
      <c r="H739" s="9" t="b">
        <v>0</v>
      </c>
      <c r="I739" s="9">
        <v>3</v>
      </c>
      <c r="J739" s="38" t="str">
        <f>CHOOSE(Table1[[#This Row],[Weekday]]+1,"Sunday","Monday","Tuesday","Wednesday","Thursday","Friday","Saturday")</f>
        <v>Wednesday</v>
      </c>
      <c r="K739" s="9">
        <v>1</v>
      </c>
      <c r="L739" s="38" t="str">
        <f>IF(Table1[[#This Row],[Weather_code]]=1,"Clear",IF(Table1[[#This Row],[Weather_code]]=2,"Cloudy",IF(Table1[[#This Row],[Weather_code]]=3,"Light Rain",IF(Table1[[#This Row],[Weather_code]]=4,"Heavy Rain"))))</f>
        <v>Clear</v>
      </c>
      <c r="M739" s="9">
        <v>0.2</v>
      </c>
      <c r="N739" s="11" t="str">
        <f t="shared" si="34"/>
        <v>Winter</v>
      </c>
      <c r="O739" s="11" t="str">
        <f t="shared" si="35"/>
        <v>Weekday</v>
      </c>
      <c r="P739" s="9">
        <v>0.16669999999999999</v>
      </c>
      <c r="Q739" s="7">
        <f>Table1[[#This Row],[A_Temperature]]*41</f>
        <v>6.8346999999999998</v>
      </c>
      <c r="R739" s="9">
        <v>0.44</v>
      </c>
      <c r="S739" s="9">
        <v>0.44779999999999998</v>
      </c>
      <c r="T739" s="9">
        <v>3</v>
      </c>
      <c r="U739" s="9">
        <v>29</v>
      </c>
      <c r="V739" s="19">
        <v>32</v>
      </c>
    </row>
    <row r="740" spans="1:22" s="13" customFormat="1" ht="30" customHeight="1">
      <c r="A740" s="17" t="s">
        <v>139</v>
      </c>
      <c r="B740" s="8">
        <v>40604</v>
      </c>
      <c r="C740" s="8" t="str">
        <f t="shared" si="36"/>
        <v>Wednesday</v>
      </c>
      <c r="D740" s="9">
        <v>1</v>
      </c>
      <c r="E740" s="9">
        <v>0</v>
      </c>
      <c r="F740" s="9">
        <v>2</v>
      </c>
      <c r="G740" s="7">
        <v>0</v>
      </c>
      <c r="H740" s="9" t="b">
        <v>0</v>
      </c>
      <c r="I740" s="9">
        <v>4</v>
      </c>
      <c r="J740" s="38" t="str">
        <f>CHOOSE(Table1[[#This Row],[Weekday]]+1,"Sunday","Monday","Tuesday","Wednesday","Thursday","Friday","Saturday")</f>
        <v>Thursday</v>
      </c>
      <c r="K740" s="9">
        <v>1</v>
      </c>
      <c r="L740" s="38" t="str">
        <f>IF(Table1[[#This Row],[Weather_code]]=1,"Clear",IF(Table1[[#This Row],[Weather_code]]=2,"Cloudy",IF(Table1[[#This Row],[Weather_code]]=3,"Light Rain",IF(Table1[[#This Row],[Weather_code]]=4,"Heavy Rain"))))</f>
        <v>Clear</v>
      </c>
      <c r="M740" s="9">
        <v>0.2</v>
      </c>
      <c r="N740" s="11" t="str">
        <f t="shared" si="34"/>
        <v>Winter</v>
      </c>
      <c r="O740" s="11" t="str">
        <f t="shared" si="35"/>
        <v>Weekday</v>
      </c>
      <c r="P740" s="9">
        <v>0.16669999999999999</v>
      </c>
      <c r="Q740" s="7">
        <f>Table1[[#This Row],[A_Temperature]]*41</f>
        <v>6.8346999999999998</v>
      </c>
      <c r="R740" s="9">
        <v>0.4</v>
      </c>
      <c r="S740" s="9">
        <v>0.44779999999999998</v>
      </c>
      <c r="T740" s="9">
        <v>1</v>
      </c>
      <c r="U740" s="9">
        <v>11</v>
      </c>
      <c r="V740" s="19">
        <v>12</v>
      </c>
    </row>
    <row r="741" spans="1:22" s="13" customFormat="1" ht="30" customHeight="1">
      <c r="A741" s="17" t="s">
        <v>140</v>
      </c>
      <c r="B741" s="8">
        <v>40604</v>
      </c>
      <c r="C741" s="8" t="str">
        <f t="shared" si="36"/>
        <v>Wednesday</v>
      </c>
      <c r="D741" s="9">
        <v>1</v>
      </c>
      <c r="E741" s="9">
        <v>0</v>
      </c>
      <c r="F741" s="9">
        <v>2</v>
      </c>
      <c r="G741" s="7">
        <v>1</v>
      </c>
      <c r="H741" s="9" t="b">
        <v>0</v>
      </c>
      <c r="I741" s="9">
        <v>4</v>
      </c>
      <c r="J741" s="38" t="str">
        <f>CHOOSE(Table1[[#This Row],[Weekday]]+1,"Sunday","Monday","Tuesday","Wednesday","Thursday","Friday","Saturday")</f>
        <v>Thursday</v>
      </c>
      <c r="K741" s="9">
        <v>1</v>
      </c>
      <c r="L741" s="38" t="str">
        <f>IF(Table1[[#This Row],[Weather_code]]=1,"Clear",IF(Table1[[#This Row],[Weather_code]]=2,"Cloudy",IF(Table1[[#This Row],[Weather_code]]=3,"Light Rain",IF(Table1[[#This Row],[Weather_code]]=4,"Heavy Rain"))))</f>
        <v>Clear</v>
      </c>
      <c r="M741" s="9">
        <v>0.2</v>
      </c>
      <c r="N741" s="11" t="str">
        <f t="shared" si="34"/>
        <v>Winter</v>
      </c>
      <c r="O741" s="11" t="str">
        <f t="shared" si="35"/>
        <v>Weekday</v>
      </c>
      <c r="P741" s="9">
        <v>0.1515</v>
      </c>
      <c r="Q741" s="7">
        <f>Table1[[#This Row],[A_Temperature]]*41</f>
        <v>6.2115</v>
      </c>
      <c r="R741" s="9">
        <v>0.44</v>
      </c>
      <c r="S741" s="9">
        <v>0.52239999999999998</v>
      </c>
      <c r="T741" s="9">
        <v>0</v>
      </c>
      <c r="U741" s="9">
        <v>5</v>
      </c>
      <c r="V741" s="19">
        <v>5</v>
      </c>
    </row>
    <row r="742" spans="1:22" s="13" customFormat="1" ht="30" customHeight="1">
      <c r="A742" s="17" t="s">
        <v>141</v>
      </c>
      <c r="B742" s="8">
        <v>40604</v>
      </c>
      <c r="C742" s="8" t="str">
        <f t="shared" si="36"/>
        <v>Wednesday</v>
      </c>
      <c r="D742" s="9">
        <v>1</v>
      </c>
      <c r="E742" s="9">
        <v>0</v>
      </c>
      <c r="F742" s="9">
        <v>2</v>
      </c>
      <c r="G742" s="7">
        <v>2</v>
      </c>
      <c r="H742" s="9" t="b">
        <v>0</v>
      </c>
      <c r="I742" s="9">
        <v>4</v>
      </c>
      <c r="J742" s="38" t="str">
        <f>CHOOSE(Table1[[#This Row],[Weekday]]+1,"Sunday","Monday","Tuesday","Wednesday","Thursday","Friday","Saturday")</f>
        <v>Thursday</v>
      </c>
      <c r="K742" s="9">
        <v>1</v>
      </c>
      <c r="L742" s="38" t="str">
        <f>IF(Table1[[#This Row],[Weather_code]]=1,"Clear",IF(Table1[[#This Row],[Weather_code]]=2,"Cloudy",IF(Table1[[#This Row],[Weather_code]]=3,"Light Rain",IF(Table1[[#This Row],[Weather_code]]=4,"Heavy Rain"))))</f>
        <v>Clear</v>
      </c>
      <c r="M742" s="9">
        <v>0.18</v>
      </c>
      <c r="N742" s="11" t="str">
        <f t="shared" si="34"/>
        <v>Winter</v>
      </c>
      <c r="O742" s="11" t="str">
        <f t="shared" si="35"/>
        <v>Weekday</v>
      </c>
      <c r="P742" s="9">
        <v>0.16669999999999999</v>
      </c>
      <c r="Q742" s="7">
        <f>Table1[[#This Row],[A_Temperature]]*41</f>
        <v>6.8346999999999998</v>
      </c>
      <c r="R742" s="9">
        <v>0.43</v>
      </c>
      <c r="S742" s="9">
        <v>0.25369999999999998</v>
      </c>
      <c r="T742" s="9">
        <v>0</v>
      </c>
      <c r="U742" s="9">
        <v>2</v>
      </c>
      <c r="V742" s="19">
        <v>2</v>
      </c>
    </row>
    <row r="743" spans="1:22" s="13" customFormat="1" ht="30" customHeight="1">
      <c r="A743" s="17" t="s">
        <v>142</v>
      </c>
      <c r="B743" s="8">
        <v>40604</v>
      </c>
      <c r="C743" s="8" t="str">
        <f t="shared" si="36"/>
        <v>Wednesday</v>
      </c>
      <c r="D743" s="9">
        <v>1</v>
      </c>
      <c r="E743" s="9">
        <v>0</v>
      </c>
      <c r="F743" s="9">
        <v>2</v>
      </c>
      <c r="G743" s="7">
        <v>3</v>
      </c>
      <c r="H743" s="9" t="b">
        <v>0</v>
      </c>
      <c r="I743" s="9">
        <v>4</v>
      </c>
      <c r="J743" s="38" t="str">
        <f>CHOOSE(Table1[[#This Row],[Weekday]]+1,"Sunday","Monday","Tuesday","Wednesday","Thursday","Friday","Saturday")</f>
        <v>Thursday</v>
      </c>
      <c r="K743" s="9">
        <v>1</v>
      </c>
      <c r="L743" s="38" t="str">
        <f>IF(Table1[[#This Row],[Weather_code]]=1,"Clear",IF(Table1[[#This Row],[Weather_code]]=2,"Cloudy",IF(Table1[[#This Row],[Weather_code]]=3,"Light Rain",IF(Table1[[#This Row],[Weather_code]]=4,"Heavy Rain"))))</f>
        <v>Clear</v>
      </c>
      <c r="M743" s="9">
        <v>0.18</v>
      </c>
      <c r="N743" s="11" t="str">
        <f t="shared" ref="N743:N806" si="37">CHOOSE(D743,"Winter","Spring","Summer","Fall")</f>
        <v>Winter</v>
      </c>
      <c r="O743" s="11" t="str">
        <f t="shared" si="35"/>
        <v>Weekday</v>
      </c>
      <c r="P743" s="9">
        <v>0.16669999999999999</v>
      </c>
      <c r="Q743" s="7">
        <f>Table1[[#This Row],[A_Temperature]]*41</f>
        <v>6.8346999999999998</v>
      </c>
      <c r="R743" s="9">
        <v>0.43</v>
      </c>
      <c r="S743" s="9">
        <v>0.25369999999999998</v>
      </c>
      <c r="T743" s="9">
        <v>0</v>
      </c>
      <c r="U743" s="9">
        <v>1</v>
      </c>
      <c r="V743" s="19">
        <v>1</v>
      </c>
    </row>
    <row r="744" spans="1:22" s="13" customFormat="1" ht="30" customHeight="1">
      <c r="A744" s="17" t="s">
        <v>143</v>
      </c>
      <c r="B744" s="8">
        <v>40604</v>
      </c>
      <c r="C744" s="8" t="str">
        <f t="shared" si="36"/>
        <v>Wednesday</v>
      </c>
      <c r="D744" s="9">
        <v>1</v>
      </c>
      <c r="E744" s="9">
        <v>0</v>
      </c>
      <c r="F744" s="9">
        <v>2</v>
      </c>
      <c r="G744" s="7">
        <v>5</v>
      </c>
      <c r="H744" s="9" t="b">
        <v>0</v>
      </c>
      <c r="I744" s="9">
        <v>4</v>
      </c>
      <c r="J744" s="38" t="str">
        <f>CHOOSE(Table1[[#This Row],[Weekday]]+1,"Sunday","Monday","Tuesday","Wednesday","Thursday","Friday","Saturday")</f>
        <v>Thursday</v>
      </c>
      <c r="K744" s="9">
        <v>1</v>
      </c>
      <c r="L744" s="38" t="str">
        <f>IF(Table1[[#This Row],[Weather_code]]=1,"Clear",IF(Table1[[#This Row],[Weather_code]]=2,"Cloudy",IF(Table1[[#This Row],[Weather_code]]=3,"Light Rain",IF(Table1[[#This Row],[Weather_code]]=4,"Heavy Rain"))))</f>
        <v>Clear</v>
      </c>
      <c r="M744" s="9">
        <v>0.16</v>
      </c>
      <c r="N744" s="11" t="str">
        <f t="shared" si="37"/>
        <v>Winter</v>
      </c>
      <c r="O744" s="11" t="str">
        <f t="shared" si="35"/>
        <v>Weekday</v>
      </c>
      <c r="P744" s="9">
        <v>0.13639999999999999</v>
      </c>
      <c r="Q744" s="7">
        <f>Table1[[#This Row],[A_Temperature]]*41</f>
        <v>5.5923999999999996</v>
      </c>
      <c r="R744" s="9">
        <v>0.5</v>
      </c>
      <c r="S744" s="9">
        <v>0.29849999999999999</v>
      </c>
      <c r="T744" s="9">
        <v>0</v>
      </c>
      <c r="U744" s="9">
        <v>2</v>
      </c>
      <c r="V744" s="19">
        <v>2</v>
      </c>
    </row>
    <row r="745" spans="1:22" s="13" customFormat="1" ht="30" customHeight="1">
      <c r="A745" s="17" t="s">
        <v>144</v>
      </c>
      <c r="B745" s="8">
        <v>40604</v>
      </c>
      <c r="C745" s="8" t="str">
        <f t="shared" si="36"/>
        <v>Wednesday</v>
      </c>
      <c r="D745" s="9">
        <v>1</v>
      </c>
      <c r="E745" s="9">
        <v>0</v>
      </c>
      <c r="F745" s="9">
        <v>2</v>
      </c>
      <c r="G745" s="7">
        <v>6</v>
      </c>
      <c r="H745" s="9" t="b">
        <v>0</v>
      </c>
      <c r="I745" s="9">
        <v>4</v>
      </c>
      <c r="J745" s="38" t="str">
        <f>CHOOSE(Table1[[#This Row],[Weekday]]+1,"Sunday","Monday","Tuesday","Wednesday","Thursday","Friday","Saturday")</f>
        <v>Thursday</v>
      </c>
      <c r="K745" s="9">
        <v>1</v>
      </c>
      <c r="L745" s="38" t="str">
        <f>IF(Table1[[#This Row],[Weather_code]]=1,"Clear",IF(Table1[[#This Row],[Weather_code]]=2,"Cloudy",IF(Table1[[#This Row],[Weather_code]]=3,"Light Rain",IF(Table1[[#This Row],[Weather_code]]=4,"Heavy Rain"))))</f>
        <v>Clear</v>
      </c>
      <c r="M745" s="9">
        <v>0.16</v>
      </c>
      <c r="N745" s="11" t="str">
        <f t="shared" si="37"/>
        <v>Winter</v>
      </c>
      <c r="O745" s="11" t="str">
        <f t="shared" si="35"/>
        <v>Weekday</v>
      </c>
      <c r="P745" s="9">
        <v>0.13639999999999999</v>
      </c>
      <c r="Q745" s="7">
        <f>Table1[[#This Row],[A_Temperature]]*41</f>
        <v>5.5923999999999996</v>
      </c>
      <c r="R745" s="9">
        <v>0.43</v>
      </c>
      <c r="S745" s="9">
        <v>0.35820000000000002</v>
      </c>
      <c r="T745" s="9">
        <v>0</v>
      </c>
      <c r="U745" s="9">
        <v>39</v>
      </c>
      <c r="V745" s="19">
        <v>39</v>
      </c>
    </row>
    <row r="746" spans="1:22" s="13" customFormat="1" ht="30" customHeight="1">
      <c r="A746" s="17" t="s">
        <v>145</v>
      </c>
      <c r="B746" s="8">
        <v>40604</v>
      </c>
      <c r="C746" s="8" t="str">
        <f t="shared" si="36"/>
        <v>Wednesday</v>
      </c>
      <c r="D746" s="9">
        <v>1</v>
      </c>
      <c r="E746" s="9">
        <v>0</v>
      </c>
      <c r="F746" s="9">
        <v>2</v>
      </c>
      <c r="G746" s="7">
        <v>7</v>
      </c>
      <c r="H746" s="9" t="b">
        <v>0</v>
      </c>
      <c r="I746" s="9">
        <v>4</v>
      </c>
      <c r="J746" s="38" t="str">
        <f>CHOOSE(Table1[[#This Row],[Weekday]]+1,"Sunday","Monday","Tuesday","Wednesday","Thursday","Friday","Saturday")</f>
        <v>Thursday</v>
      </c>
      <c r="K746" s="9">
        <v>1</v>
      </c>
      <c r="L746" s="38" t="str">
        <f>IF(Table1[[#This Row],[Weather_code]]=1,"Clear",IF(Table1[[#This Row],[Weather_code]]=2,"Cloudy",IF(Table1[[#This Row],[Weather_code]]=3,"Light Rain",IF(Table1[[#This Row],[Weather_code]]=4,"Heavy Rain"))))</f>
        <v>Clear</v>
      </c>
      <c r="M746" s="9">
        <v>0.14000000000000001</v>
      </c>
      <c r="N746" s="11" t="str">
        <f t="shared" si="37"/>
        <v>Winter</v>
      </c>
      <c r="O746" s="11" t="str">
        <f t="shared" si="35"/>
        <v>Weekday</v>
      </c>
      <c r="P746" s="9">
        <v>0.1212</v>
      </c>
      <c r="Q746" s="7">
        <f>Table1[[#This Row],[A_Temperature]]*41</f>
        <v>4.9691999999999998</v>
      </c>
      <c r="R746" s="9">
        <v>0.5</v>
      </c>
      <c r="S746" s="9">
        <v>0.32840000000000003</v>
      </c>
      <c r="T746" s="9">
        <v>1</v>
      </c>
      <c r="U746" s="9">
        <v>86</v>
      </c>
      <c r="V746" s="19">
        <v>87</v>
      </c>
    </row>
    <row r="747" spans="1:22" s="13" customFormat="1" ht="30" customHeight="1">
      <c r="A747" s="17" t="s">
        <v>146</v>
      </c>
      <c r="B747" s="8">
        <v>40604</v>
      </c>
      <c r="C747" s="8" t="str">
        <f t="shared" si="36"/>
        <v>Wednesday</v>
      </c>
      <c r="D747" s="9">
        <v>1</v>
      </c>
      <c r="E747" s="9">
        <v>0</v>
      </c>
      <c r="F747" s="9">
        <v>2</v>
      </c>
      <c r="G747" s="7">
        <v>8</v>
      </c>
      <c r="H747" s="9" t="b">
        <v>0</v>
      </c>
      <c r="I747" s="9">
        <v>4</v>
      </c>
      <c r="J747" s="38" t="str">
        <f>CHOOSE(Table1[[#This Row],[Weekday]]+1,"Sunday","Monday","Tuesday","Wednesday","Thursday","Friday","Saturday")</f>
        <v>Thursday</v>
      </c>
      <c r="K747" s="9">
        <v>1</v>
      </c>
      <c r="L747" s="38" t="str">
        <f>IF(Table1[[#This Row],[Weather_code]]=1,"Clear",IF(Table1[[#This Row],[Weather_code]]=2,"Cloudy",IF(Table1[[#This Row],[Weather_code]]=3,"Light Rain",IF(Table1[[#This Row],[Weather_code]]=4,"Heavy Rain"))))</f>
        <v>Clear</v>
      </c>
      <c r="M747" s="9">
        <v>0.14000000000000001</v>
      </c>
      <c r="N747" s="11" t="str">
        <f t="shared" si="37"/>
        <v>Winter</v>
      </c>
      <c r="O747" s="11" t="str">
        <f t="shared" si="35"/>
        <v>Weekday</v>
      </c>
      <c r="P747" s="9">
        <v>0.1212</v>
      </c>
      <c r="Q747" s="7">
        <f>Table1[[#This Row],[A_Temperature]]*41</f>
        <v>4.9691999999999998</v>
      </c>
      <c r="R747" s="9">
        <v>0.5</v>
      </c>
      <c r="S747" s="9">
        <v>0.35820000000000002</v>
      </c>
      <c r="T747" s="9">
        <v>4</v>
      </c>
      <c r="U747" s="9">
        <v>184</v>
      </c>
      <c r="V747" s="19">
        <v>188</v>
      </c>
    </row>
    <row r="748" spans="1:22" s="13" customFormat="1" ht="30" customHeight="1">
      <c r="A748" s="17" t="s">
        <v>147</v>
      </c>
      <c r="B748" s="8">
        <v>40604</v>
      </c>
      <c r="C748" s="8" t="str">
        <f t="shared" si="36"/>
        <v>Wednesday</v>
      </c>
      <c r="D748" s="9">
        <v>1</v>
      </c>
      <c r="E748" s="9">
        <v>0</v>
      </c>
      <c r="F748" s="9">
        <v>2</v>
      </c>
      <c r="G748" s="7">
        <v>9</v>
      </c>
      <c r="H748" s="9" t="b">
        <v>0</v>
      </c>
      <c r="I748" s="9">
        <v>4</v>
      </c>
      <c r="J748" s="38" t="str">
        <f>CHOOSE(Table1[[#This Row],[Weekday]]+1,"Sunday","Monday","Tuesday","Wednesday","Thursday","Friday","Saturday")</f>
        <v>Thursday</v>
      </c>
      <c r="K748" s="9">
        <v>1</v>
      </c>
      <c r="L748" s="38" t="str">
        <f>IF(Table1[[#This Row],[Weather_code]]=1,"Clear",IF(Table1[[#This Row],[Weather_code]]=2,"Cloudy",IF(Table1[[#This Row],[Weather_code]]=3,"Light Rain",IF(Table1[[#This Row],[Weather_code]]=4,"Heavy Rain"))))</f>
        <v>Clear</v>
      </c>
      <c r="M748" s="9">
        <v>0.16</v>
      </c>
      <c r="N748" s="11" t="str">
        <f t="shared" si="37"/>
        <v>Winter</v>
      </c>
      <c r="O748" s="11" t="str">
        <f t="shared" si="35"/>
        <v>Weekday</v>
      </c>
      <c r="P748" s="9">
        <v>0.13639999999999999</v>
      </c>
      <c r="Q748" s="7">
        <f>Table1[[#This Row],[A_Temperature]]*41</f>
        <v>5.5923999999999996</v>
      </c>
      <c r="R748" s="9">
        <v>0.47</v>
      </c>
      <c r="S748" s="9">
        <v>0.29849999999999999</v>
      </c>
      <c r="T748" s="9">
        <v>6</v>
      </c>
      <c r="U748" s="9">
        <v>127</v>
      </c>
      <c r="V748" s="19">
        <v>133</v>
      </c>
    </row>
    <row r="749" spans="1:22" s="13" customFormat="1" ht="30" customHeight="1">
      <c r="A749" s="17" t="s">
        <v>148</v>
      </c>
      <c r="B749" s="8">
        <v>40604</v>
      </c>
      <c r="C749" s="8" t="str">
        <f t="shared" si="36"/>
        <v>Wednesday</v>
      </c>
      <c r="D749" s="9">
        <v>1</v>
      </c>
      <c r="E749" s="9">
        <v>0</v>
      </c>
      <c r="F749" s="9">
        <v>2</v>
      </c>
      <c r="G749" s="7">
        <v>10</v>
      </c>
      <c r="H749" s="9" t="b">
        <v>0</v>
      </c>
      <c r="I749" s="9">
        <v>4</v>
      </c>
      <c r="J749" s="38" t="str">
        <f>CHOOSE(Table1[[#This Row],[Weekday]]+1,"Sunday","Monday","Tuesday","Wednesday","Thursday","Friday","Saturday")</f>
        <v>Thursday</v>
      </c>
      <c r="K749" s="9">
        <v>1</v>
      </c>
      <c r="L749" s="38" t="str">
        <f>IF(Table1[[#This Row],[Weather_code]]=1,"Clear",IF(Table1[[#This Row],[Weather_code]]=2,"Cloudy",IF(Table1[[#This Row],[Weather_code]]=3,"Light Rain",IF(Table1[[#This Row],[Weather_code]]=4,"Heavy Rain"))))</f>
        <v>Clear</v>
      </c>
      <c r="M749" s="9">
        <v>0.18</v>
      </c>
      <c r="N749" s="11" t="str">
        <f t="shared" si="37"/>
        <v>Winter</v>
      </c>
      <c r="O749" s="11" t="str">
        <f t="shared" si="35"/>
        <v>Weekday</v>
      </c>
      <c r="P749" s="9">
        <v>0.1515</v>
      </c>
      <c r="Q749" s="7">
        <f>Table1[[#This Row],[A_Temperature]]*41</f>
        <v>6.2115</v>
      </c>
      <c r="R749" s="9">
        <v>0.43</v>
      </c>
      <c r="S749" s="9">
        <v>0.32840000000000003</v>
      </c>
      <c r="T749" s="9">
        <v>2</v>
      </c>
      <c r="U749" s="9">
        <v>50</v>
      </c>
      <c r="V749" s="19">
        <v>52</v>
      </c>
    </row>
    <row r="750" spans="1:22" s="13" customFormat="1" ht="30" customHeight="1">
      <c r="A750" s="17" t="s">
        <v>149</v>
      </c>
      <c r="B750" s="8">
        <v>40604</v>
      </c>
      <c r="C750" s="8" t="str">
        <f t="shared" si="36"/>
        <v>Wednesday</v>
      </c>
      <c r="D750" s="9">
        <v>1</v>
      </c>
      <c r="E750" s="9">
        <v>0</v>
      </c>
      <c r="F750" s="9">
        <v>2</v>
      </c>
      <c r="G750" s="7">
        <v>11</v>
      </c>
      <c r="H750" s="9" t="b">
        <v>0</v>
      </c>
      <c r="I750" s="9">
        <v>4</v>
      </c>
      <c r="J750" s="38" t="str">
        <f>CHOOSE(Table1[[#This Row],[Weekday]]+1,"Sunday","Monday","Tuesday","Wednesday","Thursday","Friday","Saturday")</f>
        <v>Thursday</v>
      </c>
      <c r="K750" s="9">
        <v>1</v>
      </c>
      <c r="L750" s="38" t="str">
        <f>IF(Table1[[#This Row],[Weather_code]]=1,"Clear",IF(Table1[[#This Row],[Weather_code]]=2,"Cloudy",IF(Table1[[#This Row],[Weather_code]]=3,"Light Rain",IF(Table1[[#This Row],[Weather_code]]=4,"Heavy Rain"))))</f>
        <v>Clear</v>
      </c>
      <c r="M750" s="9">
        <v>0.18</v>
      </c>
      <c r="N750" s="11" t="str">
        <f t="shared" si="37"/>
        <v>Winter</v>
      </c>
      <c r="O750" s="11" t="str">
        <f t="shared" si="35"/>
        <v>Weekday</v>
      </c>
      <c r="P750" s="9">
        <v>0.13639999999999999</v>
      </c>
      <c r="Q750" s="7">
        <f>Table1[[#This Row],[A_Temperature]]*41</f>
        <v>5.5923999999999996</v>
      </c>
      <c r="R750" s="9">
        <v>0.43</v>
      </c>
      <c r="S750" s="9">
        <v>0.44779999999999998</v>
      </c>
      <c r="T750" s="9">
        <v>9</v>
      </c>
      <c r="U750" s="9">
        <v>55</v>
      </c>
      <c r="V750" s="19">
        <v>64</v>
      </c>
    </row>
    <row r="751" spans="1:22" s="13" customFormat="1" ht="30" customHeight="1">
      <c r="A751" s="17" t="s">
        <v>150</v>
      </c>
      <c r="B751" s="8">
        <v>40604</v>
      </c>
      <c r="C751" s="8" t="str">
        <f t="shared" si="36"/>
        <v>Wednesday</v>
      </c>
      <c r="D751" s="9">
        <v>1</v>
      </c>
      <c r="E751" s="9">
        <v>0</v>
      </c>
      <c r="F751" s="9">
        <v>2</v>
      </c>
      <c r="G751" s="7">
        <v>12</v>
      </c>
      <c r="H751" s="9" t="b">
        <v>0</v>
      </c>
      <c r="I751" s="9">
        <v>4</v>
      </c>
      <c r="J751" s="38" t="str">
        <f>CHOOSE(Table1[[#This Row],[Weekday]]+1,"Sunday","Monday","Tuesday","Wednesday","Thursday","Friday","Saturday")</f>
        <v>Thursday</v>
      </c>
      <c r="K751" s="9">
        <v>1</v>
      </c>
      <c r="L751" s="38" t="str">
        <f>IF(Table1[[#This Row],[Weather_code]]=1,"Clear",IF(Table1[[#This Row],[Weather_code]]=2,"Cloudy",IF(Table1[[#This Row],[Weather_code]]=3,"Light Rain",IF(Table1[[#This Row],[Weather_code]]=4,"Heavy Rain"))))</f>
        <v>Clear</v>
      </c>
      <c r="M751" s="9">
        <v>0.2</v>
      </c>
      <c r="N751" s="11" t="str">
        <f t="shared" si="37"/>
        <v>Winter</v>
      </c>
      <c r="O751" s="11" t="str">
        <f t="shared" si="35"/>
        <v>Weekday</v>
      </c>
      <c r="P751" s="9">
        <v>0.18179999999999999</v>
      </c>
      <c r="Q751" s="7">
        <f>Table1[[#This Row],[A_Temperature]]*41</f>
        <v>7.4537999999999993</v>
      </c>
      <c r="R751" s="9">
        <v>0.4</v>
      </c>
      <c r="S751" s="9">
        <v>0.35820000000000002</v>
      </c>
      <c r="T751" s="9">
        <v>2</v>
      </c>
      <c r="U751" s="9">
        <v>67</v>
      </c>
      <c r="V751" s="19">
        <v>69</v>
      </c>
    </row>
    <row r="752" spans="1:22" s="13" customFormat="1" ht="30" customHeight="1">
      <c r="A752" s="17" t="s">
        <v>151</v>
      </c>
      <c r="B752" s="8">
        <v>40604</v>
      </c>
      <c r="C752" s="8" t="str">
        <f t="shared" si="36"/>
        <v>Wednesday</v>
      </c>
      <c r="D752" s="9">
        <v>1</v>
      </c>
      <c r="E752" s="9">
        <v>0</v>
      </c>
      <c r="F752" s="9">
        <v>2</v>
      </c>
      <c r="G752" s="7">
        <v>13</v>
      </c>
      <c r="H752" s="9" t="b">
        <v>0</v>
      </c>
      <c r="I752" s="9">
        <v>4</v>
      </c>
      <c r="J752" s="38" t="str">
        <f>CHOOSE(Table1[[#This Row],[Weekday]]+1,"Sunday","Monday","Tuesday","Wednesday","Thursday","Friday","Saturday")</f>
        <v>Thursday</v>
      </c>
      <c r="K752" s="9">
        <v>1</v>
      </c>
      <c r="L752" s="38" t="str">
        <f>IF(Table1[[#This Row],[Weather_code]]=1,"Clear",IF(Table1[[#This Row],[Weather_code]]=2,"Cloudy",IF(Table1[[#This Row],[Weather_code]]=3,"Light Rain",IF(Table1[[#This Row],[Weather_code]]=4,"Heavy Rain"))))</f>
        <v>Clear</v>
      </c>
      <c r="M752" s="9">
        <v>0.2</v>
      </c>
      <c r="N752" s="11" t="str">
        <f t="shared" si="37"/>
        <v>Winter</v>
      </c>
      <c r="O752" s="11" t="str">
        <f t="shared" si="35"/>
        <v>Weekday</v>
      </c>
      <c r="P752" s="9">
        <v>0.16669999999999999</v>
      </c>
      <c r="Q752" s="7">
        <f>Table1[[#This Row],[A_Temperature]]*41</f>
        <v>6.8346999999999998</v>
      </c>
      <c r="R752" s="9">
        <v>0.4</v>
      </c>
      <c r="S752" s="9">
        <v>0.41789999999999999</v>
      </c>
      <c r="T752" s="9">
        <v>4</v>
      </c>
      <c r="U752" s="9">
        <v>47</v>
      </c>
      <c r="V752" s="19">
        <v>51</v>
      </c>
    </row>
    <row r="753" spans="1:22" s="13" customFormat="1" ht="30" customHeight="1">
      <c r="A753" s="17" t="s">
        <v>152</v>
      </c>
      <c r="B753" s="8">
        <v>40604</v>
      </c>
      <c r="C753" s="8" t="str">
        <f t="shared" si="36"/>
        <v>Wednesday</v>
      </c>
      <c r="D753" s="9">
        <v>1</v>
      </c>
      <c r="E753" s="9">
        <v>0</v>
      </c>
      <c r="F753" s="9">
        <v>2</v>
      </c>
      <c r="G753" s="7">
        <v>14</v>
      </c>
      <c r="H753" s="9" t="b">
        <v>0</v>
      </c>
      <c r="I753" s="9">
        <v>4</v>
      </c>
      <c r="J753" s="38" t="str">
        <f>CHOOSE(Table1[[#This Row],[Weekday]]+1,"Sunday","Monday","Tuesday","Wednesday","Thursday","Friday","Saturday")</f>
        <v>Thursday</v>
      </c>
      <c r="K753" s="9">
        <v>1</v>
      </c>
      <c r="L753" s="38" t="str">
        <f>IF(Table1[[#This Row],[Weather_code]]=1,"Clear",IF(Table1[[#This Row],[Weather_code]]=2,"Cloudy",IF(Table1[[#This Row],[Weather_code]]=3,"Light Rain",IF(Table1[[#This Row],[Weather_code]]=4,"Heavy Rain"))))</f>
        <v>Clear</v>
      </c>
      <c r="M753" s="9">
        <v>0.22</v>
      </c>
      <c r="N753" s="11" t="str">
        <f t="shared" si="37"/>
        <v>Winter</v>
      </c>
      <c r="O753" s="11" t="str">
        <f t="shared" si="35"/>
        <v>Weekday</v>
      </c>
      <c r="P753" s="9">
        <v>0.19700000000000001</v>
      </c>
      <c r="Q753" s="7">
        <f>Table1[[#This Row],[A_Temperature]]*41</f>
        <v>8.077</v>
      </c>
      <c r="R753" s="9">
        <v>0.37</v>
      </c>
      <c r="S753" s="9">
        <v>0.3881</v>
      </c>
      <c r="T753" s="9">
        <v>4</v>
      </c>
      <c r="U753" s="9">
        <v>43</v>
      </c>
      <c r="V753" s="19">
        <v>47</v>
      </c>
    </row>
    <row r="754" spans="1:22" s="13" customFormat="1" ht="30" customHeight="1">
      <c r="A754" s="17" t="s">
        <v>153</v>
      </c>
      <c r="B754" s="8">
        <v>40604</v>
      </c>
      <c r="C754" s="8" t="str">
        <f t="shared" si="36"/>
        <v>Wednesday</v>
      </c>
      <c r="D754" s="9">
        <v>1</v>
      </c>
      <c r="E754" s="9">
        <v>0</v>
      </c>
      <c r="F754" s="9">
        <v>2</v>
      </c>
      <c r="G754" s="7">
        <v>15</v>
      </c>
      <c r="H754" s="9" t="b">
        <v>0</v>
      </c>
      <c r="I754" s="9">
        <v>4</v>
      </c>
      <c r="J754" s="38" t="str">
        <f>CHOOSE(Table1[[#This Row],[Weekday]]+1,"Sunday","Monday","Tuesday","Wednesday","Thursday","Friday","Saturday")</f>
        <v>Thursday</v>
      </c>
      <c r="K754" s="9">
        <v>1</v>
      </c>
      <c r="L754" s="38" t="str">
        <f>IF(Table1[[#This Row],[Weather_code]]=1,"Clear",IF(Table1[[#This Row],[Weather_code]]=2,"Cloudy",IF(Table1[[#This Row],[Weather_code]]=3,"Light Rain",IF(Table1[[#This Row],[Weather_code]]=4,"Heavy Rain"))))</f>
        <v>Clear</v>
      </c>
      <c r="M754" s="9">
        <v>0.22</v>
      </c>
      <c r="N754" s="11" t="str">
        <f t="shared" si="37"/>
        <v>Winter</v>
      </c>
      <c r="O754" s="11" t="str">
        <f t="shared" si="35"/>
        <v>Weekday</v>
      </c>
      <c r="P754" s="9">
        <v>0.19700000000000001</v>
      </c>
      <c r="Q754" s="7">
        <f>Table1[[#This Row],[A_Temperature]]*41</f>
        <v>8.077</v>
      </c>
      <c r="R754" s="9">
        <v>0.37</v>
      </c>
      <c r="S754" s="9">
        <v>0.32840000000000003</v>
      </c>
      <c r="T754" s="9">
        <v>4</v>
      </c>
      <c r="U754" s="9">
        <v>56</v>
      </c>
      <c r="V754" s="19">
        <v>60</v>
      </c>
    </row>
    <row r="755" spans="1:22" s="13" customFormat="1" ht="30" customHeight="1">
      <c r="A755" s="17" t="s">
        <v>154</v>
      </c>
      <c r="B755" s="8">
        <v>40604</v>
      </c>
      <c r="C755" s="8" t="str">
        <f t="shared" si="36"/>
        <v>Wednesday</v>
      </c>
      <c r="D755" s="9">
        <v>1</v>
      </c>
      <c r="E755" s="9">
        <v>0</v>
      </c>
      <c r="F755" s="9">
        <v>2</v>
      </c>
      <c r="G755" s="7">
        <v>16</v>
      </c>
      <c r="H755" s="9" t="b">
        <v>0</v>
      </c>
      <c r="I755" s="9">
        <v>4</v>
      </c>
      <c r="J755" s="38" t="str">
        <f>CHOOSE(Table1[[#This Row],[Weekday]]+1,"Sunday","Monday","Tuesday","Wednesday","Thursday","Friday","Saturday")</f>
        <v>Thursday</v>
      </c>
      <c r="K755" s="9">
        <v>1</v>
      </c>
      <c r="L755" s="38" t="str">
        <f>IF(Table1[[#This Row],[Weather_code]]=1,"Clear",IF(Table1[[#This Row],[Weather_code]]=2,"Cloudy",IF(Table1[[#This Row],[Weather_code]]=3,"Light Rain",IF(Table1[[#This Row],[Weather_code]]=4,"Heavy Rain"))))</f>
        <v>Clear</v>
      </c>
      <c r="M755" s="9">
        <v>0.22</v>
      </c>
      <c r="N755" s="11" t="str">
        <f t="shared" si="37"/>
        <v>Winter</v>
      </c>
      <c r="O755" s="11" t="str">
        <f t="shared" si="35"/>
        <v>Weekday</v>
      </c>
      <c r="P755" s="9">
        <v>0.21210000000000001</v>
      </c>
      <c r="Q755" s="7">
        <f>Table1[[#This Row],[A_Temperature]]*41</f>
        <v>8.6961000000000013</v>
      </c>
      <c r="R755" s="9">
        <v>0.37</v>
      </c>
      <c r="S755" s="9">
        <v>0.25369999999999998</v>
      </c>
      <c r="T755" s="9">
        <v>5</v>
      </c>
      <c r="U755" s="9">
        <v>73</v>
      </c>
      <c r="V755" s="19">
        <v>78</v>
      </c>
    </row>
    <row r="756" spans="1:22" s="13" customFormat="1" ht="30" customHeight="1">
      <c r="A756" s="17" t="s">
        <v>155</v>
      </c>
      <c r="B756" s="8">
        <v>40604</v>
      </c>
      <c r="C756" s="8" t="str">
        <f t="shared" si="36"/>
        <v>Wednesday</v>
      </c>
      <c r="D756" s="9">
        <v>1</v>
      </c>
      <c r="E756" s="9">
        <v>0</v>
      </c>
      <c r="F756" s="9">
        <v>2</v>
      </c>
      <c r="G756" s="7">
        <v>17</v>
      </c>
      <c r="H756" s="9" t="b">
        <v>0</v>
      </c>
      <c r="I756" s="9">
        <v>4</v>
      </c>
      <c r="J756" s="38" t="str">
        <f>CHOOSE(Table1[[#This Row],[Weekday]]+1,"Sunday","Monday","Tuesday","Wednesday","Thursday","Friday","Saturday")</f>
        <v>Thursday</v>
      </c>
      <c r="K756" s="9">
        <v>1</v>
      </c>
      <c r="L756" s="38" t="str">
        <f>IF(Table1[[#This Row],[Weather_code]]=1,"Clear",IF(Table1[[#This Row],[Weather_code]]=2,"Cloudy",IF(Table1[[#This Row],[Weather_code]]=3,"Light Rain",IF(Table1[[#This Row],[Weather_code]]=4,"Heavy Rain"))))</f>
        <v>Clear</v>
      </c>
      <c r="M756" s="9">
        <v>0.2</v>
      </c>
      <c r="N756" s="11" t="str">
        <f t="shared" si="37"/>
        <v>Winter</v>
      </c>
      <c r="O756" s="11" t="str">
        <f t="shared" si="35"/>
        <v>Weekday</v>
      </c>
      <c r="P756" s="9">
        <v>0.19700000000000001</v>
      </c>
      <c r="Q756" s="7">
        <f>Table1[[#This Row],[A_Temperature]]*41</f>
        <v>8.077</v>
      </c>
      <c r="R756" s="9">
        <v>0.4</v>
      </c>
      <c r="S756" s="9">
        <v>0.19400000000000001</v>
      </c>
      <c r="T756" s="9">
        <v>5</v>
      </c>
      <c r="U756" s="9">
        <v>170</v>
      </c>
      <c r="V756" s="19">
        <v>175</v>
      </c>
    </row>
    <row r="757" spans="1:22" s="13" customFormat="1" ht="30" customHeight="1">
      <c r="A757" s="17" t="s">
        <v>156</v>
      </c>
      <c r="B757" s="8">
        <v>40604</v>
      </c>
      <c r="C757" s="8" t="str">
        <f t="shared" si="36"/>
        <v>Wednesday</v>
      </c>
      <c r="D757" s="9">
        <v>1</v>
      </c>
      <c r="E757" s="9">
        <v>0</v>
      </c>
      <c r="F757" s="9">
        <v>2</v>
      </c>
      <c r="G757" s="7">
        <v>18</v>
      </c>
      <c r="H757" s="9" t="b">
        <v>0</v>
      </c>
      <c r="I757" s="9">
        <v>4</v>
      </c>
      <c r="J757" s="38" t="str">
        <f>CHOOSE(Table1[[#This Row],[Weekday]]+1,"Sunday","Monday","Tuesday","Wednesday","Thursday","Friday","Saturday")</f>
        <v>Thursday</v>
      </c>
      <c r="K757" s="9">
        <v>1</v>
      </c>
      <c r="L757" s="38" t="str">
        <f>IF(Table1[[#This Row],[Weather_code]]=1,"Clear",IF(Table1[[#This Row],[Weather_code]]=2,"Cloudy",IF(Table1[[#This Row],[Weather_code]]=3,"Light Rain",IF(Table1[[#This Row],[Weather_code]]=4,"Heavy Rain"))))</f>
        <v>Clear</v>
      </c>
      <c r="M757" s="9">
        <v>0.2</v>
      </c>
      <c r="N757" s="11" t="str">
        <f t="shared" si="37"/>
        <v>Winter</v>
      </c>
      <c r="O757" s="11" t="str">
        <f t="shared" si="35"/>
        <v>Weekday</v>
      </c>
      <c r="P757" s="9">
        <v>0.21210000000000001</v>
      </c>
      <c r="Q757" s="7">
        <f>Table1[[#This Row],[A_Temperature]]*41</f>
        <v>8.6961000000000013</v>
      </c>
      <c r="R757" s="9">
        <v>0.4</v>
      </c>
      <c r="S757" s="9">
        <v>0.16420000000000001</v>
      </c>
      <c r="T757" s="9">
        <v>2</v>
      </c>
      <c r="U757" s="9">
        <v>145</v>
      </c>
      <c r="V757" s="19">
        <v>147</v>
      </c>
    </row>
    <row r="758" spans="1:22" s="13" customFormat="1" ht="30" customHeight="1">
      <c r="A758" s="17" t="s">
        <v>157</v>
      </c>
      <c r="B758" s="8">
        <v>40604</v>
      </c>
      <c r="C758" s="8" t="str">
        <f t="shared" si="36"/>
        <v>Wednesday</v>
      </c>
      <c r="D758" s="9">
        <v>1</v>
      </c>
      <c r="E758" s="9">
        <v>0</v>
      </c>
      <c r="F758" s="9">
        <v>2</v>
      </c>
      <c r="G758" s="7">
        <v>19</v>
      </c>
      <c r="H758" s="9" t="b">
        <v>0</v>
      </c>
      <c r="I758" s="9">
        <v>4</v>
      </c>
      <c r="J758" s="38" t="str">
        <f>CHOOSE(Table1[[#This Row],[Weekday]]+1,"Sunday","Monday","Tuesday","Wednesday","Thursday","Friday","Saturday")</f>
        <v>Thursday</v>
      </c>
      <c r="K758" s="9">
        <v>1</v>
      </c>
      <c r="L758" s="38" t="str">
        <f>IF(Table1[[#This Row],[Weather_code]]=1,"Clear",IF(Table1[[#This Row],[Weather_code]]=2,"Cloudy",IF(Table1[[#This Row],[Weather_code]]=3,"Light Rain",IF(Table1[[#This Row],[Weather_code]]=4,"Heavy Rain"))))</f>
        <v>Clear</v>
      </c>
      <c r="M758" s="9">
        <v>0.2</v>
      </c>
      <c r="N758" s="11" t="str">
        <f t="shared" si="37"/>
        <v>Winter</v>
      </c>
      <c r="O758" s="11" t="str">
        <f t="shared" si="35"/>
        <v>Weekday</v>
      </c>
      <c r="P758" s="9">
        <v>0.2576</v>
      </c>
      <c r="Q758" s="7">
        <f>Table1[[#This Row],[A_Temperature]]*41</f>
        <v>10.5616</v>
      </c>
      <c r="R758" s="9">
        <v>0.4</v>
      </c>
      <c r="S758" s="9">
        <v>0</v>
      </c>
      <c r="T758" s="9">
        <v>4</v>
      </c>
      <c r="U758" s="9">
        <v>92</v>
      </c>
      <c r="V758" s="19">
        <v>96</v>
      </c>
    </row>
    <row r="759" spans="1:22" s="13" customFormat="1" ht="30" customHeight="1">
      <c r="A759" s="17" t="s">
        <v>158</v>
      </c>
      <c r="B759" s="8">
        <v>40604</v>
      </c>
      <c r="C759" s="8" t="str">
        <f t="shared" si="36"/>
        <v>Wednesday</v>
      </c>
      <c r="D759" s="9">
        <v>1</v>
      </c>
      <c r="E759" s="9">
        <v>0</v>
      </c>
      <c r="F759" s="9">
        <v>2</v>
      </c>
      <c r="G759" s="7">
        <v>20</v>
      </c>
      <c r="H759" s="9" t="b">
        <v>0</v>
      </c>
      <c r="I759" s="9">
        <v>4</v>
      </c>
      <c r="J759" s="38" t="str">
        <f>CHOOSE(Table1[[#This Row],[Weekday]]+1,"Sunday","Monday","Tuesday","Wednesday","Thursday","Friday","Saturday")</f>
        <v>Thursday</v>
      </c>
      <c r="K759" s="9">
        <v>1</v>
      </c>
      <c r="L759" s="38" t="str">
        <f>IF(Table1[[#This Row],[Weather_code]]=1,"Clear",IF(Table1[[#This Row],[Weather_code]]=2,"Cloudy",IF(Table1[[#This Row],[Weather_code]]=3,"Light Rain",IF(Table1[[#This Row],[Weather_code]]=4,"Heavy Rain"))))</f>
        <v>Clear</v>
      </c>
      <c r="M759" s="9">
        <v>0.2</v>
      </c>
      <c r="N759" s="11" t="str">
        <f t="shared" si="37"/>
        <v>Winter</v>
      </c>
      <c r="O759" s="11" t="str">
        <f t="shared" si="35"/>
        <v>Weekday</v>
      </c>
      <c r="P759" s="9">
        <v>0.2273</v>
      </c>
      <c r="Q759" s="7">
        <f>Table1[[#This Row],[A_Temperature]]*41</f>
        <v>9.3193000000000001</v>
      </c>
      <c r="R759" s="9">
        <v>0.47</v>
      </c>
      <c r="S759" s="9">
        <v>8.9599999999999999E-2</v>
      </c>
      <c r="T759" s="9">
        <v>1</v>
      </c>
      <c r="U759" s="9">
        <v>108</v>
      </c>
      <c r="V759" s="19">
        <v>109</v>
      </c>
    </row>
    <row r="760" spans="1:22" s="13" customFormat="1" ht="30" customHeight="1">
      <c r="A760" s="17" t="s">
        <v>159</v>
      </c>
      <c r="B760" s="8">
        <v>40604</v>
      </c>
      <c r="C760" s="8" t="str">
        <f t="shared" si="36"/>
        <v>Wednesday</v>
      </c>
      <c r="D760" s="9">
        <v>1</v>
      </c>
      <c r="E760" s="9">
        <v>0</v>
      </c>
      <c r="F760" s="9">
        <v>2</v>
      </c>
      <c r="G760" s="7">
        <v>21</v>
      </c>
      <c r="H760" s="9" t="b">
        <v>0</v>
      </c>
      <c r="I760" s="9">
        <v>4</v>
      </c>
      <c r="J760" s="38" t="str">
        <f>CHOOSE(Table1[[#This Row],[Weekday]]+1,"Sunday","Monday","Tuesday","Wednesday","Thursday","Friday","Saturday")</f>
        <v>Thursday</v>
      </c>
      <c r="K760" s="9">
        <v>1</v>
      </c>
      <c r="L760" s="38" t="str">
        <f>IF(Table1[[#This Row],[Weather_code]]=1,"Clear",IF(Table1[[#This Row],[Weather_code]]=2,"Cloudy",IF(Table1[[#This Row],[Weather_code]]=3,"Light Rain",IF(Table1[[#This Row],[Weather_code]]=4,"Heavy Rain"))))</f>
        <v>Clear</v>
      </c>
      <c r="M760" s="9">
        <v>0.18</v>
      </c>
      <c r="N760" s="11" t="str">
        <f t="shared" si="37"/>
        <v>Winter</v>
      </c>
      <c r="O760" s="11" t="str">
        <f t="shared" si="35"/>
        <v>Weekday</v>
      </c>
      <c r="P760" s="9">
        <v>0.21210000000000001</v>
      </c>
      <c r="Q760" s="7">
        <f>Table1[[#This Row],[A_Temperature]]*41</f>
        <v>8.6961000000000013</v>
      </c>
      <c r="R760" s="9">
        <v>0.55000000000000004</v>
      </c>
      <c r="S760" s="9">
        <v>0.1045</v>
      </c>
      <c r="T760" s="9">
        <v>1</v>
      </c>
      <c r="U760" s="9">
        <v>53</v>
      </c>
      <c r="V760" s="19">
        <v>54</v>
      </c>
    </row>
    <row r="761" spans="1:22" s="13" customFormat="1" ht="30" customHeight="1">
      <c r="A761" s="17" t="s">
        <v>160</v>
      </c>
      <c r="B761" s="8">
        <v>40604</v>
      </c>
      <c r="C761" s="8" t="str">
        <f t="shared" si="36"/>
        <v>Wednesday</v>
      </c>
      <c r="D761" s="9">
        <v>1</v>
      </c>
      <c r="E761" s="9">
        <v>0</v>
      </c>
      <c r="F761" s="9">
        <v>2</v>
      </c>
      <c r="G761" s="7">
        <v>22</v>
      </c>
      <c r="H761" s="9" t="b">
        <v>0</v>
      </c>
      <c r="I761" s="9">
        <v>4</v>
      </c>
      <c r="J761" s="38" t="str">
        <f>CHOOSE(Table1[[#This Row],[Weekday]]+1,"Sunday","Monday","Tuesday","Wednesday","Thursday","Friday","Saturday")</f>
        <v>Thursday</v>
      </c>
      <c r="K761" s="9">
        <v>1</v>
      </c>
      <c r="L761" s="38" t="str">
        <f>IF(Table1[[#This Row],[Weather_code]]=1,"Clear",IF(Table1[[#This Row],[Weather_code]]=2,"Cloudy",IF(Table1[[#This Row],[Weather_code]]=3,"Light Rain",IF(Table1[[#This Row],[Weather_code]]=4,"Heavy Rain"))))</f>
        <v>Clear</v>
      </c>
      <c r="M761" s="9">
        <v>0.18</v>
      </c>
      <c r="N761" s="11" t="str">
        <f t="shared" si="37"/>
        <v>Winter</v>
      </c>
      <c r="O761" s="11" t="str">
        <f t="shared" si="35"/>
        <v>Weekday</v>
      </c>
      <c r="P761" s="9">
        <v>0.21210000000000001</v>
      </c>
      <c r="Q761" s="7">
        <f>Table1[[#This Row],[A_Temperature]]*41</f>
        <v>8.6961000000000013</v>
      </c>
      <c r="R761" s="9">
        <v>0.51</v>
      </c>
      <c r="S761" s="9">
        <v>8.9599999999999999E-2</v>
      </c>
      <c r="T761" s="9">
        <v>2</v>
      </c>
      <c r="U761" s="9">
        <v>39</v>
      </c>
      <c r="V761" s="19">
        <v>41</v>
      </c>
    </row>
    <row r="762" spans="1:22" s="13" customFormat="1" ht="30" customHeight="1">
      <c r="A762" s="17" t="s">
        <v>161</v>
      </c>
      <c r="B762" s="8">
        <v>40604</v>
      </c>
      <c r="C762" s="8" t="str">
        <f t="shared" si="36"/>
        <v>Wednesday</v>
      </c>
      <c r="D762" s="9">
        <v>1</v>
      </c>
      <c r="E762" s="9">
        <v>0</v>
      </c>
      <c r="F762" s="9">
        <v>2</v>
      </c>
      <c r="G762" s="7">
        <v>23</v>
      </c>
      <c r="H762" s="9" t="b">
        <v>0</v>
      </c>
      <c r="I762" s="9">
        <v>4</v>
      </c>
      <c r="J762" s="38" t="str">
        <f>CHOOSE(Table1[[#This Row],[Weekday]]+1,"Sunday","Monday","Tuesday","Wednesday","Thursday","Friday","Saturday")</f>
        <v>Thursday</v>
      </c>
      <c r="K762" s="9">
        <v>1</v>
      </c>
      <c r="L762" s="38" t="str">
        <f>IF(Table1[[#This Row],[Weather_code]]=1,"Clear",IF(Table1[[#This Row],[Weather_code]]=2,"Cloudy",IF(Table1[[#This Row],[Weather_code]]=3,"Light Rain",IF(Table1[[#This Row],[Weather_code]]=4,"Heavy Rain"))))</f>
        <v>Clear</v>
      </c>
      <c r="M762" s="9">
        <v>0.2</v>
      </c>
      <c r="N762" s="11" t="str">
        <f t="shared" si="37"/>
        <v>Winter</v>
      </c>
      <c r="O762" s="11" t="str">
        <f t="shared" si="35"/>
        <v>Weekday</v>
      </c>
      <c r="P762" s="9">
        <v>0.2273</v>
      </c>
      <c r="Q762" s="7">
        <f>Table1[[#This Row],[A_Temperature]]*41</f>
        <v>9.3193000000000001</v>
      </c>
      <c r="R762" s="9">
        <v>0.47</v>
      </c>
      <c r="S762" s="9">
        <v>0.1045</v>
      </c>
      <c r="T762" s="9">
        <v>4</v>
      </c>
      <c r="U762" s="9">
        <v>34</v>
      </c>
      <c r="V762" s="19">
        <v>38</v>
      </c>
    </row>
    <row r="763" spans="1:22" s="13" customFormat="1" ht="30" customHeight="1">
      <c r="A763" s="17" t="s">
        <v>162</v>
      </c>
      <c r="B763" s="8">
        <v>40635</v>
      </c>
      <c r="C763" s="8" t="str">
        <f t="shared" si="36"/>
        <v>Saturday</v>
      </c>
      <c r="D763" s="9">
        <v>1</v>
      </c>
      <c r="E763" s="9">
        <v>0</v>
      </c>
      <c r="F763" s="9">
        <v>2</v>
      </c>
      <c r="G763" s="7">
        <v>0</v>
      </c>
      <c r="H763" s="9" t="b">
        <v>0</v>
      </c>
      <c r="I763" s="9">
        <v>5</v>
      </c>
      <c r="J763" s="38" t="str">
        <f>CHOOSE(Table1[[#This Row],[Weekday]]+1,"Sunday","Monday","Tuesday","Wednesday","Thursday","Friday","Saturday")</f>
        <v>Friday</v>
      </c>
      <c r="K763" s="9">
        <v>2</v>
      </c>
      <c r="L763" s="38" t="str">
        <f>IF(Table1[[#This Row],[Weather_code]]=1,"Clear",IF(Table1[[#This Row],[Weather_code]]=2,"Cloudy",IF(Table1[[#This Row],[Weather_code]]=3,"Light Rain",IF(Table1[[#This Row],[Weather_code]]=4,"Heavy Rain"))))</f>
        <v>Cloudy</v>
      </c>
      <c r="M763" s="9">
        <v>0.2</v>
      </c>
      <c r="N763" s="11" t="str">
        <f t="shared" si="37"/>
        <v>Winter</v>
      </c>
      <c r="O763" s="11" t="str">
        <f t="shared" si="35"/>
        <v>Weekend</v>
      </c>
      <c r="P763" s="9">
        <v>0.2576</v>
      </c>
      <c r="Q763" s="7">
        <f>Table1[[#This Row],[A_Temperature]]*41</f>
        <v>10.5616</v>
      </c>
      <c r="R763" s="9">
        <v>0.44</v>
      </c>
      <c r="S763" s="9">
        <v>0</v>
      </c>
      <c r="T763" s="9">
        <v>3</v>
      </c>
      <c r="U763" s="9">
        <v>10</v>
      </c>
      <c r="V763" s="19">
        <v>13</v>
      </c>
    </row>
    <row r="764" spans="1:22" s="13" customFormat="1" ht="30" customHeight="1">
      <c r="A764" s="17" t="s">
        <v>163</v>
      </c>
      <c r="B764" s="8">
        <v>40635</v>
      </c>
      <c r="C764" s="8" t="str">
        <f t="shared" si="36"/>
        <v>Saturday</v>
      </c>
      <c r="D764" s="9">
        <v>1</v>
      </c>
      <c r="E764" s="9">
        <v>0</v>
      </c>
      <c r="F764" s="9">
        <v>2</v>
      </c>
      <c r="G764" s="7">
        <v>1</v>
      </c>
      <c r="H764" s="9" t="b">
        <v>0</v>
      </c>
      <c r="I764" s="9">
        <v>5</v>
      </c>
      <c r="J764" s="38" t="str">
        <f>CHOOSE(Table1[[#This Row],[Weekday]]+1,"Sunday","Monday","Tuesday","Wednesday","Thursday","Friday","Saturday")</f>
        <v>Friday</v>
      </c>
      <c r="K764" s="9">
        <v>2</v>
      </c>
      <c r="L764" s="38" t="str">
        <f>IF(Table1[[#This Row],[Weather_code]]=1,"Clear",IF(Table1[[#This Row],[Weather_code]]=2,"Cloudy",IF(Table1[[#This Row],[Weather_code]]=3,"Light Rain",IF(Table1[[#This Row],[Weather_code]]=4,"Heavy Rain"))))</f>
        <v>Cloudy</v>
      </c>
      <c r="M764" s="9">
        <v>0.16</v>
      </c>
      <c r="N764" s="11" t="str">
        <f t="shared" si="37"/>
        <v>Winter</v>
      </c>
      <c r="O764" s="11" t="str">
        <f t="shared" si="35"/>
        <v>Weekend</v>
      </c>
      <c r="P764" s="9">
        <v>0.2273</v>
      </c>
      <c r="Q764" s="7">
        <f>Table1[[#This Row],[A_Temperature]]*41</f>
        <v>9.3193000000000001</v>
      </c>
      <c r="R764" s="9">
        <v>0.59</v>
      </c>
      <c r="S764" s="9">
        <v>0</v>
      </c>
      <c r="T764" s="9">
        <v>0</v>
      </c>
      <c r="U764" s="9">
        <v>7</v>
      </c>
      <c r="V764" s="19">
        <v>7</v>
      </c>
    </row>
    <row r="765" spans="1:22" s="13" customFormat="1" ht="30" customHeight="1">
      <c r="A765" s="17" t="s">
        <v>164</v>
      </c>
      <c r="B765" s="8">
        <v>40635</v>
      </c>
      <c r="C765" s="8" t="str">
        <f t="shared" si="36"/>
        <v>Saturday</v>
      </c>
      <c r="D765" s="9">
        <v>1</v>
      </c>
      <c r="E765" s="9">
        <v>0</v>
      </c>
      <c r="F765" s="9">
        <v>2</v>
      </c>
      <c r="G765" s="7">
        <v>2</v>
      </c>
      <c r="H765" s="9" t="b">
        <v>0</v>
      </c>
      <c r="I765" s="9">
        <v>5</v>
      </c>
      <c r="J765" s="38" t="str">
        <f>CHOOSE(Table1[[#This Row],[Weekday]]+1,"Sunday","Monday","Tuesday","Wednesday","Thursday","Friday","Saturday")</f>
        <v>Friday</v>
      </c>
      <c r="K765" s="9">
        <v>2</v>
      </c>
      <c r="L765" s="38" t="str">
        <f>IF(Table1[[#This Row],[Weather_code]]=1,"Clear",IF(Table1[[#This Row],[Weather_code]]=2,"Cloudy",IF(Table1[[#This Row],[Weather_code]]=3,"Light Rain",IF(Table1[[#This Row],[Weather_code]]=4,"Heavy Rain"))))</f>
        <v>Cloudy</v>
      </c>
      <c r="M765" s="9">
        <v>0.14000000000000001</v>
      </c>
      <c r="N765" s="11" t="str">
        <f t="shared" si="37"/>
        <v>Winter</v>
      </c>
      <c r="O765" s="11" t="str">
        <f t="shared" si="35"/>
        <v>Weekend</v>
      </c>
      <c r="P765" s="9">
        <v>0.16669999999999999</v>
      </c>
      <c r="Q765" s="7">
        <f>Table1[[#This Row],[A_Temperature]]*41</f>
        <v>6.8346999999999998</v>
      </c>
      <c r="R765" s="9">
        <v>0.63</v>
      </c>
      <c r="S765" s="9">
        <v>0.1045</v>
      </c>
      <c r="T765" s="9">
        <v>0</v>
      </c>
      <c r="U765" s="9">
        <v>1</v>
      </c>
      <c r="V765" s="19">
        <v>1</v>
      </c>
    </row>
    <row r="766" spans="1:22" s="13" customFormat="1" ht="30" customHeight="1">
      <c r="A766" s="17" t="s">
        <v>165</v>
      </c>
      <c r="B766" s="8">
        <v>40635</v>
      </c>
      <c r="C766" s="8" t="str">
        <f t="shared" si="36"/>
        <v>Saturday</v>
      </c>
      <c r="D766" s="9">
        <v>1</v>
      </c>
      <c r="E766" s="9">
        <v>0</v>
      </c>
      <c r="F766" s="9">
        <v>2</v>
      </c>
      <c r="G766" s="7">
        <v>3</v>
      </c>
      <c r="H766" s="9" t="b">
        <v>0</v>
      </c>
      <c r="I766" s="9">
        <v>5</v>
      </c>
      <c r="J766" s="38" t="str">
        <f>CHOOSE(Table1[[#This Row],[Weekday]]+1,"Sunday","Monday","Tuesday","Wednesday","Thursday","Friday","Saturday")</f>
        <v>Friday</v>
      </c>
      <c r="K766" s="9">
        <v>2</v>
      </c>
      <c r="L766" s="38" t="str">
        <f>IF(Table1[[#This Row],[Weather_code]]=1,"Clear",IF(Table1[[#This Row],[Weather_code]]=2,"Cloudy",IF(Table1[[#This Row],[Weather_code]]=3,"Light Rain",IF(Table1[[#This Row],[Weather_code]]=4,"Heavy Rain"))))</f>
        <v>Cloudy</v>
      </c>
      <c r="M766" s="9">
        <v>0.14000000000000001</v>
      </c>
      <c r="N766" s="11" t="str">
        <f t="shared" si="37"/>
        <v>Winter</v>
      </c>
      <c r="O766" s="11" t="str">
        <f t="shared" si="35"/>
        <v>Weekend</v>
      </c>
      <c r="P766" s="9">
        <v>0.16669999999999999</v>
      </c>
      <c r="Q766" s="7">
        <f>Table1[[#This Row],[A_Temperature]]*41</f>
        <v>6.8346999999999998</v>
      </c>
      <c r="R766" s="9">
        <v>0.63</v>
      </c>
      <c r="S766" s="9">
        <v>0.1045</v>
      </c>
      <c r="T766" s="9">
        <v>0</v>
      </c>
      <c r="U766" s="9">
        <v>1</v>
      </c>
      <c r="V766" s="19">
        <v>1</v>
      </c>
    </row>
    <row r="767" spans="1:22" s="13" customFormat="1" ht="30" customHeight="1">
      <c r="A767" s="17" t="s">
        <v>166</v>
      </c>
      <c r="B767" s="8">
        <v>40635</v>
      </c>
      <c r="C767" s="8" t="str">
        <f t="shared" si="36"/>
        <v>Saturday</v>
      </c>
      <c r="D767" s="9">
        <v>1</v>
      </c>
      <c r="E767" s="9">
        <v>0</v>
      </c>
      <c r="F767" s="9">
        <v>2</v>
      </c>
      <c r="G767" s="7">
        <v>5</v>
      </c>
      <c r="H767" s="9" t="b">
        <v>0</v>
      </c>
      <c r="I767" s="9">
        <v>5</v>
      </c>
      <c r="J767" s="38" t="str">
        <f>CHOOSE(Table1[[#This Row],[Weekday]]+1,"Sunday","Monday","Tuesday","Wednesday","Thursday","Friday","Saturday")</f>
        <v>Friday</v>
      </c>
      <c r="K767" s="9">
        <v>2</v>
      </c>
      <c r="L767" s="38" t="str">
        <f>IF(Table1[[#This Row],[Weather_code]]=1,"Clear",IF(Table1[[#This Row],[Weather_code]]=2,"Cloudy",IF(Table1[[#This Row],[Weather_code]]=3,"Light Rain",IF(Table1[[#This Row],[Weather_code]]=4,"Heavy Rain"))))</f>
        <v>Cloudy</v>
      </c>
      <c r="M767" s="9">
        <v>0.14000000000000001</v>
      </c>
      <c r="N767" s="11" t="str">
        <f t="shared" si="37"/>
        <v>Winter</v>
      </c>
      <c r="O767" s="11" t="str">
        <f t="shared" si="35"/>
        <v>Weekend</v>
      </c>
      <c r="P767" s="9">
        <v>0.1515</v>
      </c>
      <c r="Q767" s="7">
        <f>Table1[[#This Row],[A_Temperature]]*41</f>
        <v>6.2115</v>
      </c>
      <c r="R767" s="9">
        <v>0.63</v>
      </c>
      <c r="S767" s="9">
        <v>0.1343</v>
      </c>
      <c r="T767" s="9">
        <v>0</v>
      </c>
      <c r="U767" s="9">
        <v>7</v>
      </c>
      <c r="V767" s="19">
        <v>7</v>
      </c>
    </row>
    <row r="768" spans="1:22" s="13" customFormat="1" ht="30" customHeight="1">
      <c r="A768" s="17" t="s">
        <v>167</v>
      </c>
      <c r="B768" s="8">
        <v>40635</v>
      </c>
      <c r="C768" s="8" t="str">
        <f t="shared" si="36"/>
        <v>Saturday</v>
      </c>
      <c r="D768" s="9">
        <v>1</v>
      </c>
      <c r="E768" s="9">
        <v>0</v>
      </c>
      <c r="F768" s="9">
        <v>2</v>
      </c>
      <c r="G768" s="7">
        <v>6</v>
      </c>
      <c r="H768" s="9" t="b">
        <v>0</v>
      </c>
      <c r="I768" s="9">
        <v>5</v>
      </c>
      <c r="J768" s="38" t="str">
        <f>CHOOSE(Table1[[#This Row],[Weekday]]+1,"Sunday","Monday","Tuesday","Wednesday","Thursday","Friday","Saturday")</f>
        <v>Friday</v>
      </c>
      <c r="K768" s="9">
        <v>2</v>
      </c>
      <c r="L768" s="38" t="str">
        <f>IF(Table1[[#This Row],[Weather_code]]=1,"Clear",IF(Table1[[#This Row],[Weather_code]]=2,"Cloudy",IF(Table1[[#This Row],[Weather_code]]=3,"Light Rain",IF(Table1[[#This Row],[Weather_code]]=4,"Heavy Rain"))))</f>
        <v>Cloudy</v>
      </c>
      <c r="M768" s="9">
        <v>0.16</v>
      </c>
      <c r="N768" s="11" t="str">
        <f t="shared" si="37"/>
        <v>Winter</v>
      </c>
      <c r="O768" s="11" t="str">
        <f t="shared" si="35"/>
        <v>Weekend</v>
      </c>
      <c r="P768" s="9">
        <v>0.2273</v>
      </c>
      <c r="Q768" s="7">
        <f>Table1[[#This Row],[A_Temperature]]*41</f>
        <v>9.3193000000000001</v>
      </c>
      <c r="R768" s="9">
        <v>0.55000000000000004</v>
      </c>
      <c r="S768" s="9">
        <v>0</v>
      </c>
      <c r="T768" s="9">
        <v>2</v>
      </c>
      <c r="U768" s="9">
        <v>26</v>
      </c>
      <c r="V768" s="19">
        <v>28</v>
      </c>
    </row>
    <row r="769" spans="1:22" s="13" customFormat="1" ht="30" customHeight="1">
      <c r="A769" s="17" t="s">
        <v>168</v>
      </c>
      <c r="B769" s="8">
        <v>40635</v>
      </c>
      <c r="C769" s="8" t="str">
        <f t="shared" si="36"/>
        <v>Saturday</v>
      </c>
      <c r="D769" s="9">
        <v>1</v>
      </c>
      <c r="E769" s="9">
        <v>0</v>
      </c>
      <c r="F769" s="9">
        <v>2</v>
      </c>
      <c r="G769" s="7">
        <v>7</v>
      </c>
      <c r="H769" s="9" t="b">
        <v>0</v>
      </c>
      <c r="I769" s="9">
        <v>5</v>
      </c>
      <c r="J769" s="38" t="str">
        <f>CHOOSE(Table1[[#This Row],[Weekday]]+1,"Sunday","Monday","Tuesday","Wednesday","Thursday","Friday","Saturday")</f>
        <v>Friday</v>
      </c>
      <c r="K769" s="9">
        <v>1</v>
      </c>
      <c r="L769" s="38" t="str">
        <f>IF(Table1[[#This Row],[Weather_code]]=1,"Clear",IF(Table1[[#This Row],[Weather_code]]=2,"Cloudy",IF(Table1[[#This Row],[Weather_code]]=3,"Light Rain",IF(Table1[[#This Row],[Weather_code]]=4,"Heavy Rain"))))</f>
        <v>Clear</v>
      </c>
      <c r="M769" s="9">
        <v>0.14000000000000001</v>
      </c>
      <c r="N769" s="11" t="str">
        <f t="shared" si="37"/>
        <v>Winter</v>
      </c>
      <c r="O769" s="11" t="str">
        <f t="shared" si="35"/>
        <v>Weekend</v>
      </c>
      <c r="P769" s="9">
        <v>0.21210000000000001</v>
      </c>
      <c r="Q769" s="7">
        <f>Table1[[#This Row],[A_Temperature]]*41</f>
        <v>8.6961000000000013</v>
      </c>
      <c r="R769" s="9">
        <v>0.59</v>
      </c>
      <c r="S769" s="9">
        <v>0</v>
      </c>
      <c r="T769" s="9">
        <v>0</v>
      </c>
      <c r="U769" s="9">
        <v>87</v>
      </c>
      <c r="V769" s="19">
        <v>87</v>
      </c>
    </row>
    <row r="770" spans="1:22" s="13" customFormat="1" ht="30" customHeight="1">
      <c r="A770" s="17" t="s">
        <v>169</v>
      </c>
      <c r="B770" s="8">
        <v>40635</v>
      </c>
      <c r="C770" s="8" t="str">
        <f t="shared" si="36"/>
        <v>Saturday</v>
      </c>
      <c r="D770" s="9">
        <v>1</v>
      </c>
      <c r="E770" s="9">
        <v>0</v>
      </c>
      <c r="F770" s="9">
        <v>2</v>
      </c>
      <c r="G770" s="7">
        <v>8</v>
      </c>
      <c r="H770" s="9" t="b">
        <v>0</v>
      </c>
      <c r="I770" s="9">
        <v>5</v>
      </c>
      <c r="J770" s="38" t="str">
        <f>CHOOSE(Table1[[#This Row],[Weekday]]+1,"Sunday","Monday","Tuesday","Wednesday","Thursday","Friday","Saturday")</f>
        <v>Friday</v>
      </c>
      <c r="K770" s="9">
        <v>1</v>
      </c>
      <c r="L770" s="38" t="str">
        <f>IF(Table1[[#This Row],[Weather_code]]=1,"Clear",IF(Table1[[#This Row],[Weather_code]]=2,"Cloudy",IF(Table1[[#This Row],[Weather_code]]=3,"Light Rain",IF(Table1[[#This Row],[Weather_code]]=4,"Heavy Rain"))))</f>
        <v>Clear</v>
      </c>
      <c r="M770" s="9">
        <v>0.14000000000000001</v>
      </c>
      <c r="N770" s="11" t="str">
        <f t="shared" si="37"/>
        <v>Winter</v>
      </c>
      <c r="O770" s="11" t="str">
        <f t="shared" si="35"/>
        <v>Weekend</v>
      </c>
      <c r="P770" s="9">
        <v>0.1515</v>
      </c>
      <c r="Q770" s="7">
        <f>Table1[[#This Row],[A_Temperature]]*41</f>
        <v>6.2115</v>
      </c>
      <c r="R770" s="9">
        <v>0.74</v>
      </c>
      <c r="S770" s="9">
        <v>0.1343</v>
      </c>
      <c r="T770" s="9">
        <v>3</v>
      </c>
      <c r="U770" s="9">
        <v>217</v>
      </c>
      <c r="V770" s="19">
        <v>220</v>
      </c>
    </row>
    <row r="771" spans="1:22" s="13" customFormat="1" ht="30" customHeight="1">
      <c r="A771" s="17" t="s">
        <v>170</v>
      </c>
      <c r="B771" s="8">
        <v>40635</v>
      </c>
      <c r="C771" s="8" t="str">
        <f t="shared" si="36"/>
        <v>Saturday</v>
      </c>
      <c r="D771" s="9">
        <v>1</v>
      </c>
      <c r="E771" s="9">
        <v>0</v>
      </c>
      <c r="F771" s="9">
        <v>2</v>
      </c>
      <c r="G771" s="7">
        <v>9</v>
      </c>
      <c r="H771" s="9" t="b">
        <v>0</v>
      </c>
      <c r="I771" s="9">
        <v>5</v>
      </c>
      <c r="J771" s="38" t="str">
        <f>CHOOSE(Table1[[#This Row],[Weekday]]+1,"Sunday","Monday","Tuesday","Wednesday","Thursday","Friday","Saturday")</f>
        <v>Friday</v>
      </c>
      <c r="K771" s="9">
        <v>2</v>
      </c>
      <c r="L771" s="38" t="str">
        <f>IF(Table1[[#This Row],[Weather_code]]=1,"Clear",IF(Table1[[#This Row],[Weather_code]]=2,"Cloudy",IF(Table1[[#This Row],[Weather_code]]=3,"Light Rain",IF(Table1[[#This Row],[Weather_code]]=4,"Heavy Rain"))))</f>
        <v>Cloudy</v>
      </c>
      <c r="M771" s="9">
        <v>0.16</v>
      </c>
      <c r="N771" s="11" t="str">
        <f t="shared" si="37"/>
        <v>Winter</v>
      </c>
      <c r="O771" s="11" t="str">
        <f t="shared" si="35"/>
        <v>Weekend</v>
      </c>
      <c r="P771" s="9">
        <v>0.18179999999999999</v>
      </c>
      <c r="Q771" s="7">
        <f>Table1[[#This Row],[A_Temperature]]*41</f>
        <v>7.4537999999999993</v>
      </c>
      <c r="R771" s="9">
        <v>0.8</v>
      </c>
      <c r="S771" s="9">
        <v>0.1343</v>
      </c>
      <c r="T771" s="9">
        <v>3</v>
      </c>
      <c r="U771" s="9">
        <v>124</v>
      </c>
      <c r="V771" s="19">
        <v>127</v>
      </c>
    </row>
    <row r="772" spans="1:22" s="13" customFormat="1" ht="30" customHeight="1">
      <c r="A772" s="17" t="s">
        <v>171</v>
      </c>
      <c r="B772" s="8">
        <v>40635</v>
      </c>
      <c r="C772" s="8" t="str">
        <f t="shared" si="36"/>
        <v>Saturday</v>
      </c>
      <c r="D772" s="9">
        <v>1</v>
      </c>
      <c r="E772" s="9">
        <v>0</v>
      </c>
      <c r="F772" s="9">
        <v>2</v>
      </c>
      <c r="G772" s="7">
        <v>10</v>
      </c>
      <c r="H772" s="9" t="b">
        <v>0</v>
      </c>
      <c r="I772" s="9">
        <v>5</v>
      </c>
      <c r="J772" s="38" t="str">
        <f>CHOOSE(Table1[[#This Row],[Weekday]]+1,"Sunday","Monday","Tuesday","Wednesday","Thursday","Friday","Saturday")</f>
        <v>Friday</v>
      </c>
      <c r="K772" s="9">
        <v>2</v>
      </c>
      <c r="L772" s="38" t="str">
        <f>IF(Table1[[#This Row],[Weather_code]]=1,"Clear",IF(Table1[[#This Row],[Weather_code]]=2,"Cloudy",IF(Table1[[#This Row],[Weather_code]]=3,"Light Rain",IF(Table1[[#This Row],[Weather_code]]=4,"Heavy Rain"))))</f>
        <v>Cloudy</v>
      </c>
      <c r="M772" s="9">
        <v>0.2</v>
      </c>
      <c r="N772" s="11" t="str">
        <f t="shared" si="37"/>
        <v>Winter</v>
      </c>
      <c r="O772" s="11" t="str">
        <f t="shared" si="35"/>
        <v>Weekend</v>
      </c>
      <c r="P772" s="9">
        <v>0.21210000000000001</v>
      </c>
      <c r="Q772" s="7">
        <f>Table1[[#This Row],[A_Temperature]]*41</f>
        <v>8.6961000000000013</v>
      </c>
      <c r="R772" s="9">
        <v>0.51</v>
      </c>
      <c r="S772" s="9">
        <v>0.1343</v>
      </c>
      <c r="T772" s="9">
        <v>5</v>
      </c>
      <c r="U772" s="9">
        <v>46</v>
      </c>
      <c r="V772" s="19">
        <v>51</v>
      </c>
    </row>
    <row r="773" spans="1:22" s="13" customFormat="1" ht="30" customHeight="1">
      <c r="A773" s="17" t="s">
        <v>172</v>
      </c>
      <c r="B773" s="8">
        <v>40635</v>
      </c>
      <c r="C773" s="8" t="str">
        <f t="shared" si="36"/>
        <v>Saturday</v>
      </c>
      <c r="D773" s="9">
        <v>1</v>
      </c>
      <c r="E773" s="9">
        <v>0</v>
      </c>
      <c r="F773" s="9">
        <v>2</v>
      </c>
      <c r="G773" s="7">
        <v>11</v>
      </c>
      <c r="H773" s="9" t="b">
        <v>0</v>
      </c>
      <c r="I773" s="9">
        <v>5</v>
      </c>
      <c r="J773" s="38" t="str">
        <f>CHOOSE(Table1[[#This Row],[Weekday]]+1,"Sunday","Monday","Tuesday","Wednesday","Thursday","Friday","Saturday")</f>
        <v>Friday</v>
      </c>
      <c r="K773" s="9">
        <v>1</v>
      </c>
      <c r="L773" s="38" t="str">
        <f>IF(Table1[[#This Row],[Weather_code]]=1,"Clear",IF(Table1[[#This Row],[Weather_code]]=2,"Cloudy",IF(Table1[[#This Row],[Weather_code]]=3,"Light Rain",IF(Table1[[#This Row],[Weather_code]]=4,"Heavy Rain"))))</f>
        <v>Clear</v>
      </c>
      <c r="M773" s="9">
        <v>0.22</v>
      </c>
      <c r="N773" s="11" t="str">
        <f t="shared" si="37"/>
        <v>Winter</v>
      </c>
      <c r="O773" s="11" t="str">
        <f t="shared" si="35"/>
        <v>Weekend</v>
      </c>
      <c r="P773" s="9">
        <v>0.2273</v>
      </c>
      <c r="Q773" s="7">
        <f>Table1[[#This Row],[A_Temperature]]*41</f>
        <v>9.3193000000000001</v>
      </c>
      <c r="R773" s="9">
        <v>0.51</v>
      </c>
      <c r="S773" s="9">
        <v>0.16420000000000001</v>
      </c>
      <c r="T773" s="9">
        <v>3</v>
      </c>
      <c r="U773" s="9">
        <v>61</v>
      </c>
      <c r="V773" s="19">
        <v>64</v>
      </c>
    </row>
    <row r="774" spans="1:22" s="13" customFormat="1" ht="30" customHeight="1">
      <c r="A774" s="17" t="s">
        <v>173</v>
      </c>
      <c r="B774" s="8">
        <v>40635</v>
      </c>
      <c r="C774" s="8" t="str">
        <f t="shared" si="36"/>
        <v>Saturday</v>
      </c>
      <c r="D774" s="9">
        <v>1</v>
      </c>
      <c r="E774" s="9">
        <v>0</v>
      </c>
      <c r="F774" s="9">
        <v>2</v>
      </c>
      <c r="G774" s="7">
        <v>12</v>
      </c>
      <c r="H774" s="9" t="b">
        <v>0</v>
      </c>
      <c r="I774" s="9">
        <v>5</v>
      </c>
      <c r="J774" s="38" t="str">
        <f>CHOOSE(Table1[[#This Row],[Weekday]]+1,"Sunday","Monday","Tuesday","Wednesday","Thursday","Friday","Saturday")</f>
        <v>Friday</v>
      </c>
      <c r="K774" s="9">
        <v>2</v>
      </c>
      <c r="L774" s="38" t="str">
        <f>IF(Table1[[#This Row],[Weather_code]]=1,"Clear",IF(Table1[[#This Row],[Weather_code]]=2,"Cloudy",IF(Table1[[#This Row],[Weather_code]]=3,"Light Rain",IF(Table1[[#This Row],[Weather_code]]=4,"Heavy Rain"))))</f>
        <v>Cloudy</v>
      </c>
      <c r="M774" s="9">
        <v>0.24</v>
      </c>
      <c r="N774" s="11" t="str">
        <f t="shared" si="37"/>
        <v>Winter</v>
      </c>
      <c r="O774" s="11" t="str">
        <f t="shared" ref="O774:O837" si="38">IF(OR(WEEKDAY(B774,2)=6,WEEKDAY(B774,2)=7),"Weekend","Weekday")</f>
        <v>Weekend</v>
      </c>
      <c r="P774" s="9">
        <v>0.2424</v>
      </c>
      <c r="Q774" s="7">
        <f>Table1[[#This Row],[A_Temperature]]*41</f>
        <v>9.9383999999999997</v>
      </c>
      <c r="R774" s="9">
        <v>0.48</v>
      </c>
      <c r="S774" s="9">
        <v>0.16420000000000001</v>
      </c>
      <c r="T774" s="9">
        <v>8</v>
      </c>
      <c r="U774" s="9">
        <v>78</v>
      </c>
      <c r="V774" s="19">
        <v>86</v>
      </c>
    </row>
    <row r="775" spans="1:22" s="13" customFormat="1" ht="30" customHeight="1">
      <c r="A775" s="17" t="s">
        <v>174</v>
      </c>
      <c r="B775" s="8">
        <v>40635</v>
      </c>
      <c r="C775" s="8" t="str">
        <f t="shared" si="36"/>
        <v>Saturday</v>
      </c>
      <c r="D775" s="9">
        <v>1</v>
      </c>
      <c r="E775" s="9">
        <v>0</v>
      </c>
      <c r="F775" s="9">
        <v>2</v>
      </c>
      <c r="G775" s="7">
        <v>13</v>
      </c>
      <c r="H775" s="9" t="b">
        <v>0</v>
      </c>
      <c r="I775" s="9">
        <v>5</v>
      </c>
      <c r="J775" s="38" t="str">
        <f>CHOOSE(Table1[[#This Row],[Weekday]]+1,"Sunday","Monday","Tuesday","Wednesday","Thursday","Friday","Saturday")</f>
        <v>Friday</v>
      </c>
      <c r="K775" s="9">
        <v>2</v>
      </c>
      <c r="L775" s="38" t="str">
        <f>IF(Table1[[#This Row],[Weather_code]]=1,"Clear",IF(Table1[[#This Row],[Weather_code]]=2,"Cloudy",IF(Table1[[#This Row],[Weather_code]]=3,"Light Rain",IF(Table1[[#This Row],[Weather_code]]=4,"Heavy Rain"))))</f>
        <v>Cloudy</v>
      </c>
      <c r="M775" s="9">
        <v>0.26</v>
      </c>
      <c r="N775" s="11" t="str">
        <f t="shared" si="37"/>
        <v>Winter</v>
      </c>
      <c r="O775" s="11" t="str">
        <f t="shared" si="38"/>
        <v>Weekend</v>
      </c>
      <c r="P775" s="9">
        <v>0.2576</v>
      </c>
      <c r="Q775" s="7">
        <f>Table1[[#This Row],[A_Temperature]]*41</f>
        <v>10.5616</v>
      </c>
      <c r="R775" s="9">
        <v>0.5</v>
      </c>
      <c r="S775" s="9">
        <v>0.22389999999999999</v>
      </c>
      <c r="T775" s="9">
        <v>9</v>
      </c>
      <c r="U775" s="9">
        <v>73</v>
      </c>
      <c r="V775" s="19">
        <v>82</v>
      </c>
    </row>
    <row r="776" spans="1:22" s="13" customFormat="1" ht="30" customHeight="1">
      <c r="A776" s="17" t="s">
        <v>175</v>
      </c>
      <c r="B776" s="8">
        <v>40635</v>
      </c>
      <c r="C776" s="8" t="str">
        <f t="shared" si="36"/>
        <v>Saturday</v>
      </c>
      <c r="D776" s="9">
        <v>1</v>
      </c>
      <c r="E776" s="9">
        <v>0</v>
      </c>
      <c r="F776" s="9">
        <v>2</v>
      </c>
      <c r="G776" s="7">
        <v>14</v>
      </c>
      <c r="H776" s="9" t="b">
        <v>0</v>
      </c>
      <c r="I776" s="9">
        <v>5</v>
      </c>
      <c r="J776" s="38" t="str">
        <f>CHOOSE(Table1[[#This Row],[Weekday]]+1,"Sunday","Monday","Tuesday","Wednesday","Thursday","Friday","Saturday")</f>
        <v>Friday</v>
      </c>
      <c r="K776" s="9">
        <v>2</v>
      </c>
      <c r="L776" s="38" t="str">
        <f>IF(Table1[[#This Row],[Weather_code]]=1,"Clear",IF(Table1[[#This Row],[Weather_code]]=2,"Cloudy",IF(Table1[[#This Row],[Weather_code]]=3,"Light Rain",IF(Table1[[#This Row],[Weather_code]]=4,"Heavy Rain"))))</f>
        <v>Cloudy</v>
      </c>
      <c r="M776" s="9">
        <v>0.28000000000000003</v>
      </c>
      <c r="N776" s="11" t="str">
        <f t="shared" si="37"/>
        <v>Winter</v>
      </c>
      <c r="O776" s="11" t="str">
        <f t="shared" si="38"/>
        <v>Weekend</v>
      </c>
      <c r="P776" s="9">
        <v>0.2727</v>
      </c>
      <c r="Q776" s="7">
        <f>Table1[[#This Row],[A_Temperature]]*41</f>
        <v>11.1807</v>
      </c>
      <c r="R776" s="9">
        <v>0.45</v>
      </c>
      <c r="S776" s="9">
        <v>0.16420000000000001</v>
      </c>
      <c r="T776" s="9">
        <v>15</v>
      </c>
      <c r="U776" s="9">
        <v>76</v>
      </c>
      <c r="V776" s="19">
        <v>91</v>
      </c>
    </row>
    <row r="777" spans="1:22" s="13" customFormat="1" ht="30" customHeight="1">
      <c r="A777" s="17" t="s">
        <v>176</v>
      </c>
      <c r="B777" s="8">
        <v>40635</v>
      </c>
      <c r="C777" s="8" t="str">
        <f t="shared" si="36"/>
        <v>Saturday</v>
      </c>
      <c r="D777" s="9">
        <v>1</v>
      </c>
      <c r="E777" s="9">
        <v>0</v>
      </c>
      <c r="F777" s="9">
        <v>2</v>
      </c>
      <c r="G777" s="7">
        <v>15</v>
      </c>
      <c r="H777" s="9" t="b">
        <v>0</v>
      </c>
      <c r="I777" s="9">
        <v>5</v>
      </c>
      <c r="J777" s="38" t="str">
        <f>CHOOSE(Table1[[#This Row],[Weekday]]+1,"Sunday","Monday","Tuesday","Wednesday","Thursday","Friday","Saturday")</f>
        <v>Friday</v>
      </c>
      <c r="K777" s="9">
        <v>2</v>
      </c>
      <c r="L777" s="38" t="str">
        <f>IF(Table1[[#This Row],[Weather_code]]=1,"Clear",IF(Table1[[#This Row],[Weather_code]]=2,"Cloudy",IF(Table1[[#This Row],[Weather_code]]=3,"Light Rain",IF(Table1[[#This Row],[Weather_code]]=4,"Heavy Rain"))))</f>
        <v>Cloudy</v>
      </c>
      <c r="M777" s="9">
        <v>0.28000000000000003</v>
      </c>
      <c r="N777" s="11" t="str">
        <f t="shared" si="37"/>
        <v>Winter</v>
      </c>
      <c r="O777" s="11" t="str">
        <f t="shared" si="38"/>
        <v>Weekend</v>
      </c>
      <c r="P777" s="9">
        <v>0.2727</v>
      </c>
      <c r="Q777" s="7">
        <f>Table1[[#This Row],[A_Temperature]]*41</f>
        <v>11.1807</v>
      </c>
      <c r="R777" s="9">
        <v>0.48</v>
      </c>
      <c r="S777" s="9">
        <v>0.25369999999999998</v>
      </c>
      <c r="T777" s="9">
        <v>9</v>
      </c>
      <c r="U777" s="9">
        <v>81</v>
      </c>
      <c r="V777" s="19">
        <v>90</v>
      </c>
    </row>
    <row r="778" spans="1:22" s="13" customFormat="1" ht="30" customHeight="1">
      <c r="A778" s="17" t="s">
        <v>177</v>
      </c>
      <c r="B778" s="8">
        <v>40635</v>
      </c>
      <c r="C778" s="8" t="str">
        <f t="shared" si="36"/>
        <v>Saturday</v>
      </c>
      <c r="D778" s="9">
        <v>1</v>
      </c>
      <c r="E778" s="9">
        <v>0</v>
      </c>
      <c r="F778" s="9">
        <v>2</v>
      </c>
      <c r="G778" s="7">
        <v>16</v>
      </c>
      <c r="H778" s="9" t="b">
        <v>0</v>
      </c>
      <c r="I778" s="9">
        <v>5</v>
      </c>
      <c r="J778" s="38" t="str">
        <f>CHOOSE(Table1[[#This Row],[Weekday]]+1,"Sunday","Monday","Tuesday","Wednesday","Thursday","Friday","Saturday")</f>
        <v>Friday</v>
      </c>
      <c r="K778" s="9">
        <v>2</v>
      </c>
      <c r="L778" s="38" t="str">
        <f>IF(Table1[[#This Row],[Weather_code]]=1,"Clear",IF(Table1[[#This Row],[Weather_code]]=2,"Cloudy",IF(Table1[[#This Row],[Weather_code]]=3,"Light Rain",IF(Table1[[#This Row],[Weather_code]]=4,"Heavy Rain"))))</f>
        <v>Cloudy</v>
      </c>
      <c r="M778" s="9">
        <v>0.3</v>
      </c>
      <c r="N778" s="11" t="str">
        <f t="shared" si="37"/>
        <v>Winter</v>
      </c>
      <c r="O778" s="11" t="str">
        <f t="shared" si="38"/>
        <v>Weekend</v>
      </c>
      <c r="P778" s="9">
        <v>0.28789999999999999</v>
      </c>
      <c r="Q778" s="7">
        <f>Table1[[#This Row],[A_Temperature]]*41</f>
        <v>11.803899999999999</v>
      </c>
      <c r="R778" s="9">
        <v>0.42</v>
      </c>
      <c r="S778" s="9">
        <v>0.22389999999999999</v>
      </c>
      <c r="T778" s="9">
        <v>8</v>
      </c>
      <c r="U778" s="9">
        <v>91</v>
      </c>
      <c r="V778" s="19">
        <v>99</v>
      </c>
    </row>
    <row r="779" spans="1:22" s="13" customFormat="1" ht="30" customHeight="1">
      <c r="A779" s="17" t="s">
        <v>178</v>
      </c>
      <c r="B779" s="8">
        <v>40635</v>
      </c>
      <c r="C779" s="8" t="str">
        <f t="shared" si="36"/>
        <v>Saturday</v>
      </c>
      <c r="D779" s="9">
        <v>1</v>
      </c>
      <c r="E779" s="9">
        <v>0</v>
      </c>
      <c r="F779" s="9">
        <v>2</v>
      </c>
      <c r="G779" s="7">
        <v>17</v>
      </c>
      <c r="H779" s="9" t="b">
        <v>0</v>
      </c>
      <c r="I779" s="9">
        <v>5</v>
      </c>
      <c r="J779" s="38" t="str">
        <f>CHOOSE(Table1[[#This Row],[Weekday]]+1,"Sunday","Monday","Tuesday","Wednesday","Thursday","Friday","Saturday")</f>
        <v>Friday</v>
      </c>
      <c r="K779" s="9">
        <v>2</v>
      </c>
      <c r="L779" s="38" t="str">
        <f>IF(Table1[[#This Row],[Weather_code]]=1,"Clear",IF(Table1[[#This Row],[Weather_code]]=2,"Cloudy",IF(Table1[[#This Row],[Weather_code]]=3,"Light Rain",IF(Table1[[#This Row],[Weather_code]]=4,"Heavy Rain"))))</f>
        <v>Cloudy</v>
      </c>
      <c r="M779" s="9">
        <v>0.26</v>
      </c>
      <c r="N779" s="11" t="str">
        <f t="shared" si="37"/>
        <v>Winter</v>
      </c>
      <c r="O779" s="11" t="str">
        <f t="shared" si="38"/>
        <v>Weekend</v>
      </c>
      <c r="P779" s="9">
        <v>0.2727</v>
      </c>
      <c r="Q779" s="7">
        <f>Table1[[#This Row],[A_Temperature]]*41</f>
        <v>11.1807</v>
      </c>
      <c r="R779" s="9">
        <v>0.56000000000000005</v>
      </c>
      <c r="S779" s="9">
        <v>0.1343</v>
      </c>
      <c r="T779" s="9">
        <v>10</v>
      </c>
      <c r="U779" s="9">
        <v>195</v>
      </c>
      <c r="V779" s="19">
        <v>205</v>
      </c>
    </row>
    <row r="780" spans="1:22" s="13" customFormat="1" ht="30" customHeight="1">
      <c r="A780" s="17" t="s">
        <v>179</v>
      </c>
      <c r="B780" s="8">
        <v>40635</v>
      </c>
      <c r="C780" s="8" t="str">
        <f t="shared" si="36"/>
        <v>Saturday</v>
      </c>
      <c r="D780" s="9">
        <v>1</v>
      </c>
      <c r="E780" s="9">
        <v>0</v>
      </c>
      <c r="F780" s="9">
        <v>2</v>
      </c>
      <c r="G780" s="7">
        <v>18</v>
      </c>
      <c r="H780" s="9" t="b">
        <v>0</v>
      </c>
      <c r="I780" s="9">
        <v>5</v>
      </c>
      <c r="J780" s="38" t="str">
        <f>CHOOSE(Table1[[#This Row],[Weekday]]+1,"Sunday","Monday","Tuesday","Wednesday","Thursday","Friday","Saturday")</f>
        <v>Friday</v>
      </c>
      <c r="K780" s="9">
        <v>2</v>
      </c>
      <c r="L780" s="38" t="str">
        <f>IF(Table1[[#This Row],[Weather_code]]=1,"Clear",IF(Table1[[#This Row],[Weather_code]]=2,"Cloudy",IF(Table1[[#This Row],[Weather_code]]=3,"Light Rain",IF(Table1[[#This Row],[Weather_code]]=4,"Heavy Rain"))))</f>
        <v>Cloudy</v>
      </c>
      <c r="M780" s="9">
        <v>0.24</v>
      </c>
      <c r="N780" s="11" t="str">
        <f t="shared" si="37"/>
        <v>Winter</v>
      </c>
      <c r="O780" s="11" t="str">
        <f t="shared" si="38"/>
        <v>Weekend</v>
      </c>
      <c r="P780" s="9">
        <v>0.2576</v>
      </c>
      <c r="Q780" s="7">
        <f>Table1[[#This Row],[A_Temperature]]*41</f>
        <v>10.5616</v>
      </c>
      <c r="R780" s="9">
        <v>0.6</v>
      </c>
      <c r="S780" s="9">
        <v>0.1045</v>
      </c>
      <c r="T780" s="9">
        <v>3</v>
      </c>
      <c r="U780" s="9">
        <v>152</v>
      </c>
      <c r="V780" s="19">
        <v>155</v>
      </c>
    </row>
    <row r="781" spans="1:22" s="13" customFormat="1" ht="30" customHeight="1">
      <c r="A781" s="17" t="s">
        <v>180</v>
      </c>
      <c r="B781" s="8">
        <v>40635</v>
      </c>
      <c r="C781" s="8" t="str">
        <f t="shared" si="36"/>
        <v>Saturday</v>
      </c>
      <c r="D781" s="9">
        <v>1</v>
      </c>
      <c r="E781" s="9">
        <v>0</v>
      </c>
      <c r="F781" s="9">
        <v>2</v>
      </c>
      <c r="G781" s="7">
        <v>19</v>
      </c>
      <c r="H781" s="9" t="b">
        <v>0</v>
      </c>
      <c r="I781" s="9">
        <v>5</v>
      </c>
      <c r="J781" s="38" t="str">
        <f>CHOOSE(Table1[[#This Row],[Weekday]]+1,"Sunday","Monday","Tuesday","Wednesday","Thursday","Friday","Saturday")</f>
        <v>Friday</v>
      </c>
      <c r="K781" s="9">
        <v>2</v>
      </c>
      <c r="L781" s="38" t="str">
        <f>IF(Table1[[#This Row],[Weather_code]]=1,"Clear",IF(Table1[[#This Row],[Weather_code]]=2,"Cloudy",IF(Table1[[#This Row],[Weather_code]]=3,"Light Rain",IF(Table1[[#This Row],[Weather_code]]=4,"Heavy Rain"))))</f>
        <v>Cloudy</v>
      </c>
      <c r="M781" s="9">
        <v>0.24</v>
      </c>
      <c r="N781" s="11" t="str">
        <f t="shared" si="37"/>
        <v>Winter</v>
      </c>
      <c r="O781" s="11" t="str">
        <f t="shared" si="38"/>
        <v>Weekend</v>
      </c>
      <c r="P781" s="9">
        <v>0.2424</v>
      </c>
      <c r="Q781" s="7">
        <f>Table1[[#This Row],[A_Temperature]]*41</f>
        <v>9.9383999999999997</v>
      </c>
      <c r="R781" s="9">
        <v>0.65</v>
      </c>
      <c r="S781" s="9">
        <v>0.1343</v>
      </c>
      <c r="T781" s="9">
        <v>1</v>
      </c>
      <c r="U781" s="9">
        <v>102</v>
      </c>
      <c r="V781" s="19">
        <v>103</v>
      </c>
    </row>
    <row r="782" spans="1:22" s="13" customFormat="1" ht="30" customHeight="1">
      <c r="A782" s="17" t="s">
        <v>181</v>
      </c>
      <c r="B782" s="8">
        <v>40635</v>
      </c>
      <c r="C782" s="8" t="str">
        <f t="shared" si="36"/>
        <v>Saturday</v>
      </c>
      <c r="D782" s="9">
        <v>1</v>
      </c>
      <c r="E782" s="9">
        <v>0</v>
      </c>
      <c r="F782" s="9">
        <v>2</v>
      </c>
      <c r="G782" s="7">
        <v>20</v>
      </c>
      <c r="H782" s="9" t="b">
        <v>0</v>
      </c>
      <c r="I782" s="9">
        <v>5</v>
      </c>
      <c r="J782" s="38" t="str">
        <f>CHOOSE(Table1[[#This Row],[Weekday]]+1,"Sunday","Monday","Tuesday","Wednesday","Thursday","Friday","Saturday")</f>
        <v>Friday</v>
      </c>
      <c r="K782" s="9">
        <v>2</v>
      </c>
      <c r="L782" s="38" t="str">
        <f>IF(Table1[[#This Row],[Weather_code]]=1,"Clear",IF(Table1[[#This Row],[Weather_code]]=2,"Cloudy",IF(Table1[[#This Row],[Weather_code]]=3,"Light Rain",IF(Table1[[#This Row],[Weather_code]]=4,"Heavy Rain"))))</f>
        <v>Cloudy</v>
      </c>
      <c r="M782" s="9">
        <v>0.24</v>
      </c>
      <c r="N782" s="11" t="str">
        <f t="shared" si="37"/>
        <v>Winter</v>
      </c>
      <c r="O782" s="11" t="str">
        <f t="shared" si="38"/>
        <v>Weekend</v>
      </c>
      <c r="P782" s="9">
        <v>0.2424</v>
      </c>
      <c r="Q782" s="7">
        <f>Table1[[#This Row],[A_Temperature]]*41</f>
        <v>9.9383999999999997</v>
      </c>
      <c r="R782" s="9">
        <v>0.65</v>
      </c>
      <c r="S782" s="9">
        <v>0.16420000000000001</v>
      </c>
      <c r="T782" s="9">
        <v>2</v>
      </c>
      <c r="U782" s="9">
        <v>69</v>
      </c>
      <c r="V782" s="19">
        <v>71</v>
      </c>
    </row>
    <row r="783" spans="1:22" s="13" customFormat="1" ht="30" customHeight="1">
      <c r="A783" s="17" t="s">
        <v>182</v>
      </c>
      <c r="B783" s="8">
        <v>40635</v>
      </c>
      <c r="C783" s="8" t="str">
        <f t="shared" si="36"/>
        <v>Saturday</v>
      </c>
      <c r="D783" s="9">
        <v>1</v>
      </c>
      <c r="E783" s="9">
        <v>0</v>
      </c>
      <c r="F783" s="9">
        <v>2</v>
      </c>
      <c r="G783" s="7">
        <v>21</v>
      </c>
      <c r="H783" s="9" t="b">
        <v>0</v>
      </c>
      <c r="I783" s="9">
        <v>5</v>
      </c>
      <c r="J783" s="38" t="str">
        <f>CHOOSE(Table1[[#This Row],[Weekday]]+1,"Sunday","Monday","Tuesday","Wednesday","Thursday","Friday","Saturday")</f>
        <v>Friday</v>
      </c>
      <c r="K783" s="9">
        <v>2</v>
      </c>
      <c r="L783" s="38" t="str">
        <f>IF(Table1[[#This Row],[Weather_code]]=1,"Clear",IF(Table1[[#This Row],[Weather_code]]=2,"Cloudy",IF(Table1[[#This Row],[Weather_code]]=3,"Light Rain",IF(Table1[[#This Row],[Weather_code]]=4,"Heavy Rain"))))</f>
        <v>Cloudy</v>
      </c>
      <c r="M783" s="9">
        <v>0.24</v>
      </c>
      <c r="N783" s="11" t="str">
        <f t="shared" si="37"/>
        <v>Winter</v>
      </c>
      <c r="O783" s="11" t="str">
        <f t="shared" si="38"/>
        <v>Weekend</v>
      </c>
      <c r="P783" s="9">
        <v>0.2424</v>
      </c>
      <c r="Q783" s="7">
        <f>Table1[[#This Row],[A_Temperature]]*41</f>
        <v>9.9383999999999997</v>
      </c>
      <c r="R783" s="9">
        <v>0.7</v>
      </c>
      <c r="S783" s="9">
        <v>0.16420000000000001</v>
      </c>
      <c r="T783" s="9">
        <v>2</v>
      </c>
      <c r="U783" s="9">
        <v>41</v>
      </c>
      <c r="V783" s="19">
        <v>43</v>
      </c>
    </row>
    <row r="784" spans="1:22" s="13" customFormat="1" ht="30" customHeight="1">
      <c r="A784" s="17" t="s">
        <v>183</v>
      </c>
      <c r="B784" s="8">
        <v>40635</v>
      </c>
      <c r="C784" s="8" t="str">
        <f t="shared" si="36"/>
        <v>Saturday</v>
      </c>
      <c r="D784" s="9">
        <v>1</v>
      </c>
      <c r="E784" s="9">
        <v>0</v>
      </c>
      <c r="F784" s="9">
        <v>2</v>
      </c>
      <c r="G784" s="7">
        <v>22</v>
      </c>
      <c r="H784" s="9" t="b">
        <v>0</v>
      </c>
      <c r="I784" s="9">
        <v>5</v>
      </c>
      <c r="J784" s="38" t="str">
        <f>CHOOSE(Table1[[#This Row],[Weekday]]+1,"Sunday","Monday","Tuesday","Wednesday","Thursday","Friday","Saturday")</f>
        <v>Friday</v>
      </c>
      <c r="K784" s="9">
        <v>2</v>
      </c>
      <c r="L784" s="38" t="str">
        <f>IF(Table1[[#This Row],[Weather_code]]=1,"Clear",IF(Table1[[#This Row],[Weather_code]]=2,"Cloudy",IF(Table1[[#This Row],[Weather_code]]=3,"Light Rain",IF(Table1[[#This Row],[Weather_code]]=4,"Heavy Rain"))))</f>
        <v>Cloudy</v>
      </c>
      <c r="M784" s="9">
        <v>0.24</v>
      </c>
      <c r="N784" s="11" t="str">
        <f t="shared" si="37"/>
        <v>Winter</v>
      </c>
      <c r="O784" s="11" t="str">
        <f t="shared" si="38"/>
        <v>Weekend</v>
      </c>
      <c r="P784" s="9">
        <v>0.2424</v>
      </c>
      <c r="Q784" s="7">
        <f>Table1[[#This Row],[A_Temperature]]*41</f>
        <v>9.9383999999999997</v>
      </c>
      <c r="R784" s="9">
        <v>0.65</v>
      </c>
      <c r="S784" s="9">
        <v>0.16420000000000001</v>
      </c>
      <c r="T784" s="9">
        <v>1</v>
      </c>
      <c r="U784" s="9">
        <v>45</v>
      </c>
      <c r="V784" s="19">
        <v>46</v>
      </c>
    </row>
    <row r="785" spans="1:22" s="13" customFormat="1" ht="30" customHeight="1">
      <c r="A785" s="17" t="s">
        <v>184</v>
      </c>
      <c r="B785" s="8">
        <v>40635</v>
      </c>
      <c r="C785" s="8" t="str">
        <f t="shared" si="36"/>
        <v>Saturday</v>
      </c>
      <c r="D785" s="9">
        <v>1</v>
      </c>
      <c r="E785" s="9">
        <v>0</v>
      </c>
      <c r="F785" s="9">
        <v>2</v>
      </c>
      <c r="G785" s="7">
        <v>23</v>
      </c>
      <c r="H785" s="9" t="b">
        <v>0</v>
      </c>
      <c r="I785" s="9">
        <v>5</v>
      </c>
      <c r="J785" s="38" t="str">
        <f>CHOOSE(Table1[[#This Row],[Weekday]]+1,"Sunday","Monday","Tuesday","Wednesday","Thursday","Friday","Saturday")</f>
        <v>Friday</v>
      </c>
      <c r="K785" s="9">
        <v>2</v>
      </c>
      <c r="L785" s="38" t="str">
        <f>IF(Table1[[#This Row],[Weather_code]]=1,"Clear",IF(Table1[[#This Row],[Weather_code]]=2,"Cloudy",IF(Table1[[#This Row],[Weather_code]]=3,"Light Rain",IF(Table1[[#This Row],[Weather_code]]=4,"Heavy Rain"))))</f>
        <v>Cloudy</v>
      </c>
      <c r="M785" s="9">
        <v>0.24</v>
      </c>
      <c r="N785" s="11" t="str">
        <f t="shared" si="37"/>
        <v>Winter</v>
      </c>
      <c r="O785" s="11" t="str">
        <f t="shared" si="38"/>
        <v>Weekend</v>
      </c>
      <c r="P785" s="9">
        <v>0.2424</v>
      </c>
      <c r="Q785" s="7">
        <f>Table1[[#This Row],[A_Temperature]]*41</f>
        <v>9.9383999999999997</v>
      </c>
      <c r="R785" s="9">
        <v>0.7</v>
      </c>
      <c r="S785" s="9">
        <v>0.1343</v>
      </c>
      <c r="T785" s="9">
        <v>1</v>
      </c>
      <c r="U785" s="9">
        <v>30</v>
      </c>
      <c r="V785" s="19">
        <v>31</v>
      </c>
    </row>
    <row r="786" spans="1:22" s="13" customFormat="1" ht="30" customHeight="1">
      <c r="A786" s="17" t="s">
        <v>185</v>
      </c>
      <c r="B786" s="8">
        <v>40665</v>
      </c>
      <c r="C786" s="8" t="str">
        <f t="shared" si="36"/>
        <v>Monday</v>
      </c>
      <c r="D786" s="9">
        <v>1</v>
      </c>
      <c r="E786" s="9">
        <v>0</v>
      </c>
      <c r="F786" s="9">
        <v>2</v>
      </c>
      <c r="G786" s="7">
        <v>0</v>
      </c>
      <c r="H786" s="9" t="b">
        <v>0</v>
      </c>
      <c r="I786" s="9">
        <v>6</v>
      </c>
      <c r="J786" s="38" t="str">
        <f>CHOOSE(Table1[[#This Row],[Weekday]]+1,"Sunday","Monday","Tuesday","Wednesday","Thursday","Friday","Saturday")</f>
        <v>Saturday</v>
      </c>
      <c r="K786" s="9">
        <v>2</v>
      </c>
      <c r="L786" s="38" t="str">
        <f>IF(Table1[[#This Row],[Weather_code]]=1,"Clear",IF(Table1[[#This Row],[Weather_code]]=2,"Cloudy",IF(Table1[[#This Row],[Weather_code]]=3,"Light Rain",IF(Table1[[#This Row],[Weather_code]]=4,"Heavy Rain"))))</f>
        <v>Cloudy</v>
      </c>
      <c r="M786" s="9">
        <v>0.24</v>
      </c>
      <c r="N786" s="11" t="str">
        <f t="shared" si="37"/>
        <v>Winter</v>
      </c>
      <c r="O786" s="11" t="str">
        <f t="shared" si="38"/>
        <v>Weekday</v>
      </c>
      <c r="P786" s="9">
        <v>0.2424</v>
      </c>
      <c r="Q786" s="7">
        <f>Table1[[#This Row],[A_Temperature]]*41</f>
        <v>9.9383999999999997</v>
      </c>
      <c r="R786" s="9">
        <v>0.7</v>
      </c>
      <c r="S786" s="9">
        <v>0.16420000000000001</v>
      </c>
      <c r="T786" s="9">
        <v>3</v>
      </c>
      <c r="U786" s="9">
        <v>36</v>
      </c>
      <c r="V786" s="19">
        <v>39</v>
      </c>
    </row>
    <row r="787" spans="1:22" s="13" customFormat="1" ht="30" customHeight="1">
      <c r="A787" s="17" t="s">
        <v>186</v>
      </c>
      <c r="B787" s="8">
        <v>40665</v>
      </c>
      <c r="C787" s="8" t="str">
        <f t="shared" si="36"/>
        <v>Monday</v>
      </c>
      <c r="D787" s="9">
        <v>1</v>
      </c>
      <c r="E787" s="9">
        <v>0</v>
      </c>
      <c r="F787" s="9">
        <v>2</v>
      </c>
      <c r="G787" s="7">
        <v>1</v>
      </c>
      <c r="H787" s="9" t="b">
        <v>0</v>
      </c>
      <c r="I787" s="9">
        <v>6</v>
      </c>
      <c r="J787" s="38" t="str">
        <f>CHOOSE(Table1[[#This Row],[Weekday]]+1,"Sunday","Monday","Tuesday","Wednesday","Thursday","Friday","Saturday")</f>
        <v>Saturday</v>
      </c>
      <c r="K787" s="9">
        <v>2</v>
      </c>
      <c r="L787" s="38" t="str">
        <f>IF(Table1[[#This Row],[Weather_code]]=1,"Clear",IF(Table1[[#This Row],[Weather_code]]=2,"Cloudy",IF(Table1[[#This Row],[Weather_code]]=3,"Light Rain",IF(Table1[[#This Row],[Weather_code]]=4,"Heavy Rain"))))</f>
        <v>Cloudy</v>
      </c>
      <c r="M787" s="9">
        <v>0.24</v>
      </c>
      <c r="N787" s="11" t="str">
        <f t="shared" si="37"/>
        <v>Winter</v>
      </c>
      <c r="O787" s="11" t="str">
        <f t="shared" si="38"/>
        <v>Weekday</v>
      </c>
      <c r="P787" s="9">
        <v>0.2424</v>
      </c>
      <c r="Q787" s="7">
        <f>Table1[[#This Row],[A_Temperature]]*41</f>
        <v>9.9383999999999997</v>
      </c>
      <c r="R787" s="9">
        <v>0.65</v>
      </c>
      <c r="S787" s="9">
        <v>0.16420000000000001</v>
      </c>
      <c r="T787" s="9">
        <v>1</v>
      </c>
      <c r="U787" s="9">
        <v>17</v>
      </c>
      <c r="V787" s="19">
        <v>18</v>
      </c>
    </row>
    <row r="788" spans="1:22" s="13" customFormat="1" ht="30" customHeight="1">
      <c r="A788" s="17" t="s">
        <v>187</v>
      </c>
      <c r="B788" s="8">
        <v>40665</v>
      </c>
      <c r="C788" s="8" t="str">
        <f t="shared" si="36"/>
        <v>Monday</v>
      </c>
      <c r="D788" s="9">
        <v>1</v>
      </c>
      <c r="E788" s="9">
        <v>0</v>
      </c>
      <c r="F788" s="9">
        <v>2</v>
      </c>
      <c r="G788" s="7">
        <v>2</v>
      </c>
      <c r="H788" s="9" t="b">
        <v>0</v>
      </c>
      <c r="I788" s="9">
        <v>6</v>
      </c>
      <c r="J788" s="38" t="str">
        <f>CHOOSE(Table1[[#This Row],[Weekday]]+1,"Sunday","Monday","Tuesday","Wednesday","Thursday","Friday","Saturday")</f>
        <v>Saturday</v>
      </c>
      <c r="K788" s="9">
        <v>2</v>
      </c>
      <c r="L788" s="38" t="str">
        <f>IF(Table1[[#This Row],[Weather_code]]=1,"Clear",IF(Table1[[#This Row],[Weather_code]]=2,"Cloudy",IF(Table1[[#This Row],[Weather_code]]=3,"Light Rain",IF(Table1[[#This Row],[Weather_code]]=4,"Heavy Rain"))))</f>
        <v>Cloudy</v>
      </c>
      <c r="M788" s="9">
        <v>0.24</v>
      </c>
      <c r="N788" s="11" t="str">
        <f t="shared" si="37"/>
        <v>Winter</v>
      </c>
      <c r="O788" s="11" t="str">
        <f t="shared" si="38"/>
        <v>Weekday</v>
      </c>
      <c r="P788" s="9">
        <v>0.2424</v>
      </c>
      <c r="Q788" s="7">
        <f>Table1[[#This Row],[A_Temperature]]*41</f>
        <v>9.9383999999999997</v>
      </c>
      <c r="R788" s="9">
        <v>0.75</v>
      </c>
      <c r="S788" s="9">
        <v>0.16420000000000001</v>
      </c>
      <c r="T788" s="9">
        <v>5</v>
      </c>
      <c r="U788" s="9">
        <v>12</v>
      </c>
      <c r="V788" s="19">
        <v>17</v>
      </c>
    </row>
    <row r="789" spans="1:22" s="13" customFormat="1" ht="30" customHeight="1">
      <c r="A789" s="17" t="s">
        <v>188</v>
      </c>
      <c r="B789" s="8">
        <v>40665</v>
      </c>
      <c r="C789" s="8" t="str">
        <f t="shared" si="36"/>
        <v>Monday</v>
      </c>
      <c r="D789" s="9">
        <v>1</v>
      </c>
      <c r="E789" s="9">
        <v>0</v>
      </c>
      <c r="F789" s="9">
        <v>2</v>
      </c>
      <c r="G789" s="7">
        <v>3</v>
      </c>
      <c r="H789" s="9" t="b">
        <v>0</v>
      </c>
      <c r="I789" s="9">
        <v>6</v>
      </c>
      <c r="J789" s="38" t="str">
        <f>CHOOSE(Table1[[#This Row],[Weekday]]+1,"Sunday","Monday","Tuesday","Wednesday","Thursday","Friday","Saturday")</f>
        <v>Saturday</v>
      </c>
      <c r="K789" s="9">
        <v>2</v>
      </c>
      <c r="L789" s="38" t="str">
        <f>IF(Table1[[#This Row],[Weather_code]]=1,"Clear",IF(Table1[[#This Row],[Weather_code]]=2,"Cloudy",IF(Table1[[#This Row],[Weather_code]]=3,"Light Rain",IF(Table1[[#This Row],[Weather_code]]=4,"Heavy Rain"))))</f>
        <v>Cloudy</v>
      </c>
      <c r="M789" s="9">
        <v>0.24</v>
      </c>
      <c r="N789" s="11" t="str">
        <f t="shared" si="37"/>
        <v>Winter</v>
      </c>
      <c r="O789" s="11" t="str">
        <f t="shared" si="38"/>
        <v>Weekday</v>
      </c>
      <c r="P789" s="9">
        <v>0.2424</v>
      </c>
      <c r="Q789" s="7">
        <f>Table1[[#This Row],[A_Temperature]]*41</f>
        <v>9.9383999999999997</v>
      </c>
      <c r="R789" s="9">
        <v>0.75</v>
      </c>
      <c r="S789" s="9">
        <v>0.16420000000000001</v>
      </c>
      <c r="T789" s="9">
        <v>1</v>
      </c>
      <c r="U789" s="9">
        <v>10</v>
      </c>
      <c r="V789" s="19">
        <v>11</v>
      </c>
    </row>
    <row r="790" spans="1:22" s="13" customFormat="1" ht="30" customHeight="1">
      <c r="A790" s="17" t="s">
        <v>189</v>
      </c>
      <c r="B790" s="8">
        <v>40665</v>
      </c>
      <c r="C790" s="8" t="str">
        <f t="shared" si="36"/>
        <v>Monday</v>
      </c>
      <c r="D790" s="9">
        <v>1</v>
      </c>
      <c r="E790" s="9">
        <v>0</v>
      </c>
      <c r="F790" s="9">
        <v>2</v>
      </c>
      <c r="G790" s="7">
        <v>4</v>
      </c>
      <c r="H790" s="9" t="b">
        <v>0</v>
      </c>
      <c r="I790" s="9">
        <v>6</v>
      </c>
      <c r="J790" s="38" t="str">
        <f>CHOOSE(Table1[[#This Row],[Weekday]]+1,"Sunday","Monday","Tuesday","Wednesday","Thursday","Friday","Saturday")</f>
        <v>Saturday</v>
      </c>
      <c r="K790" s="9">
        <v>3</v>
      </c>
      <c r="L790" s="38" t="str">
        <f>IF(Table1[[#This Row],[Weather_code]]=1,"Clear",IF(Table1[[#This Row],[Weather_code]]=2,"Cloudy",IF(Table1[[#This Row],[Weather_code]]=3,"Light Rain",IF(Table1[[#This Row],[Weather_code]]=4,"Heavy Rain"))))</f>
        <v>Light Rain</v>
      </c>
      <c r="M790" s="9">
        <v>0.22</v>
      </c>
      <c r="N790" s="11" t="str">
        <f t="shared" si="37"/>
        <v>Winter</v>
      </c>
      <c r="O790" s="11" t="str">
        <f t="shared" si="38"/>
        <v>Weekday</v>
      </c>
      <c r="P790" s="9">
        <v>0.2273</v>
      </c>
      <c r="Q790" s="7">
        <f>Table1[[#This Row],[A_Temperature]]*41</f>
        <v>9.3193000000000001</v>
      </c>
      <c r="R790" s="9">
        <v>0.93</v>
      </c>
      <c r="S790" s="9">
        <v>0.1343</v>
      </c>
      <c r="T790" s="9">
        <v>0</v>
      </c>
      <c r="U790" s="9">
        <v>8</v>
      </c>
      <c r="V790" s="19">
        <v>8</v>
      </c>
    </row>
    <row r="791" spans="1:22" s="13" customFormat="1" ht="30" customHeight="1">
      <c r="A791" s="17" t="s">
        <v>190</v>
      </c>
      <c r="B791" s="8">
        <v>40665</v>
      </c>
      <c r="C791" s="8" t="str">
        <f t="shared" si="36"/>
        <v>Monday</v>
      </c>
      <c r="D791" s="9">
        <v>1</v>
      </c>
      <c r="E791" s="9">
        <v>0</v>
      </c>
      <c r="F791" s="9">
        <v>2</v>
      </c>
      <c r="G791" s="7">
        <v>5</v>
      </c>
      <c r="H791" s="9" t="b">
        <v>0</v>
      </c>
      <c r="I791" s="9">
        <v>6</v>
      </c>
      <c r="J791" s="38" t="str">
        <f>CHOOSE(Table1[[#This Row],[Weekday]]+1,"Sunday","Monday","Tuesday","Wednesday","Thursday","Friday","Saturday")</f>
        <v>Saturday</v>
      </c>
      <c r="K791" s="9">
        <v>3</v>
      </c>
      <c r="L791" s="38" t="str">
        <f>IF(Table1[[#This Row],[Weather_code]]=1,"Clear",IF(Table1[[#This Row],[Weather_code]]=2,"Cloudy",IF(Table1[[#This Row],[Weather_code]]=3,"Light Rain",IF(Table1[[#This Row],[Weather_code]]=4,"Heavy Rain"))))</f>
        <v>Light Rain</v>
      </c>
      <c r="M791" s="9">
        <v>0.2</v>
      </c>
      <c r="N791" s="11" t="str">
        <f t="shared" si="37"/>
        <v>Winter</v>
      </c>
      <c r="O791" s="11" t="str">
        <f t="shared" si="38"/>
        <v>Weekday</v>
      </c>
      <c r="P791" s="9">
        <v>0.2273</v>
      </c>
      <c r="Q791" s="7">
        <f>Table1[[#This Row],[A_Temperature]]*41</f>
        <v>9.3193000000000001</v>
      </c>
      <c r="R791" s="9">
        <v>1</v>
      </c>
      <c r="S791" s="9">
        <v>8.9599999999999999E-2</v>
      </c>
      <c r="T791" s="9">
        <v>0</v>
      </c>
      <c r="U791" s="9">
        <v>9</v>
      </c>
      <c r="V791" s="19">
        <v>9</v>
      </c>
    </row>
    <row r="792" spans="1:22" s="13" customFormat="1" ht="30" customHeight="1">
      <c r="A792" s="17" t="s">
        <v>191</v>
      </c>
      <c r="B792" s="8">
        <v>40665</v>
      </c>
      <c r="C792" s="8" t="str">
        <f t="shared" si="36"/>
        <v>Monday</v>
      </c>
      <c r="D792" s="9">
        <v>1</v>
      </c>
      <c r="E792" s="9">
        <v>0</v>
      </c>
      <c r="F792" s="9">
        <v>2</v>
      </c>
      <c r="G792" s="7">
        <v>6</v>
      </c>
      <c r="H792" s="9" t="b">
        <v>0</v>
      </c>
      <c r="I792" s="9">
        <v>6</v>
      </c>
      <c r="J792" s="38" t="str">
        <f>CHOOSE(Table1[[#This Row],[Weekday]]+1,"Sunday","Monday","Tuesday","Wednesday","Thursday","Friday","Saturday")</f>
        <v>Saturday</v>
      </c>
      <c r="K792" s="9">
        <v>3</v>
      </c>
      <c r="L792" s="38" t="str">
        <f>IF(Table1[[#This Row],[Weather_code]]=1,"Clear",IF(Table1[[#This Row],[Weather_code]]=2,"Cloudy",IF(Table1[[#This Row],[Weather_code]]=3,"Light Rain",IF(Table1[[#This Row],[Weather_code]]=4,"Heavy Rain"))))</f>
        <v>Light Rain</v>
      </c>
      <c r="M792" s="9">
        <v>0.2</v>
      </c>
      <c r="N792" s="11" t="str">
        <f t="shared" si="37"/>
        <v>Winter</v>
      </c>
      <c r="O792" s="11" t="str">
        <f t="shared" si="38"/>
        <v>Weekday</v>
      </c>
      <c r="P792" s="9">
        <v>0.2576</v>
      </c>
      <c r="Q792" s="7">
        <f>Table1[[#This Row],[A_Temperature]]*41</f>
        <v>10.5616</v>
      </c>
      <c r="R792" s="9">
        <v>1</v>
      </c>
      <c r="S792" s="9">
        <v>0</v>
      </c>
      <c r="T792" s="9">
        <v>0</v>
      </c>
      <c r="U792" s="9">
        <v>4</v>
      </c>
      <c r="V792" s="19">
        <v>4</v>
      </c>
    </row>
    <row r="793" spans="1:22" s="13" customFormat="1" ht="30" customHeight="1">
      <c r="A793" s="17" t="s">
        <v>192</v>
      </c>
      <c r="B793" s="8">
        <v>40665</v>
      </c>
      <c r="C793" s="8" t="str">
        <f t="shared" si="36"/>
        <v>Monday</v>
      </c>
      <c r="D793" s="9">
        <v>1</v>
      </c>
      <c r="E793" s="9">
        <v>0</v>
      </c>
      <c r="F793" s="9">
        <v>2</v>
      </c>
      <c r="G793" s="7">
        <v>7</v>
      </c>
      <c r="H793" s="9" t="b">
        <v>0</v>
      </c>
      <c r="I793" s="9">
        <v>6</v>
      </c>
      <c r="J793" s="38" t="str">
        <f>CHOOSE(Table1[[#This Row],[Weekday]]+1,"Sunday","Monday","Tuesday","Wednesday","Thursday","Friday","Saturday")</f>
        <v>Saturday</v>
      </c>
      <c r="K793" s="9">
        <v>3</v>
      </c>
      <c r="L793" s="38" t="str">
        <f>IF(Table1[[#This Row],[Weather_code]]=1,"Clear",IF(Table1[[#This Row],[Weather_code]]=2,"Cloudy",IF(Table1[[#This Row],[Weather_code]]=3,"Light Rain",IF(Table1[[#This Row],[Weather_code]]=4,"Heavy Rain"))))</f>
        <v>Light Rain</v>
      </c>
      <c r="M793" s="9">
        <v>0.22</v>
      </c>
      <c r="N793" s="11" t="str">
        <f t="shared" si="37"/>
        <v>Winter</v>
      </c>
      <c r="O793" s="11" t="str">
        <f t="shared" si="38"/>
        <v>Weekday</v>
      </c>
      <c r="P793" s="9">
        <v>0.2576</v>
      </c>
      <c r="Q793" s="7">
        <f>Table1[[#This Row],[A_Temperature]]*41</f>
        <v>10.5616</v>
      </c>
      <c r="R793" s="9">
        <v>0.93</v>
      </c>
      <c r="S793" s="9">
        <v>8.9599999999999999E-2</v>
      </c>
      <c r="T793" s="9">
        <v>0</v>
      </c>
      <c r="U793" s="9">
        <v>4</v>
      </c>
      <c r="V793" s="19">
        <v>4</v>
      </c>
    </row>
    <row r="794" spans="1:22" s="13" customFormat="1" ht="30" customHeight="1">
      <c r="A794" s="17" t="s">
        <v>193</v>
      </c>
      <c r="B794" s="8">
        <v>40665</v>
      </c>
      <c r="C794" s="8" t="str">
        <f t="shared" si="36"/>
        <v>Monday</v>
      </c>
      <c r="D794" s="9">
        <v>1</v>
      </c>
      <c r="E794" s="9">
        <v>0</v>
      </c>
      <c r="F794" s="9">
        <v>2</v>
      </c>
      <c r="G794" s="7">
        <v>8</v>
      </c>
      <c r="H794" s="9" t="b">
        <v>0</v>
      </c>
      <c r="I794" s="9">
        <v>6</v>
      </c>
      <c r="J794" s="38" t="str">
        <f>CHOOSE(Table1[[#This Row],[Weekday]]+1,"Sunday","Monday","Tuesday","Wednesday","Thursday","Friday","Saturday")</f>
        <v>Saturday</v>
      </c>
      <c r="K794" s="9">
        <v>3</v>
      </c>
      <c r="L794" s="38" t="str">
        <f>IF(Table1[[#This Row],[Weather_code]]=1,"Clear",IF(Table1[[#This Row],[Weather_code]]=2,"Cloudy",IF(Table1[[#This Row],[Weather_code]]=3,"Light Rain",IF(Table1[[#This Row],[Weather_code]]=4,"Heavy Rain"))))</f>
        <v>Light Rain</v>
      </c>
      <c r="M794" s="9">
        <v>0.2</v>
      </c>
      <c r="N794" s="11" t="str">
        <f t="shared" si="37"/>
        <v>Winter</v>
      </c>
      <c r="O794" s="11" t="str">
        <f t="shared" si="38"/>
        <v>Weekday</v>
      </c>
      <c r="P794" s="9">
        <v>0.2273</v>
      </c>
      <c r="Q794" s="7">
        <f>Table1[[#This Row],[A_Temperature]]*41</f>
        <v>9.3193000000000001</v>
      </c>
      <c r="R794" s="9">
        <v>1</v>
      </c>
      <c r="S794" s="9">
        <v>8.9599999999999999E-2</v>
      </c>
      <c r="T794" s="9">
        <v>0</v>
      </c>
      <c r="U794" s="9">
        <v>10</v>
      </c>
      <c r="V794" s="19">
        <v>10</v>
      </c>
    </row>
    <row r="795" spans="1:22" s="13" customFormat="1" ht="30" customHeight="1">
      <c r="A795" s="17" t="s">
        <v>194</v>
      </c>
      <c r="B795" s="8">
        <v>40665</v>
      </c>
      <c r="C795" s="8" t="str">
        <f t="shared" si="36"/>
        <v>Monday</v>
      </c>
      <c r="D795" s="9">
        <v>1</v>
      </c>
      <c r="E795" s="9">
        <v>0</v>
      </c>
      <c r="F795" s="9">
        <v>2</v>
      </c>
      <c r="G795" s="7">
        <v>9</v>
      </c>
      <c r="H795" s="9" t="b">
        <v>0</v>
      </c>
      <c r="I795" s="9">
        <v>6</v>
      </c>
      <c r="J795" s="38" t="str">
        <f>CHOOSE(Table1[[#This Row],[Weekday]]+1,"Sunday","Monday","Tuesday","Wednesday","Thursday","Friday","Saturday")</f>
        <v>Saturday</v>
      </c>
      <c r="K795" s="9">
        <v>3</v>
      </c>
      <c r="L795" s="38" t="str">
        <f>IF(Table1[[#This Row],[Weather_code]]=1,"Clear",IF(Table1[[#This Row],[Weather_code]]=2,"Cloudy",IF(Table1[[#This Row],[Weather_code]]=3,"Light Rain",IF(Table1[[#This Row],[Weather_code]]=4,"Heavy Rain"))))</f>
        <v>Light Rain</v>
      </c>
      <c r="M795" s="9">
        <v>0.2</v>
      </c>
      <c r="N795" s="11" t="str">
        <f t="shared" si="37"/>
        <v>Winter</v>
      </c>
      <c r="O795" s="11" t="str">
        <f t="shared" si="38"/>
        <v>Weekday</v>
      </c>
      <c r="P795" s="9">
        <v>0.2273</v>
      </c>
      <c r="Q795" s="7">
        <f>Table1[[#This Row],[A_Temperature]]*41</f>
        <v>9.3193000000000001</v>
      </c>
      <c r="R795" s="9">
        <v>1</v>
      </c>
      <c r="S795" s="9">
        <v>8.9599999999999999E-2</v>
      </c>
      <c r="T795" s="9">
        <v>3</v>
      </c>
      <c r="U795" s="9">
        <v>17</v>
      </c>
      <c r="V795" s="19">
        <v>20</v>
      </c>
    </row>
    <row r="796" spans="1:22" s="13" customFormat="1" ht="30" customHeight="1">
      <c r="A796" s="17" t="s">
        <v>195</v>
      </c>
      <c r="B796" s="8">
        <v>40665</v>
      </c>
      <c r="C796" s="8" t="str">
        <f t="shared" si="36"/>
        <v>Monday</v>
      </c>
      <c r="D796" s="9">
        <v>1</v>
      </c>
      <c r="E796" s="9">
        <v>0</v>
      </c>
      <c r="F796" s="9">
        <v>2</v>
      </c>
      <c r="G796" s="7">
        <v>10</v>
      </c>
      <c r="H796" s="9" t="b">
        <v>0</v>
      </c>
      <c r="I796" s="9">
        <v>6</v>
      </c>
      <c r="J796" s="38" t="str">
        <f>CHOOSE(Table1[[#This Row],[Weekday]]+1,"Sunday","Monday","Tuesday","Wednesday","Thursday","Friday","Saturday")</f>
        <v>Saturday</v>
      </c>
      <c r="K796" s="9">
        <v>3</v>
      </c>
      <c r="L796" s="38" t="str">
        <f>IF(Table1[[#This Row],[Weather_code]]=1,"Clear",IF(Table1[[#This Row],[Weather_code]]=2,"Cloudy",IF(Table1[[#This Row],[Weather_code]]=3,"Light Rain",IF(Table1[[#This Row],[Weather_code]]=4,"Heavy Rain"))))</f>
        <v>Light Rain</v>
      </c>
      <c r="M796" s="9">
        <v>0.2</v>
      </c>
      <c r="N796" s="11" t="str">
        <f t="shared" si="37"/>
        <v>Winter</v>
      </c>
      <c r="O796" s="11" t="str">
        <f t="shared" si="38"/>
        <v>Weekday</v>
      </c>
      <c r="P796" s="9">
        <v>0.21210000000000001</v>
      </c>
      <c r="Q796" s="7">
        <f>Table1[[#This Row],[A_Temperature]]*41</f>
        <v>8.6961000000000013</v>
      </c>
      <c r="R796" s="9">
        <v>1</v>
      </c>
      <c r="S796" s="9">
        <v>0.1343</v>
      </c>
      <c r="T796" s="9">
        <v>3</v>
      </c>
      <c r="U796" s="9">
        <v>31</v>
      </c>
      <c r="V796" s="19">
        <v>34</v>
      </c>
    </row>
    <row r="797" spans="1:22" s="13" customFormat="1" ht="30" customHeight="1">
      <c r="A797" s="17" t="s">
        <v>196</v>
      </c>
      <c r="B797" s="8">
        <v>40665</v>
      </c>
      <c r="C797" s="8" t="str">
        <f t="shared" ref="C797:C860" si="39">TEXT(B797,"DDDD")</f>
        <v>Monday</v>
      </c>
      <c r="D797" s="9">
        <v>1</v>
      </c>
      <c r="E797" s="9">
        <v>0</v>
      </c>
      <c r="F797" s="9">
        <v>2</v>
      </c>
      <c r="G797" s="7">
        <v>11</v>
      </c>
      <c r="H797" s="9" t="b">
        <v>0</v>
      </c>
      <c r="I797" s="9">
        <v>6</v>
      </c>
      <c r="J797" s="38" t="str">
        <f>CHOOSE(Table1[[#This Row],[Weekday]]+1,"Sunday","Monday","Tuesday","Wednesday","Thursday","Friday","Saturday")</f>
        <v>Saturday</v>
      </c>
      <c r="K797" s="9">
        <v>3</v>
      </c>
      <c r="L797" s="38" t="str">
        <f>IF(Table1[[#This Row],[Weather_code]]=1,"Clear",IF(Table1[[#This Row],[Weather_code]]=2,"Cloudy",IF(Table1[[#This Row],[Weather_code]]=3,"Light Rain",IF(Table1[[#This Row],[Weather_code]]=4,"Heavy Rain"))))</f>
        <v>Light Rain</v>
      </c>
      <c r="M797" s="9">
        <v>0.22</v>
      </c>
      <c r="N797" s="11" t="str">
        <f t="shared" si="37"/>
        <v>Winter</v>
      </c>
      <c r="O797" s="11" t="str">
        <f t="shared" si="38"/>
        <v>Weekday</v>
      </c>
      <c r="P797" s="9">
        <v>0.2273</v>
      </c>
      <c r="Q797" s="7">
        <f>Table1[[#This Row],[A_Temperature]]*41</f>
        <v>9.3193000000000001</v>
      </c>
      <c r="R797" s="9">
        <v>1</v>
      </c>
      <c r="S797" s="9">
        <v>0.1343</v>
      </c>
      <c r="T797" s="9">
        <v>1</v>
      </c>
      <c r="U797" s="9">
        <v>46</v>
      </c>
      <c r="V797" s="19">
        <v>47</v>
      </c>
    </row>
    <row r="798" spans="1:22" s="13" customFormat="1" ht="30" customHeight="1">
      <c r="A798" s="17" t="s">
        <v>197</v>
      </c>
      <c r="B798" s="8">
        <v>40665</v>
      </c>
      <c r="C798" s="8" t="str">
        <f t="shared" si="39"/>
        <v>Monday</v>
      </c>
      <c r="D798" s="9">
        <v>1</v>
      </c>
      <c r="E798" s="9">
        <v>0</v>
      </c>
      <c r="F798" s="9">
        <v>2</v>
      </c>
      <c r="G798" s="7">
        <v>12</v>
      </c>
      <c r="H798" s="9" t="b">
        <v>0</v>
      </c>
      <c r="I798" s="9">
        <v>6</v>
      </c>
      <c r="J798" s="38" t="str">
        <f>CHOOSE(Table1[[#This Row],[Weekday]]+1,"Sunday","Monday","Tuesday","Wednesday","Thursday","Friday","Saturday")</f>
        <v>Saturday</v>
      </c>
      <c r="K798" s="9">
        <v>3</v>
      </c>
      <c r="L798" s="38" t="str">
        <f>IF(Table1[[#This Row],[Weather_code]]=1,"Clear",IF(Table1[[#This Row],[Weather_code]]=2,"Cloudy",IF(Table1[[#This Row],[Weather_code]]=3,"Light Rain",IF(Table1[[#This Row],[Weather_code]]=4,"Heavy Rain"))))</f>
        <v>Light Rain</v>
      </c>
      <c r="M798" s="9">
        <v>0.22</v>
      </c>
      <c r="N798" s="11" t="str">
        <f t="shared" si="37"/>
        <v>Winter</v>
      </c>
      <c r="O798" s="11" t="str">
        <f t="shared" si="38"/>
        <v>Weekday</v>
      </c>
      <c r="P798" s="9">
        <v>0.2273</v>
      </c>
      <c r="Q798" s="7">
        <f>Table1[[#This Row],[A_Temperature]]*41</f>
        <v>9.3193000000000001</v>
      </c>
      <c r="R798" s="9">
        <v>1</v>
      </c>
      <c r="S798" s="9">
        <v>0.16420000000000001</v>
      </c>
      <c r="T798" s="9">
        <v>10</v>
      </c>
      <c r="U798" s="9">
        <v>42</v>
      </c>
      <c r="V798" s="19">
        <v>52</v>
      </c>
    </row>
    <row r="799" spans="1:22" s="13" customFormat="1" ht="30" customHeight="1">
      <c r="A799" s="17" t="s">
        <v>198</v>
      </c>
      <c r="B799" s="8">
        <v>40665</v>
      </c>
      <c r="C799" s="8" t="str">
        <f t="shared" si="39"/>
        <v>Monday</v>
      </c>
      <c r="D799" s="9">
        <v>1</v>
      </c>
      <c r="E799" s="9">
        <v>0</v>
      </c>
      <c r="F799" s="9">
        <v>2</v>
      </c>
      <c r="G799" s="7">
        <v>13</v>
      </c>
      <c r="H799" s="9" t="b">
        <v>0</v>
      </c>
      <c r="I799" s="9">
        <v>6</v>
      </c>
      <c r="J799" s="38" t="str">
        <f>CHOOSE(Table1[[#This Row],[Weekday]]+1,"Sunday","Monday","Tuesday","Wednesday","Thursday","Friday","Saturday")</f>
        <v>Saturday</v>
      </c>
      <c r="K799" s="9">
        <v>3</v>
      </c>
      <c r="L799" s="38" t="str">
        <f>IF(Table1[[#This Row],[Weather_code]]=1,"Clear",IF(Table1[[#This Row],[Weather_code]]=2,"Cloudy",IF(Table1[[#This Row],[Weather_code]]=3,"Light Rain",IF(Table1[[#This Row],[Weather_code]]=4,"Heavy Rain"))))</f>
        <v>Light Rain</v>
      </c>
      <c r="M799" s="9">
        <v>0.22</v>
      </c>
      <c r="N799" s="11" t="str">
        <f t="shared" si="37"/>
        <v>Winter</v>
      </c>
      <c r="O799" s="11" t="str">
        <f t="shared" si="38"/>
        <v>Weekday</v>
      </c>
      <c r="P799" s="9">
        <v>0.2273</v>
      </c>
      <c r="Q799" s="7">
        <f>Table1[[#This Row],[A_Temperature]]*41</f>
        <v>9.3193000000000001</v>
      </c>
      <c r="R799" s="9">
        <v>1</v>
      </c>
      <c r="S799" s="9">
        <v>0.16420000000000001</v>
      </c>
      <c r="T799" s="9">
        <v>10</v>
      </c>
      <c r="U799" s="9">
        <v>62</v>
      </c>
      <c r="V799" s="19">
        <v>72</v>
      </c>
    </row>
    <row r="800" spans="1:22" s="13" customFormat="1" ht="30" customHeight="1">
      <c r="A800" s="17" t="s">
        <v>199</v>
      </c>
      <c r="B800" s="8">
        <v>40665</v>
      </c>
      <c r="C800" s="8" t="str">
        <f t="shared" si="39"/>
        <v>Monday</v>
      </c>
      <c r="D800" s="9">
        <v>1</v>
      </c>
      <c r="E800" s="9">
        <v>0</v>
      </c>
      <c r="F800" s="9">
        <v>2</v>
      </c>
      <c r="G800" s="7">
        <v>14</v>
      </c>
      <c r="H800" s="9" t="b">
        <v>0</v>
      </c>
      <c r="I800" s="9">
        <v>6</v>
      </c>
      <c r="J800" s="38" t="str">
        <f>CHOOSE(Table1[[#This Row],[Weekday]]+1,"Sunday","Monday","Tuesday","Wednesday","Thursday","Friday","Saturday")</f>
        <v>Saturday</v>
      </c>
      <c r="K800" s="9">
        <v>3</v>
      </c>
      <c r="L800" s="38" t="str">
        <f>IF(Table1[[#This Row],[Weather_code]]=1,"Clear",IF(Table1[[#This Row],[Weather_code]]=2,"Cloudy",IF(Table1[[#This Row],[Weather_code]]=3,"Light Rain",IF(Table1[[#This Row],[Weather_code]]=4,"Heavy Rain"))))</f>
        <v>Light Rain</v>
      </c>
      <c r="M800" s="9">
        <v>0.22</v>
      </c>
      <c r="N800" s="11" t="str">
        <f t="shared" si="37"/>
        <v>Winter</v>
      </c>
      <c r="O800" s="11" t="str">
        <f t="shared" si="38"/>
        <v>Weekday</v>
      </c>
      <c r="P800" s="9">
        <v>0.2727</v>
      </c>
      <c r="Q800" s="7">
        <f>Table1[[#This Row],[A_Temperature]]*41</f>
        <v>11.1807</v>
      </c>
      <c r="R800" s="9">
        <v>1</v>
      </c>
      <c r="S800" s="9">
        <v>0</v>
      </c>
      <c r="T800" s="9">
        <v>5</v>
      </c>
      <c r="U800" s="9">
        <v>50</v>
      </c>
      <c r="V800" s="19">
        <v>55</v>
      </c>
    </row>
    <row r="801" spans="1:22" s="13" customFormat="1" ht="30" customHeight="1">
      <c r="A801" s="17" t="s">
        <v>200</v>
      </c>
      <c r="B801" s="8">
        <v>40665</v>
      </c>
      <c r="C801" s="8" t="str">
        <f t="shared" si="39"/>
        <v>Monday</v>
      </c>
      <c r="D801" s="9">
        <v>1</v>
      </c>
      <c r="E801" s="9">
        <v>0</v>
      </c>
      <c r="F801" s="9">
        <v>2</v>
      </c>
      <c r="G801" s="7">
        <v>15</v>
      </c>
      <c r="H801" s="9" t="b">
        <v>0</v>
      </c>
      <c r="I801" s="9">
        <v>6</v>
      </c>
      <c r="J801" s="38" t="str">
        <f>CHOOSE(Table1[[#This Row],[Weekday]]+1,"Sunday","Monday","Tuesday","Wednesday","Thursday","Friday","Saturday")</f>
        <v>Saturday</v>
      </c>
      <c r="K801" s="9">
        <v>3</v>
      </c>
      <c r="L801" s="38" t="str">
        <f>IF(Table1[[#This Row],[Weather_code]]=1,"Clear",IF(Table1[[#This Row],[Weather_code]]=2,"Cloudy",IF(Table1[[#This Row],[Weather_code]]=3,"Light Rain",IF(Table1[[#This Row],[Weather_code]]=4,"Heavy Rain"))))</f>
        <v>Light Rain</v>
      </c>
      <c r="M801" s="9">
        <v>0.22</v>
      </c>
      <c r="N801" s="11" t="str">
        <f t="shared" si="37"/>
        <v>Winter</v>
      </c>
      <c r="O801" s="11" t="str">
        <f t="shared" si="38"/>
        <v>Weekday</v>
      </c>
      <c r="P801" s="9">
        <v>0.2727</v>
      </c>
      <c r="Q801" s="7">
        <f>Table1[[#This Row],[A_Temperature]]*41</f>
        <v>11.1807</v>
      </c>
      <c r="R801" s="9">
        <v>1</v>
      </c>
      <c r="S801" s="9">
        <v>0</v>
      </c>
      <c r="T801" s="9">
        <v>11</v>
      </c>
      <c r="U801" s="9">
        <v>49</v>
      </c>
      <c r="V801" s="19">
        <v>60</v>
      </c>
    </row>
    <row r="802" spans="1:22" s="13" customFormat="1" ht="30" customHeight="1">
      <c r="A802" s="17" t="s">
        <v>201</v>
      </c>
      <c r="B802" s="8">
        <v>40665</v>
      </c>
      <c r="C802" s="8" t="str">
        <f t="shared" si="39"/>
        <v>Monday</v>
      </c>
      <c r="D802" s="9">
        <v>1</v>
      </c>
      <c r="E802" s="9">
        <v>0</v>
      </c>
      <c r="F802" s="9">
        <v>2</v>
      </c>
      <c r="G802" s="7">
        <v>16</v>
      </c>
      <c r="H802" s="9" t="b">
        <v>0</v>
      </c>
      <c r="I802" s="9">
        <v>6</v>
      </c>
      <c r="J802" s="38" t="str">
        <f>CHOOSE(Table1[[#This Row],[Weekday]]+1,"Sunday","Monday","Tuesday","Wednesday","Thursday","Friday","Saturday")</f>
        <v>Saturday</v>
      </c>
      <c r="K802" s="9">
        <v>3</v>
      </c>
      <c r="L802" s="38" t="str">
        <f>IF(Table1[[#This Row],[Weather_code]]=1,"Clear",IF(Table1[[#This Row],[Weather_code]]=2,"Cloudy",IF(Table1[[#This Row],[Weather_code]]=3,"Light Rain",IF(Table1[[#This Row],[Weather_code]]=4,"Heavy Rain"))))</f>
        <v>Light Rain</v>
      </c>
      <c r="M802" s="9">
        <v>0.22</v>
      </c>
      <c r="N802" s="11" t="str">
        <f t="shared" si="37"/>
        <v>Winter</v>
      </c>
      <c r="O802" s="11" t="str">
        <f t="shared" si="38"/>
        <v>Weekday</v>
      </c>
      <c r="P802" s="9">
        <v>0.2273</v>
      </c>
      <c r="Q802" s="7">
        <f>Table1[[#This Row],[A_Temperature]]*41</f>
        <v>9.3193000000000001</v>
      </c>
      <c r="R802" s="9">
        <v>1</v>
      </c>
      <c r="S802" s="9">
        <v>0.1343</v>
      </c>
      <c r="T802" s="9">
        <v>8</v>
      </c>
      <c r="U802" s="9">
        <v>63</v>
      </c>
      <c r="V802" s="19">
        <v>71</v>
      </c>
    </row>
    <row r="803" spans="1:22" s="13" customFormat="1" ht="30" customHeight="1">
      <c r="A803" s="17" t="s">
        <v>202</v>
      </c>
      <c r="B803" s="8">
        <v>40665</v>
      </c>
      <c r="C803" s="8" t="str">
        <f t="shared" si="39"/>
        <v>Monday</v>
      </c>
      <c r="D803" s="9">
        <v>1</v>
      </c>
      <c r="E803" s="9">
        <v>0</v>
      </c>
      <c r="F803" s="9">
        <v>2</v>
      </c>
      <c r="G803" s="7">
        <v>17</v>
      </c>
      <c r="H803" s="9" t="b">
        <v>0</v>
      </c>
      <c r="I803" s="9">
        <v>6</v>
      </c>
      <c r="J803" s="38" t="str">
        <f>CHOOSE(Table1[[#This Row],[Weekday]]+1,"Sunday","Monday","Tuesday","Wednesday","Thursday","Friday","Saturday")</f>
        <v>Saturday</v>
      </c>
      <c r="K803" s="9">
        <v>2</v>
      </c>
      <c r="L803" s="38" t="str">
        <f>IF(Table1[[#This Row],[Weather_code]]=1,"Clear",IF(Table1[[#This Row],[Weather_code]]=2,"Cloudy",IF(Table1[[#This Row],[Weather_code]]=3,"Light Rain",IF(Table1[[#This Row],[Weather_code]]=4,"Heavy Rain"))))</f>
        <v>Cloudy</v>
      </c>
      <c r="M803" s="9">
        <v>0.24</v>
      </c>
      <c r="N803" s="11" t="str">
        <f t="shared" si="37"/>
        <v>Winter</v>
      </c>
      <c r="O803" s="11" t="str">
        <f t="shared" si="38"/>
        <v>Weekday</v>
      </c>
      <c r="P803" s="9">
        <v>0.21210000000000001</v>
      </c>
      <c r="Q803" s="7">
        <f>Table1[[#This Row],[A_Temperature]]*41</f>
        <v>8.6961000000000013</v>
      </c>
      <c r="R803" s="9">
        <v>1</v>
      </c>
      <c r="S803" s="9">
        <v>0.28360000000000002</v>
      </c>
      <c r="T803" s="9">
        <v>14</v>
      </c>
      <c r="U803" s="9">
        <v>64</v>
      </c>
      <c r="V803" s="19">
        <v>78</v>
      </c>
    </row>
    <row r="804" spans="1:22" s="13" customFormat="1" ht="30" customHeight="1">
      <c r="A804" s="17" t="s">
        <v>203</v>
      </c>
      <c r="B804" s="8">
        <v>40665</v>
      </c>
      <c r="C804" s="8" t="str">
        <f t="shared" si="39"/>
        <v>Monday</v>
      </c>
      <c r="D804" s="9">
        <v>1</v>
      </c>
      <c r="E804" s="9">
        <v>0</v>
      </c>
      <c r="F804" s="9">
        <v>2</v>
      </c>
      <c r="G804" s="7">
        <v>18</v>
      </c>
      <c r="H804" s="9" t="b">
        <v>0</v>
      </c>
      <c r="I804" s="9">
        <v>6</v>
      </c>
      <c r="J804" s="38" t="str">
        <f>CHOOSE(Table1[[#This Row],[Weekday]]+1,"Sunday","Monday","Tuesday","Wednesday","Thursday","Friday","Saturday")</f>
        <v>Saturday</v>
      </c>
      <c r="K804" s="9">
        <v>2</v>
      </c>
      <c r="L804" s="38" t="str">
        <f>IF(Table1[[#This Row],[Weather_code]]=1,"Clear",IF(Table1[[#This Row],[Weather_code]]=2,"Cloudy",IF(Table1[[#This Row],[Weather_code]]=3,"Light Rain",IF(Table1[[#This Row],[Weather_code]]=4,"Heavy Rain"))))</f>
        <v>Cloudy</v>
      </c>
      <c r="M804" s="9">
        <v>0.28000000000000003</v>
      </c>
      <c r="N804" s="11" t="str">
        <f t="shared" si="37"/>
        <v>Winter</v>
      </c>
      <c r="O804" s="11" t="str">
        <f t="shared" si="38"/>
        <v>Weekday</v>
      </c>
      <c r="P804" s="9">
        <v>0.2424</v>
      </c>
      <c r="Q804" s="7">
        <f>Table1[[#This Row],[A_Temperature]]*41</f>
        <v>9.9383999999999997</v>
      </c>
      <c r="R804" s="9">
        <v>0.93</v>
      </c>
      <c r="S804" s="9">
        <v>0.44779999999999998</v>
      </c>
      <c r="T804" s="9">
        <v>2</v>
      </c>
      <c r="U804" s="9">
        <v>81</v>
      </c>
      <c r="V804" s="19">
        <v>83</v>
      </c>
    </row>
    <row r="805" spans="1:22" s="13" customFormat="1" ht="30" customHeight="1">
      <c r="A805" s="17" t="s">
        <v>204</v>
      </c>
      <c r="B805" s="8">
        <v>40665</v>
      </c>
      <c r="C805" s="8" t="str">
        <f t="shared" si="39"/>
        <v>Monday</v>
      </c>
      <c r="D805" s="9">
        <v>1</v>
      </c>
      <c r="E805" s="9">
        <v>0</v>
      </c>
      <c r="F805" s="9">
        <v>2</v>
      </c>
      <c r="G805" s="7">
        <v>19</v>
      </c>
      <c r="H805" s="9" t="b">
        <v>0</v>
      </c>
      <c r="I805" s="9">
        <v>6</v>
      </c>
      <c r="J805" s="38" t="str">
        <f>CHOOSE(Table1[[#This Row],[Weekday]]+1,"Sunday","Monday","Tuesday","Wednesday","Thursday","Friday","Saturday")</f>
        <v>Saturday</v>
      </c>
      <c r="K805" s="9">
        <v>2</v>
      </c>
      <c r="L805" s="38" t="str">
        <f>IF(Table1[[#This Row],[Weather_code]]=1,"Clear",IF(Table1[[#This Row],[Weather_code]]=2,"Cloudy",IF(Table1[[#This Row],[Weather_code]]=3,"Light Rain",IF(Table1[[#This Row],[Weather_code]]=4,"Heavy Rain"))))</f>
        <v>Cloudy</v>
      </c>
      <c r="M805" s="9">
        <v>0.28000000000000003</v>
      </c>
      <c r="N805" s="11" t="str">
        <f t="shared" si="37"/>
        <v>Winter</v>
      </c>
      <c r="O805" s="11" t="str">
        <f t="shared" si="38"/>
        <v>Weekday</v>
      </c>
      <c r="P805" s="9">
        <v>0.2424</v>
      </c>
      <c r="Q805" s="7">
        <f>Table1[[#This Row],[A_Temperature]]*41</f>
        <v>9.9383999999999997</v>
      </c>
      <c r="R805" s="9">
        <v>0.93</v>
      </c>
      <c r="S805" s="9">
        <v>0.44779999999999998</v>
      </c>
      <c r="T805" s="9">
        <v>6</v>
      </c>
      <c r="U805" s="9">
        <v>78</v>
      </c>
      <c r="V805" s="19">
        <v>84</v>
      </c>
    </row>
    <row r="806" spans="1:22" s="13" customFormat="1" ht="30" customHeight="1">
      <c r="A806" s="17" t="s">
        <v>205</v>
      </c>
      <c r="B806" s="8">
        <v>40665</v>
      </c>
      <c r="C806" s="8" t="str">
        <f t="shared" si="39"/>
        <v>Monday</v>
      </c>
      <c r="D806" s="9">
        <v>1</v>
      </c>
      <c r="E806" s="9">
        <v>0</v>
      </c>
      <c r="F806" s="9">
        <v>2</v>
      </c>
      <c r="G806" s="7">
        <v>20</v>
      </c>
      <c r="H806" s="9" t="b">
        <v>0</v>
      </c>
      <c r="I806" s="9">
        <v>6</v>
      </c>
      <c r="J806" s="38" t="str">
        <f>CHOOSE(Table1[[#This Row],[Weekday]]+1,"Sunday","Monday","Tuesday","Wednesday","Thursday","Friday","Saturday")</f>
        <v>Saturday</v>
      </c>
      <c r="K806" s="9">
        <v>1</v>
      </c>
      <c r="L806" s="38" t="str">
        <f>IF(Table1[[#This Row],[Weather_code]]=1,"Clear",IF(Table1[[#This Row],[Weather_code]]=2,"Cloudy",IF(Table1[[#This Row],[Weather_code]]=3,"Light Rain",IF(Table1[[#This Row],[Weather_code]]=4,"Heavy Rain"))))</f>
        <v>Clear</v>
      </c>
      <c r="M806" s="9">
        <v>0.3</v>
      </c>
      <c r="N806" s="11" t="str">
        <f t="shared" si="37"/>
        <v>Winter</v>
      </c>
      <c r="O806" s="11" t="str">
        <f t="shared" si="38"/>
        <v>Weekday</v>
      </c>
      <c r="P806" s="9">
        <v>0.28789999999999999</v>
      </c>
      <c r="Q806" s="7">
        <f>Table1[[#This Row],[A_Temperature]]*41</f>
        <v>11.803899999999999</v>
      </c>
      <c r="R806" s="9">
        <v>0.87</v>
      </c>
      <c r="S806" s="9">
        <v>0.25369999999999998</v>
      </c>
      <c r="T806" s="9">
        <v>5</v>
      </c>
      <c r="U806" s="9">
        <v>64</v>
      </c>
      <c r="V806" s="19">
        <v>69</v>
      </c>
    </row>
    <row r="807" spans="1:22" s="13" customFormat="1" ht="30" customHeight="1">
      <c r="A807" s="17" t="s">
        <v>206</v>
      </c>
      <c r="B807" s="8">
        <v>40665</v>
      </c>
      <c r="C807" s="8" t="str">
        <f t="shared" si="39"/>
        <v>Monday</v>
      </c>
      <c r="D807" s="9">
        <v>1</v>
      </c>
      <c r="E807" s="9">
        <v>0</v>
      </c>
      <c r="F807" s="9">
        <v>2</v>
      </c>
      <c r="G807" s="7">
        <v>21</v>
      </c>
      <c r="H807" s="9" t="b">
        <v>0</v>
      </c>
      <c r="I807" s="9">
        <v>6</v>
      </c>
      <c r="J807" s="38" t="str">
        <f>CHOOSE(Table1[[#This Row],[Weekday]]+1,"Sunday","Monday","Tuesday","Wednesday","Thursday","Friday","Saturday")</f>
        <v>Saturday</v>
      </c>
      <c r="K807" s="9">
        <v>1</v>
      </c>
      <c r="L807" s="38" t="str">
        <f>IF(Table1[[#This Row],[Weather_code]]=1,"Clear",IF(Table1[[#This Row],[Weather_code]]=2,"Cloudy",IF(Table1[[#This Row],[Weather_code]]=3,"Light Rain",IF(Table1[[#This Row],[Weather_code]]=4,"Heavy Rain"))))</f>
        <v>Clear</v>
      </c>
      <c r="M807" s="9">
        <v>0.26</v>
      </c>
      <c r="N807" s="11" t="str">
        <f t="shared" ref="N807:N870" si="40">CHOOSE(D807,"Winter","Spring","Summer","Fall")</f>
        <v>Winter</v>
      </c>
      <c r="O807" s="11" t="str">
        <f t="shared" si="38"/>
        <v>Weekday</v>
      </c>
      <c r="P807" s="9">
        <v>0.2576</v>
      </c>
      <c r="Q807" s="7">
        <f>Table1[[#This Row],[A_Temperature]]*41</f>
        <v>10.5616</v>
      </c>
      <c r="R807" s="9">
        <v>1</v>
      </c>
      <c r="S807" s="9">
        <v>0.19400000000000001</v>
      </c>
      <c r="T807" s="9">
        <v>3</v>
      </c>
      <c r="U807" s="9">
        <v>53</v>
      </c>
      <c r="V807" s="19">
        <v>56</v>
      </c>
    </row>
    <row r="808" spans="1:22" s="13" customFormat="1" ht="30" customHeight="1">
      <c r="A808" s="17" t="s">
        <v>207</v>
      </c>
      <c r="B808" s="8">
        <v>40665</v>
      </c>
      <c r="C808" s="8" t="str">
        <f t="shared" si="39"/>
        <v>Monday</v>
      </c>
      <c r="D808" s="9">
        <v>1</v>
      </c>
      <c r="E808" s="9">
        <v>0</v>
      </c>
      <c r="F808" s="9">
        <v>2</v>
      </c>
      <c r="G808" s="7">
        <v>22</v>
      </c>
      <c r="H808" s="9" t="b">
        <v>0</v>
      </c>
      <c r="I808" s="9">
        <v>6</v>
      </c>
      <c r="J808" s="38" t="str">
        <f>CHOOSE(Table1[[#This Row],[Weekday]]+1,"Sunday","Monday","Tuesday","Wednesday","Thursday","Friday","Saturday")</f>
        <v>Saturday</v>
      </c>
      <c r="K808" s="9">
        <v>1</v>
      </c>
      <c r="L808" s="38" t="str">
        <f>IF(Table1[[#This Row],[Weather_code]]=1,"Clear",IF(Table1[[#This Row],[Weather_code]]=2,"Cloudy",IF(Table1[[#This Row],[Weather_code]]=3,"Light Rain",IF(Table1[[#This Row],[Weather_code]]=4,"Heavy Rain"))))</f>
        <v>Clear</v>
      </c>
      <c r="M808" s="9">
        <v>0.26</v>
      </c>
      <c r="N808" s="11" t="str">
        <f t="shared" si="40"/>
        <v>Winter</v>
      </c>
      <c r="O808" s="11" t="str">
        <f t="shared" si="38"/>
        <v>Weekday</v>
      </c>
      <c r="P808" s="9">
        <v>0.2727</v>
      </c>
      <c r="Q808" s="7">
        <f>Table1[[#This Row],[A_Temperature]]*41</f>
        <v>11.1807</v>
      </c>
      <c r="R808" s="9">
        <v>0.93</v>
      </c>
      <c r="S808" s="9">
        <v>0.1343</v>
      </c>
      <c r="T808" s="9">
        <v>2</v>
      </c>
      <c r="U808" s="9">
        <v>43</v>
      </c>
      <c r="V808" s="19">
        <v>45</v>
      </c>
    </row>
    <row r="809" spans="1:22" s="13" customFormat="1" ht="30" customHeight="1">
      <c r="A809" s="17" t="s">
        <v>208</v>
      </c>
      <c r="B809" s="8">
        <v>40665</v>
      </c>
      <c r="C809" s="8" t="str">
        <f t="shared" si="39"/>
        <v>Monday</v>
      </c>
      <c r="D809" s="9">
        <v>1</v>
      </c>
      <c r="E809" s="9">
        <v>0</v>
      </c>
      <c r="F809" s="9">
        <v>2</v>
      </c>
      <c r="G809" s="7">
        <v>23</v>
      </c>
      <c r="H809" s="9" t="b">
        <v>0</v>
      </c>
      <c r="I809" s="9">
        <v>6</v>
      </c>
      <c r="J809" s="38" t="str">
        <f>CHOOSE(Table1[[#This Row],[Weekday]]+1,"Sunday","Monday","Tuesday","Wednesday","Thursday","Friday","Saturday")</f>
        <v>Saturday</v>
      </c>
      <c r="K809" s="9">
        <v>1</v>
      </c>
      <c r="L809" s="38" t="str">
        <f>IF(Table1[[#This Row],[Weather_code]]=1,"Clear",IF(Table1[[#This Row],[Weather_code]]=2,"Cloudy",IF(Table1[[#This Row],[Weather_code]]=3,"Light Rain",IF(Table1[[#This Row],[Weather_code]]=4,"Heavy Rain"))))</f>
        <v>Clear</v>
      </c>
      <c r="M809" s="9">
        <v>0.26</v>
      </c>
      <c r="N809" s="11" t="str">
        <f t="shared" si="40"/>
        <v>Winter</v>
      </c>
      <c r="O809" s="11" t="str">
        <f t="shared" si="38"/>
        <v>Weekday</v>
      </c>
      <c r="P809" s="9">
        <v>0.2576</v>
      </c>
      <c r="Q809" s="7">
        <f>Table1[[#This Row],[A_Temperature]]*41</f>
        <v>10.5616</v>
      </c>
      <c r="R809" s="9">
        <v>0.93</v>
      </c>
      <c r="S809" s="9">
        <v>0.22389999999999999</v>
      </c>
      <c r="T809" s="9">
        <v>7</v>
      </c>
      <c r="U809" s="9">
        <v>52</v>
      </c>
      <c r="V809" s="19">
        <v>59</v>
      </c>
    </row>
    <row r="810" spans="1:22" s="13" customFormat="1" ht="30" customHeight="1">
      <c r="A810" s="17" t="s">
        <v>209</v>
      </c>
      <c r="B810" s="8">
        <v>40696</v>
      </c>
      <c r="C810" s="8" t="str">
        <f t="shared" si="39"/>
        <v>Thursday</v>
      </c>
      <c r="D810" s="9">
        <v>1</v>
      </c>
      <c r="E810" s="9">
        <v>0</v>
      </c>
      <c r="F810" s="9">
        <v>2</v>
      </c>
      <c r="G810" s="7">
        <v>0</v>
      </c>
      <c r="H810" s="9" t="b">
        <v>0</v>
      </c>
      <c r="I810" s="9">
        <v>0</v>
      </c>
      <c r="J810" s="38" t="str">
        <f>CHOOSE(Table1[[#This Row],[Weekday]]+1,"Sunday","Monday","Tuesday","Wednesday","Thursday","Friday","Saturday")</f>
        <v>Sunday</v>
      </c>
      <c r="K810" s="9">
        <v>1</v>
      </c>
      <c r="L810" s="38" t="str">
        <f>IF(Table1[[#This Row],[Weather_code]]=1,"Clear",IF(Table1[[#This Row],[Weather_code]]=2,"Cloudy",IF(Table1[[#This Row],[Weather_code]]=3,"Light Rain",IF(Table1[[#This Row],[Weather_code]]=4,"Heavy Rain"))))</f>
        <v>Clear</v>
      </c>
      <c r="M810" s="9">
        <v>0.26</v>
      </c>
      <c r="N810" s="11" t="str">
        <f t="shared" si="40"/>
        <v>Winter</v>
      </c>
      <c r="O810" s="11" t="str">
        <f t="shared" si="38"/>
        <v>Weekday</v>
      </c>
      <c r="P810" s="9">
        <v>0.2576</v>
      </c>
      <c r="Q810" s="7">
        <f>Table1[[#This Row],[A_Temperature]]*41</f>
        <v>10.5616</v>
      </c>
      <c r="R810" s="9">
        <v>0.7</v>
      </c>
      <c r="S810" s="9">
        <v>0.19400000000000001</v>
      </c>
      <c r="T810" s="9">
        <v>2</v>
      </c>
      <c r="U810" s="9">
        <v>37</v>
      </c>
      <c r="V810" s="19">
        <v>39</v>
      </c>
    </row>
    <row r="811" spans="1:22" s="13" customFormat="1" ht="30" customHeight="1">
      <c r="A811" s="17" t="s">
        <v>210</v>
      </c>
      <c r="B811" s="8">
        <v>40696</v>
      </c>
      <c r="C811" s="8" t="str">
        <f t="shared" si="39"/>
        <v>Thursday</v>
      </c>
      <c r="D811" s="9">
        <v>1</v>
      </c>
      <c r="E811" s="9">
        <v>0</v>
      </c>
      <c r="F811" s="9">
        <v>2</v>
      </c>
      <c r="G811" s="7">
        <v>1</v>
      </c>
      <c r="H811" s="9" t="b">
        <v>0</v>
      </c>
      <c r="I811" s="9">
        <v>0</v>
      </c>
      <c r="J811" s="38" t="str">
        <f>CHOOSE(Table1[[#This Row],[Weekday]]+1,"Sunday","Monday","Tuesday","Wednesday","Thursday","Friday","Saturday")</f>
        <v>Sunday</v>
      </c>
      <c r="K811" s="9">
        <v>1</v>
      </c>
      <c r="L811" s="38" t="str">
        <f>IF(Table1[[#This Row],[Weather_code]]=1,"Clear",IF(Table1[[#This Row],[Weather_code]]=2,"Cloudy",IF(Table1[[#This Row],[Weather_code]]=3,"Light Rain",IF(Table1[[#This Row],[Weather_code]]=4,"Heavy Rain"))))</f>
        <v>Clear</v>
      </c>
      <c r="M811" s="9">
        <v>0.26</v>
      </c>
      <c r="N811" s="11" t="str">
        <f t="shared" si="40"/>
        <v>Winter</v>
      </c>
      <c r="O811" s="11" t="str">
        <f t="shared" si="38"/>
        <v>Weekday</v>
      </c>
      <c r="P811" s="9">
        <v>0.2273</v>
      </c>
      <c r="Q811" s="7">
        <f>Table1[[#This Row],[A_Temperature]]*41</f>
        <v>9.3193000000000001</v>
      </c>
      <c r="R811" s="9">
        <v>0.65</v>
      </c>
      <c r="S811" s="9">
        <v>0.41789999999999999</v>
      </c>
      <c r="T811" s="9">
        <v>4</v>
      </c>
      <c r="U811" s="9">
        <v>40</v>
      </c>
      <c r="V811" s="19">
        <v>44</v>
      </c>
    </row>
    <row r="812" spans="1:22" s="13" customFormat="1" ht="30" customHeight="1">
      <c r="A812" s="17" t="s">
        <v>211</v>
      </c>
      <c r="B812" s="8">
        <v>40696</v>
      </c>
      <c r="C812" s="8" t="str">
        <f t="shared" si="39"/>
        <v>Thursday</v>
      </c>
      <c r="D812" s="9">
        <v>1</v>
      </c>
      <c r="E812" s="9">
        <v>0</v>
      </c>
      <c r="F812" s="9">
        <v>2</v>
      </c>
      <c r="G812" s="7">
        <v>2</v>
      </c>
      <c r="H812" s="9" t="b">
        <v>0</v>
      </c>
      <c r="I812" s="9">
        <v>0</v>
      </c>
      <c r="J812" s="38" t="str">
        <f>CHOOSE(Table1[[#This Row],[Weekday]]+1,"Sunday","Monday","Tuesday","Wednesday","Thursday","Friday","Saturday")</f>
        <v>Sunday</v>
      </c>
      <c r="K812" s="9">
        <v>1</v>
      </c>
      <c r="L812" s="38" t="str">
        <f>IF(Table1[[#This Row],[Weather_code]]=1,"Clear",IF(Table1[[#This Row],[Weather_code]]=2,"Cloudy",IF(Table1[[#This Row],[Weather_code]]=3,"Light Rain",IF(Table1[[#This Row],[Weather_code]]=4,"Heavy Rain"))))</f>
        <v>Clear</v>
      </c>
      <c r="M812" s="9">
        <v>0.26</v>
      </c>
      <c r="N812" s="11" t="str">
        <f t="shared" si="40"/>
        <v>Winter</v>
      </c>
      <c r="O812" s="11" t="str">
        <f t="shared" si="38"/>
        <v>Weekday</v>
      </c>
      <c r="P812" s="9">
        <v>0.2273</v>
      </c>
      <c r="Q812" s="7">
        <f>Table1[[#This Row],[A_Temperature]]*41</f>
        <v>9.3193000000000001</v>
      </c>
      <c r="R812" s="9">
        <v>0.6</v>
      </c>
      <c r="S812" s="9">
        <v>0.32840000000000003</v>
      </c>
      <c r="T812" s="9">
        <v>0</v>
      </c>
      <c r="U812" s="9">
        <v>20</v>
      </c>
      <c r="V812" s="19">
        <v>20</v>
      </c>
    </row>
    <row r="813" spans="1:22" s="13" customFormat="1" ht="30" customHeight="1">
      <c r="A813" s="17" t="s">
        <v>212</v>
      </c>
      <c r="B813" s="8">
        <v>40696</v>
      </c>
      <c r="C813" s="8" t="str">
        <f t="shared" si="39"/>
        <v>Thursday</v>
      </c>
      <c r="D813" s="9">
        <v>1</v>
      </c>
      <c r="E813" s="9">
        <v>0</v>
      </c>
      <c r="F813" s="9">
        <v>2</v>
      </c>
      <c r="G813" s="7">
        <v>3</v>
      </c>
      <c r="H813" s="9" t="b">
        <v>0</v>
      </c>
      <c r="I813" s="9">
        <v>0</v>
      </c>
      <c r="J813" s="38" t="str">
        <f>CHOOSE(Table1[[#This Row],[Weekday]]+1,"Sunday","Monday","Tuesday","Wednesday","Thursday","Friday","Saturday")</f>
        <v>Sunday</v>
      </c>
      <c r="K813" s="9">
        <v>1</v>
      </c>
      <c r="L813" s="38" t="str">
        <f>IF(Table1[[#This Row],[Weather_code]]=1,"Clear",IF(Table1[[#This Row],[Weather_code]]=2,"Cloudy",IF(Table1[[#This Row],[Weather_code]]=3,"Light Rain",IF(Table1[[#This Row],[Weather_code]]=4,"Heavy Rain"))))</f>
        <v>Clear</v>
      </c>
      <c r="M813" s="9">
        <v>0.26</v>
      </c>
      <c r="N813" s="11" t="str">
        <f t="shared" si="40"/>
        <v>Winter</v>
      </c>
      <c r="O813" s="11" t="str">
        <f t="shared" si="38"/>
        <v>Weekday</v>
      </c>
      <c r="P813" s="9">
        <v>0.28789999999999999</v>
      </c>
      <c r="Q813" s="7">
        <f>Table1[[#This Row],[A_Temperature]]*41</f>
        <v>11.803899999999999</v>
      </c>
      <c r="R813" s="9">
        <v>0.6</v>
      </c>
      <c r="S813" s="9">
        <v>8.9599999999999999E-2</v>
      </c>
      <c r="T813" s="9">
        <v>3</v>
      </c>
      <c r="U813" s="9">
        <v>10</v>
      </c>
      <c r="V813" s="19">
        <v>13</v>
      </c>
    </row>
    <row r="814" spans="1:22" s="13" customFormat="1" ht="30" customHeight="1">
      <c r="A814" s="17" t="s">
        <v>213</v>
      </c>
      <c r="B814" s="8">
        <v>40696</v>
      </c>
      <c r="C814" s="8" t="str">
        <f t="shared" si="39"/>
        <v>Thursday</v>
      </c>
      <c r="D814" s="9">
        <v>1</v>
      </c>
      <c r="E814" s="9">
        <v>0</v>
      </c>
      <c r="F814" s="9">
        <v>2</v>
      </c>
      <c r="G814" s="7">
        <v>4</v>
      </c>
      <c r="H814" s="9" t="b">
        <v>0</v>
      </c>
      <c r="I814" s="9">
        <v>0</v>
      </c>
      <c r="J814" s="38" t="str">
        <f>CHOOSE(Table1[[#This Row],[Weekday]]+1,"Sunday","Monday","Tuesday","Wednesday","Thursday","Friday","Saturday")</f>
        <v>Sunday</v>
      </c>
      <c r="K814" s="9">
        <v>1</v>
      </c>
      <c r="L814" s="38" t="str">
        <f>IF(Table1[[#This Row],[Weather_code]]=1,"Clear",IF(Table1[[#This Row],[Weather_code]]=2,"Cloudy",IF(Table1[[#This Row],[Weather_code]]=3,"Light Rain",IF(Table1[[#This Row],[Weather_code]]=4,"Heavy Rain"))))</f>
        <v>Clear</v>
      </c>
      <c r="M814" s="9">
        <v>0.26</v>
      </c>
      <c r="N814" s="11" t="str">
        <f t="shared" si="40"/>
        <v>Winter</v>
      </c>
      <c r="O814" s="11" t="str">
        <f t="shared" si="38"/>
        <v>Weekday</v>
      </c>
      <c r="P814" s="9">
        <v>0.2273</v>
      </c>
      <c r="Q814" s="7">
        <f>Table1[[#This Row],[A_Temperature]]*41</f>
        <v>9.3193000000000001</v>
      </c>
      <c r="R814" s="9">
        <v>0.6</v>
      </c>
      <c r="S814" s="9">
        <v>0.35820000000000002</v>
      </c>
      <c r="T814" s="9">
        <v>0</v>
      </c>
      <c r="U814" s="9">
        <v>2</v>
      </c>
      <c r="V814" s="19">
        <v>2</v>
      </c>
    </row>
    <row r="815" spans="1:22" s="13" customFormat="1" ht="30" customHeight="1">
      <c r="A815" s="17" t="s">
        <v>214</v>
      </c>
      <c r="B815" s="8">
        <v>40696</v>
      </c>
      <c r="C815" s="8" t="str">
        <f t="shared" si="39"/>
        <v>Thursday</v>
      </c>
      <c r="D815" s="9">
        <v>1</v>
      </c>
      <c r="E815" s="9">
        <v>0</v>
      </c>
      <c r="F815" s="9">
        <v>2</v>
      </c>
      <c r="G815" s="7">
        <v>5</v>
      </c>
      <c r="H815" s="9" t="b">
        <v>0</v>
      </c>
      <c r="I815" s="9">
        <v>0</v>
      </c>
      <c r="J815" s="38" t="str">
        <f>CHOOSE(Table1[[#This Row],[Weekday]]+1,"Sunday","Monday","Tuesday","Wednesday","Thursday","Friday","Saturday")</f>
        <v>Sunday</v>
      </c>
      <c r="K815" s="9">
        <v>1</v>
      </c>
      <c r="L815" s="38" t="str">
        <f>IF(Table1[[#This Row],[Weather_code]]=1,"Clear",IF(Table1[[#This Row],[Weather_code]]=2,"Cloudy",IF(Table1[[#This Row],[Weather_code]]=3,"Light Rain",IF(Table1[[#This Row],[Weather_code]]=4,"Heavy Rain"))))</f>
        <v>Clear</v>
      </c>
      <c r="M815" s="9">
        <v>0.26</v>
      </c>
      <c r="N815" s="11" t="str">
        <f t="shared" si="40"/>
        <v>Winter</v>
      </c>
      <c r="O815" s="11" t="str">
        <f t="shared" si="38"/>
        <v>Weekday</v>
      </c>
      <c r="P815" s="9">
        <v>0.2576</v>
      </c>
      <c r="Q815" s="7">
        <f>Table1[[#This Row],[A_Temperature]]*41</f>
        <v>10.5616</v>
      </c>
      <c r="R815" s="9">
        <v>0.6</v>
      </c>
      <c r="S815" s="9">
        <v>0.22389999999999999</v>
      </c>
      <c r="T815" s="9">
        <v>0</v>
      </c>
      <c r="U815" s="9">
        <v>1</v>
      </c>
      <c r="V815" s="19">
        <v>1</v>
      </c>
    </row>
    <row r="816" spans="1:22" s="13" customFormat="1" ht="30" customHeight="1">
      <c r="A816" s="17" t="s">
        <v>215</v>
      </c>
      <c r="B816" s="8">
        <v>40696</v>
      </c>
      <c r="C816" s="8" t="str">
        <f t="shared" si="39"/>
        <v>Thursday</v>
      </c>
      <c r="D816" s="9">
        <v>1</v>
      </c>
      <c r="E816" s="9">
        <v>0</v>
      </c>
      <c r="F816" s="9">
        <v>2</v>
      </c>
      <c r="G816" s="7">
        <v>6</v>
      </c>
      <c r="H816" s="9" t="b">
        <v>0</v>
      </c>
      <c r="I816" s="9">
        <v>0</v>
      </c>
      <c r="J816" s="38" t="str">
        <f>CHOOSE(Table1[[#This Row],[Weekday]]+1,"Sunday","Monday","Tuesday","Wednesday","Thursday","Friday","Saturday")</f>
        <v>Sunday</v>
      </c>
      <c r="K816" s="9">
        <v>1</v>
      </c>
      <c r="L816" s="38" t="str">
        <f>IF(Table1[[#This Row],[Weather_code]]=1,"Clear",IF(Table1[[#This Row],[Weather_code]]=2,"Cloudy",IF(Table1[[#This Row],[Weather_code]]=3,"Light Rain",IF(Table1[[#This Row],[Weather_code]]=4,"Heavy Rain"))))</f>
        <v>Clear</v>
      </c>
      <c r="M816" s="9">
        <v>0.26</v>
      </c>
      <c r="N816" s="11" t="str">
        <f t="shared" si="40"/>
        <v>Winter</v>
      </c>
      <c r="O816" s="11" t="str">
        <f t="shared" si="38"/>
        <v>Weekday</v>
      </c>
      <c r="P816" s="9">
        <v>0.2576</v>
      </c>
      <c r="Q816" s="7">
        <f>Table1[[#This Row],[A_Temperature]]*41</f>
        <v>10.5616</v>
      </c>
      <c r="R816" s="9">
        <v>0.6</v>
      </c>
      <c r="S816" s="9">
        <v>0.22389999999999999</v>
      </c>
      <c r="T816" s="9">
        <v>0</v>
      </c>
      <c r="U816" s="9">
        <v>1</v>
      </c>
      <c r="V816" s="19">
        <v>1</v>
      </c>
    </row>
    <row r="817" spans="1:22" s="13" customFormat="1" ht="30" customHeight="1">
      <c r="A817" s="17" t="s">
        <v>216</v>
      </c>
      <c r="B817" s="8">
        <v>40696</v>
      </c>
      <c r="C817" s="8" t="str">
        <f t="shared" si="39"/>
        <v>Thursday</v>
      </c>
      <c r="D817" s="9">
        <v>1</v>
      </c>
      <c r="E817" s="9">
        <v>0</v>
      </c>
      <c r="F817" s="9">
        <v>2</v>
      </c>
      <c r="G817" s="7">
        <v>7</v>
      </c>
      <c r="H817" s="9" t="b">
        <v>0</v>
      </c>
      <c r="I817" s="9">
        <v>0</v>
      </c>
      <c r="J817" s="38" t="str">
        <f>CHOOSE(Table1[[#This Row],[Weekday]]+1,"Sunday","Monday","Tuesday","Wednesday","Thursday","Friday","Saturday")</f>
        <v>Sunday</v>
      </c>
      <c r="K817" s="9">
        <v>1</v>
      </c>
      <c r="L817" s="38" t="str">
        <f>IF(Table1[[#This Row],[Weather_code]]=1,"Clear",IF(Table1[[#This Row],[Weather_code]]=2,"Cloudy",IF(Table1[[#This Row],[Weather_code]]=3,"Light Rain",IF(Table1[[#This Row],[Weather_code]]=4,"Heavy Rain"))))</f>
        <v>Clear</v>
      </c>
      <c r="M817" s="9">
        <v>0.24</v>
      </c>
      <c r="N817" s="11" t="str">
        <f t="shared" si="40"/>
        <v>Winter</v>
      </c>
      <c r="O817" s="11" t="str">
        <f t="shared" si="38"/>
        <v>Weekday</v>
      </c>
      <c r="P817" s="9">
        <v>0.2424</v>
      </c>
      <c r="Q817" s="7">
        <f>Table1[[#This Row],[A_Temperature]]*41</f>
        <v>9.9383999999999997</v>
      </c>
      <c r="R817" s="9">
        <v>0.65</v>
      </c>
      <c r="S817" s="9">
        <v>0.16420000000000001</v>
      </c>
      <c r="T817" s="9">
        <v>0</v>
      </c>
      <c r="U817" s="9">
        <v>8</v>
      </c>
      <c r="V817" s="19">
        <v>8</v>
      </c>
    </row>
    <row r="818" spans="1:22" s="13" customFormat="1" ht="30" customHeight="1">
      <c r="A818" s="17" t="s">
        <v>217</v>
      </c>
      <c r="B818" s="8">
        <v>40696</v>
      </c>
      <c r="C818" s="8" t="str">
        <f t="shared" si="39"/>
        <v>Thursday</v>
      </c>
      <c r="D818" s="9">
        <v>1</v>
      </c>
      <c r="E818" s="9">
        <v>0</v>
      </c>
      <c r="F818" s="9">
        <v>2</v>
      </c>
      <c r="G818" s="7">
        <v>8</v>
      </c>
      <c r="H818" s="9" t="b">
        <v>0</v>
      </c>
      <c r="I818" s="9">
        <v>0</v>
      </c>
      <c r="J818" s="38" t="str">
        <f>CHOOSE(Table1[[#This Row],[Weekday]]+1,"Sunday","Monday","Tuesday","Wednesday","Thursday","Friday","Saturday")</f>
        <v>Sunday</v>
      </c>
      <c r="K818" s="9">
        <v>1</v>
      </c>
      <c r="L818" s="38" t="str">
        <f>IF(Table1[[#This Row],[Weather_code]]=1,"Clear",IF(Table1[[#This Row],[Weather_code]]=2,"Cloudy",IF(Table1[[#This Row],[Weather_code]]=3,"Light Rain",IF(Table1[[#This Row],[Weather_code]]=4,"Heavy Rain"))))</f>
        <v>Clear</v>
      </c>
      <c r="M818" s="9">
        <v>0.24</v>
      </c>
      <c r="N818" s="11" t="str">
        <f t="shared" si="40"/>
        <v>Winter</v>
      </c>
      <c r="O818" s="11" t="str">
        <f t="shared" si="38"/>
        <v>Weekday</v>
      </c>
      <c r="P818" s="9">
        <v>0.2576</v>
      </c>
      <c r="Q818" s="7">
        <f>Table1[[#This Row],[A_Temperature]]*41</f>
        <v>10.5616</v>
      </c>
      <c r="R818" s="9">
        <v>0.65</v>
      </c>
      <c r="S818" s="9">
        <v>0.1045</v>
      </c>
      <c r="T818" s="9">
        <v>2</v>
      </c>
      <c r="U818" s="9">
        <v>21</v>
      </c>
      <c r="V818" s="19">
        <v>23</v>
      </c>
    </row>
    <row r="819" spans="1:22" s="13" customFormat="1" ht="30" customHeight="1">
      <c r="A819" s="17" t="s">
        <v>218</v>
      </c>
      <c r="B819" s="8">
        <v>40696</v>
      </c>
      <c r="C819" s="8" t="str">
        <f t="shared" si="39"/>
        <v>Thursday</v>
      </c>
      <c r="D819" s="9">
        <v>1</v>
      </c>
      <c r="E819" s="9">
        <v>0</v>
      </c>
      <c r="F819" s="9">
        <v>2</v>
      </c>
      <c r="G819" s="7">
        <v>9</v>
      </c>
      <c r="H819" s="9" t="b">
        <v>0</v>
      </c>
      <c r="I819" s="9">
        <v>0</v>
      </c>
      <c r="J819" s="38" t="str">
        <f>CHOOSE(Table1[[#This Row],[Weekday]]+1,"Sunday","Monday","Tuesday","Wednesday","Thursday","Friday","Saturday")</f>
        <v>Sunday</v>
      </c>
      <c r="K819" s="9">
        <v>1</v>
      </c>
      <c r="L819" s="38" t="str">
        <f>IF(Table1[[#This Row],[Weather_code]]=1,"Clear",IF(Table1[[#This Row],[Weather_code]]=2,"Cloudy",IF(Table1[[#This Row],[Weather_code]]=3,"Light Rain",IF(Table1[[#This Row],[Weather_code]]=4,"Heavy Rain"))))</f>
        <v>Clear</v>
      </c>
      <c r="M819" s="9">
        <v>0.28000000000000003</v>
      </c>
      <c r="N819" s="11" t="str">
        <f t="shared" si="40"/>
        <v>Winter</v>
      </c>
      <c r="O819" s="11" t="str">
        <f t="shared" si="38"/>
        <v>Weekday</v>
      </c>
      <c r="P819" s="9">
        <v>0.28789999999999999</v>
      </c>
      <c r="Q819" s="7">
        <f>Table1[[#This Row],[A_Temperature]]*41</f>
        <v>11.803899999999999</v>
      </c>
      <c r="R819" s="9">
        <v>0.56000000000000005</v>
      </c>
      <c r="S819" s="9">
        <v>0.1045</v>
      </c>
      <c r="T819" s="9">
        <v>7</v>
      </c>
      <c r="U819" s="9">
        <v>38</v>
      </c>
      <c r="V819" s="19">
        <v>45</v>
      </c>
    </row>
    <row r="820" spans="1:22" s="13" customFormat="1" ht="30" customHeight="1">
      <c r="A820" s="17" t="s">
        <v>219</v>
      </c>
      <c r="B820" s="8">
        <v>40696</v>
      </c>
      <c r="C820" s="8" t="str">
        <f t="shared" si="39"/>
        <v>Thursday</v>
      </c>
      <c r="D820" s="9">
        <v>1</v>
      </c>
      <c r="E820" s="9">
        <v>0</v>
      </c>
      <c r="F820" s="9">
        <v>2</v>
      </c>
      <c r="G820" s="7">
        <v>10</v>
      </c>
      <c r="H820" s="9" t="b">
        <v>0</v>
      </c>
      <c r="I820" s="9">
        <v>0</v>
      </c>
      <c r="J820" s="38" t="str">
        <f>CHOOSE(Table1[[#This Row],[Weekday]]+1,"Sunday","Monday","Tuesday","Wednesday","Thursday","Friday","Saturday")</f>
        <v>Sunday</v>
      </c>
      <c r="K820" s="9">
        <v>1</v>
      </c>
      <c r="L820" s="38" t="str">
        <f>IF(Table1[[#This Row],[Weather_code]]=1,"Clear",IF(Table1[[#This Row],[Weather_code]]=2,"Cloudy",IF(Table1[[#This Row],[Weather_code]]=3,"Light Rain",IF(Table1[[#This Row],[Weather_code]]=4,"Heavy Rain"))))</f>
        <v>Clear</v>
      </c>
      <c r="M820" s="9">
        <v>0.3</v>
      </c>
      <c r="N820" s="11" t="str">
        <f t="shared" si="40"/>
        <v>Winter</v>
      </c>
      <c r="O820" s="11" t="str">
        <f t="shared" si="38"/>
        <v>Weekday</v>
      </c>
      <c r="P820" s="9">
        <v>0.28789999999999999</v>
      </c>
      <c r="Q820" s="7">
        <f>Table1[[#This Row],[A_Temperature]]*41</f>
        <v>11.803899999999999</v>
      </c>
      <c r="R820" s="9">
        <v>0.52</v>
      </c>
      <c r="S820" s="9">
        <v>0.25369999999999998</v>
      </c>
      <c r="T820" s="9">
        <v>15</v>
      </c>
      <c r="U820" s="9">
        <v>74</v>
      </c>
      <c r="V820" s="19">
        <v>89</v>
      </c>
    </row>
    <row r="821" spans="1:22" s="13" customFormat="1" ht="30" customHeight="1">
      <c r="A821" s="17" t="s">
        <v>220</v>
      </c>
      <c r="B821" s="8">
        <v>40696</v>
      </c>
      <c r="C821" s="8" t="str">
        <f t="shared" si="39"/>
        <v>Thursday</v>
      </c>
      <c r="D821" s="9">
        <v>1</v>
      </c>
      <c r="E821" s="9">
        <v>0</v>
      </c>
      <c r="F821" s="9">
        <v>2</v>
      </c>
      <c r="G821" s="7">
        <v>11</v>
      </c>
      <c r="H821" s="9" t="b">
        <v>0</v>
      </c>
      <c r="I821" s="9">
        <v>0</v>
      </c>
      <c r="J821" s="38" t="str">
        <f>CHOOSE(Table1[[#This Row],[Weekday]]+1,"Sunday","Monday","Tuesday","Wednesday","Thursday","Friday","Saturday")</f>
        <v>Sunday</v>
      </c>
      <c r="K821" s="9">
        <v>1</v>
      </c>
      <c r="L821" s="38" t="str">
        <f>IF(Table1[[#This Row],[Weather_code]]=1,"Clear",IF(Table1[[#This Row],[Weather_code]]=2,"Cloudy",IF(Table1[[#This Row],[Weather_code]]=3,"Light Rain",IF(Table1[[#This Row],[Weather_code]]=4,"Heavy Rain"))))</f>
        <v>Clear</v>
      </c>
      <c r="M821" s="9">
        <v>0.32</v>
      </c>
      <c r="N821" s="11" t="str">
        <f t="shared" si="40"/>
        <v>Winter</v>
      </c>
      <c r="O821" s="11" t="str">
        <f t="shared" si="38"/>
        <v>Weekday</v>
      </c>
      <c r="P821" s="9">
        <v>0.30299999999999999</v>
      </c>
      <c r="Q821" s="7">
        <f>Table1[[#This Row],[A_Temperature]]*41</f>
        <v>12.423</v>
      </c>
      <c r="R821" s="9">
        <v>0.49</v>
      </c>
      <c r="S821" s="9">
        <v>0.25369999999999998</v>
      </c>
      <c r="T821" s="9">
        <v>28</v>
      </c>
      <c r="U821" s="9">
        <v>89</v>
      </c>
      <c r="V821" s="19">
        <v>117</v>
      </c>
    </row>
    <row r="822" spans="1:22" s="13" customFormat="1" ht="30" customHeight="1">
      <c r="A822" s="17" t="s">
        <v>221</v>
      </c>
      <c r="B822" s="8">
        <v>40696</v>
      </c>
      <c r="C822" s="8" t="str">
        <f t="shared" si="39"/>
        <v>Thursday</v>
      </c>
      <c r="D822" s="9">
        <v>1</v>
      </c>
      <c r="E822" s="9">
        <v>0</v>
      </c>
      <c r="F822" s="9">
        <v>2</v>
      </c>
      <c r="G822" s="7">
        <v>12</v>
      </c>
      <c r="H822" s="9" t="b">
        <v>0</v>
      </c>
      <c r="I822" s="9">
        <v>0</v>
      </c>
      <c r="J822" s="38" t="str">
        <f>CHOOSE(Table1[[#This Row],[Weekday]]+1,"Sunday","Monday","Tuesday","Wednesday","Thursday","Friday","Saturday")</f>
        <v>Sunday</v>
      </c>
      <c r="K822" s="9">
        <v>1</v>
      </c>
      <c r="L822" s="38" t="str">
        <f>IF(Table1[[#This Row],[Weather_code]]=1,"Clear",IF(Table1[[#This Row],[Weather_code]]=2,"Cloudy",IF(Table1[[#This Row],[Weather_code]]=3,"Light Rain",IF(Table1[[#This Row],[Weather_code]]=4,"Heavy Rain"))))</f>
        <v>Clear</v>
      </c>
      <c r="M822" s="9">
        <v>0.34</v>
      </c>
      <c r="N822" s="11" t="str">
        <f t="shared" si="40"/>
        <v>Winter</v>
      </c>
      <c r="O822" s="11" t="str">
        <f t="shared" si="38"/>
        <v>Weekday</v>
      </c>
      <c r="P822" s="9">
        <v>0.33329999999999999</v>
      </c>
      <c r="Q822" s="7">
        <f>Table1[[#This Row],[A_Temperature]]*41</f>
        <v>13.6653</v>
      </c>
      <c r="R822" s="9">
        <v>0.46</v>
      </c>
      <c r="S822" s="9">
        <v>0</v>
      </c>
      <c r="T822" s="9">
        <v>48</v>
      </c>
      <c r="U822" s="9">
        <v>126</v>
      </c>
      <c r="V822" s="19">
        <v>174</v>
      </c>
    </row>
    <row r="823" spans="1:22" s="13" customFormat="1" ht="30" customHeight="1">
      <c r="A823" s="17" t="s">
        <v>222</v>
      </c>
      <c r="B823" s="8">
        <v>40696</v>
      </c>
      <c r="C823" s="8" t="str">
        <f t="shared" si="39"/>
        <v>Thursday</v>
      </c>
      <c r="D823" s="9">
        <v>1</v>
      </c>
      <c r="E823" s="9">
        <v>0</v>
      </c>
      <c r="F823" s="9">
        <v>2</v>
      </c>
      <c r="G823" s="7">
        <v>13</v>
      </c>
      <c r="H823" s="9" t="b">
        <v>0</v>
      </c>
      <c r="I823" s="9">
        <v>0</v>
      </c>
      <c r="J823" s="38" t="str">
        <f>CHOOSE(Table1[[#This Row],[Weekday]]+1,"Sunday","Monday","Tuesday","Wednesday","Thursday","Friday","Saturday")</f>
        <v>Sunday</v>
      </c>
      <c r="K823" s="9">
        <v>1</v>
      </c>
      <c r="L823" s="38" t="str">
        <f>IF(Table1[[#This Row],[Weather_code]]=1,"Clear",IF(Table1[[#This Row],[Weather_code]]=2,"Cloudy",IF(Table1[[#This Row],[Weather_code]]=3,"Light Rain",IF(Table1[[#This Row],[Weather_code]]=4,"Heavy Rain"))))</f>
        <v>Clear</v>
      </c>
      <c r="M823" s="9">
        <v>0.34</v>
      </c>
      <c r="N823" s="11" t="str">
        <f t="shared" si="40"/>
        <v>Winter</v>
      </c>
      <c r="O823" s="11" t="str">
        <f t="shared" si="38"/>
        <v>Weekday</v>
      </c>
      <c r="P823" s="9">
        <v>0.36359999999999998</v>
      </c>
      <c r="Q823" s="7">
        <f>Table1[[#This Row],[A_Temperature]]*41</f>
        <v>14.907599999999999</v>
      </c>
      <c r="R823" s="9">
        <v>0.46</v>
      </c>
      <c r="S823" s="9">
        <v>0</v>
      </c>
      <c r="T823" s="9">
        <v>47</v>
      </c>
      <c r="U823" s="9">
        <v>135</v>
      </c>
      <c r="V823" s="19">
        <v>182</v>
      </c>
    </row>
    <row r="824" spans="1:22" s="13" customFormat="1" ht="30" customHeight="1">
      <c r="A824" s="17" t="s">
        <v>223</v>
      </c>
      <c r="B824" s="8">
        <v>40696</v>
      </c>
      <c r="C824" s="8" t="str">
        <f t="shared" si="39"/>
        <v>Thursday</v>
      </c>
      <c r="D824" s="9">
        <v>1</v>
      </c>
      <c r="E824" s="9">
        <v>0</v>
      </c>
      <c r="F824" s="9">
        <v>2</v>
      </c>
      <c r="G824" s="7">
        <v>14</v>
      </c>
      <c r="H824" s="9" t="b">
        <v>0</v>
      </c>
      <c r="I824" s="9">
        <v>0</v>
      </c>
      <c r="J824" s="38" t="str">
        <f>CHOOSE(Table1[[#This Row],[Weekday]]+1,"Sunday","Monday","Tuesday","Wednesday","Thursday","Friday","Saturday")</f>
        <v>Sunday</v>
      </c>
      <c r="K824" s="9">
        <v>1</v>
      </c>
      <c r="L824" s="38" t="str">
        <f>IF(Table1[[#This Row],[Weather_code]]=1,"Clear",IF(Table1[[#This Row],[Weather_code]]=2,"Cloudy",IF(Table1[[#This Row],[Weather_code]]=3,"Light Rain",IF(Table1[[#This Row],[Weather_code]]=4,"Heavy Rain"))))</f>
        <v>Clear</v>
      </c>
      <c r="M824" s="9">
        <v>0.34</v>
      </c>
      <c r="N824" s="11" t="str">
        <f t="shared" si="40"/>
        <v>Winter</v>
      </c>
      <c r="O824" s="11" t="str">
        <f t="shared" si="38"/>
        <v>Weekday</v>
      </c>
      <c r="P824" s="9">
        <v>0.34849999999999998</v>
      </c>
      <c r="Q824" s="7">
        <f>Table1[[#This Row],[A_Temperature]]*41</f>
        <v>14.288499999999999</v>
      </c>
      <c r="R824" s="9">
        <v>0.46</v>
      </c>
      <c r="S824" s="9">
        <v>8.9599999999999999E-2</v>
      </c>
      <c r="T824" s="9">
        <v>47</v>
      </c>
      <c r="U824" s="9">
        <v>114</v>
      </c>
      <c r="V824" s="19">
        <v>161</v>
      </c>
    </row>
    <row r="825" spans="1:22" s="13" customFormat="1" ht="30" customHeight="1">
      <c r="A825" s="17" t="s">
        <v>224</v>
      </c>
      <c r="B825" s="8">
        <v>40696</v>
      </c>
      <c r="C825" s="8" t="str">
        <f t="shared" si="39"/>
        <v>Thursday</v>
      </c>
      <c r="D825" s="9">
        <v>1</v>
      </c>
      <c r="E825" s="9">
        <v>0</v>
      </c>
      <c r="F825" s="9">
        <v>2</v>
      </c>
      <c r="G825" s="7">
        <v>15</v>
      </c>
      <c r="H825" s="9" t="b">
        <v>0</v>
      </c>
      <c r="I825" s="9">
        <v>0</v>
      </c>
      <c r="J825" s="38" t="str">
        <f>CHOOSE(Table1[[#This Row],[Weekday]]+1,"Sunday","Monday","Tuesday","Wednesday","Thursday","Friday","Saturday")</f>
        <v>Sunday</v>
      </c>
      <c r="K825" s="9">
        <v>1</v>
      </c>
      <c r="L825" s="38" t="str">
        <f>IF(Table1[[#This Row],[Weather_code]]=1,"Clear",IF(Table1[[#This Row],[Weather_code]]=2,"Cloudy",IF(Table1[[#This Row],[Weather_code]]=3,"Light Rain",IF(Table1[[#This Row],[Weather_code]]=4,"Heavy Rain"))))</f>
        <v>Clear</v>
      </c>
      <c r="M825" s="9">
        <v>0.34</v>
      </c>
      <c r="N825" s="11" t="str">
        <f t="shared" si="40"/>
        <v>Winter</v>
      </c>
      <c r="O825" s="11" t="str">
        <f t="shared" si="38"/>
        <v>Weekday</v>
      </c>
      <c r="P825" s="9">
        <v>0.34849999999999998</v>
      </c>
      <c r="Q825" s="7">
        <f>Table1[[#This Row],[A_Temperature]]*41</f>
        <v>14.288499999999999</v>
      </c>
      <c r="R825" s="9">
        <v>0.46</v>
      </c>
      <c r="S825" s="9">
        <v>8.9599999999999999E-2</v>
      </c>
      <c r="T825" s="9">
        <v>52</v>
      </c>
      <c r="U825" s="9">
        <v>130</v>
      </c>
      <c r="V825" s="19">
        <v>182</v>
      </c>
    </row>
    <row r="826" spans="1:22" s="13" customFormat="1" ht="30" customHeight="1">
      <c r="A826" s="17" t="s">
        <v>225</v>
      </c>
      <c r="B826" s="8">
        <v>40696</v>
      </c>
      <c r="C826" s="8" t="str">
        <f t="shared" si="39"/>
        <v>Thursday</v>
      </c>
      <c r="D826" s="9">
        <v>1</v>
      </c>
      <c r="E826" s="9">
        <v>0</v>
      </c>
      <c r="F826" s="9">
        <v>2</v>
      </c>
      <c r="G826" s="7">
        <v>16</v>
      </c>
      <c r="H826" s="9" t="b">
        <v>0</v>
      </c>
      <c r="I826" s="9">
        <v>0</v>
      </c>
      <c r="J826" s="38" t="str">
        <f>CHOOSE(Table1[[#This Row],[Weekday]]+1,"Sunday","Monday","Tuesday","Wednesday","Thursday","Friday","Saturday")</f>
        <v>Sunday</v>
      </c>
      <c r="K826" s="9">
        <v>1</v>
      </c>
      <c r="L826" s="38" t="str">
        <f>IF(Table1[[#This Row],[Weather_code]]=1,"Clear",IF(Table1[[#This Row],[Weather_code]]=2,"Cloudy",IF(Table1[[#This Row],[Weather_code]]=3,"Light Rain",IF(Table1[[#This Row],[Weather_code]]=4,"Heavy Rain"))))</f>
        <v>Clear</v>
      </c>
      <c r="M826" s="9">
        <v>0.34</v>
      </c>
      <c r="N826" s="11" t="str">
        <f t="shared" si="40"/>
        <v>Winter</v>
      </c>
      <c r="O826" s="11" t="str">
        <f t="shared" si="38"/>
        <v>Weekday</v>
      </c>
      <c r="P826" s="9">
        <v>0.34849999999999998</v>
      </c>
      <c r="Q826" s="7">
        <f>Table1[[#This Row],[A_Temperature]]*41</f>
        <v>14.288499999999999</v>
      </c>
      <c r="R826" s="9">
        <v>0.49</v>
      </c>
      <c r="S826" s="9">
        <v>0.1045</v>
      </c>
      <c r="T826" s="9">
        <v>42</v>
      </c>
      <c r="U826" s="9">
        <v>115</v>
      </c>
      <c r="V826" s="19">
        <v>157</v>
      </c>
    </row>
    <row r="827" spans="1:22" s="13" customFormat="1" ht="30" customHeight="1">
      <c r="A827" s="17" t="s">
        <v>226</v>
      </c>
      <c r="B827" s="8">
        <v>40696</v>
      </c>
      <c r="C827" s="8" t="str">
        <f t="shared" si="39"/>
        <v>Thursday</v>
      </c>
      <c r="D827" s="9">
        <v>1</v>
      </c>
      <c r="E827" s="9">
        <v>0</v>
      </c>
      <c r="F827" s="9">
        <v>2</v>
      </c>
      <c r="G827" s="7">
        <v>17</v>
      </c>
      <c r="H827" s="9" t="b">
        <v>0</v>
      </c>
      <c r="I827" s="9">
        <v>0</v>
      </c>
      <c r="J827" s="38" t="str">
        <f>CHOOSE(Table1[[#This Row],[Weekday]]+1,"Sunday","Monday","Tuesday","Wednesday","Thursday","Friday","Saturday")</f>
        <v>Sunday</v>
      </c>
      <c r="K827" s="9">
        <v>1</v>
      </c>
      <c r="L827" s="38" t="str">
        <f>IF(Table1[[#This Row],[Weather_code]]=1,"Clear",IF(Table1[[#This Row],[Weather_code]]=2,"Cloudy",IF(Table1[[#This Row],[Weather_code]]=3,"Light Rain",IF(Table1[[#This Row],[Weather_code]]=4,"Heavy Rain"))))</f>
        <v>Clear</v>
      </c>
      <c r="M827" s="9">
        <v>0.34</v>
      </c>
      <c r="N827" s="11" t="str">
        <f t="shared" si="40"/>
        <v>Winter</v>
      </c>
      <c r="O827" s="11" t="str">
        <f t="shared" si="38"/>
        <v>Weekday</v>
      </c>
      <c r="P827" s="9">
        <v>0.36359999999999998</v>
      </c>
      <c r="Q827" s="7">
        <f>Table1[[#This Row],[A_Temperature]]*41</f>
        <v>14.907599999999999</v>
      </c>
      <c r="R827" s="9">
        <v>0.46</v>
      </c>
      <c r="S827" s="9">
        <v>0</v>
      </c>
      <c r="T827" s="9">
        <v>24</v>
      </c>
      <c r="U827" s="9">
        <v>97</v>
      </c>
      <c r="V827" s="19">
        <v>121</v>
      </c>
    </row>
    <row r="828" spans="1:22" s="13" customFormat="1" ht="30" customHeight="1">
      <c r="A828" s="17" t="s">
        <v>227</v>
      </c>
      <c r="B828" s="8">
        <v>40696</v>
      </c>
      <c r="C828" s="8" t="str">
        <f t="shared" si="39"/>
        <v>Thursday</v>
      </c>
      <c r="D828" s="9">
        <v>1</v>
      </c>
      <c r="E828" s="9">
        <v>0</v>
      </c>
      <c r="F828" s="9">
        <v>2</v>
      </c>
      <c r="G828" s="7">
        <v>18</v>
      </c>
      <c r="H828" s="9" t="b">
        <v>0</v>
      </c>
      <c r="I828" s="9">
        <v>0</v>
      </c>
      <c r="J828" s="38" t="str">
        <f>CHOOSE(Table1[[#This Row],[Weekday]]+1,"Sunday","Monday","Tuesday","Wednesday","Thursday","Friday","Saturday")</f>
        <v>Sunday</v>
      </c>
      <c r="K828" s="9">
        <v>1</v>
      </c>
      <c r="L828" s="38" t="str">
        <f>IF(Table1[[#This Row],[Weather_code]]=1,"Clear",IF(Table1[[#This Row],[Weather_code]]=2,"Cloudy",IF(Table1[[#This Row],[Weather_code]]=3,"Light Rain",IF(Table1[[#This Row],[Weather_code]]=4,"Heavy Rain"))))</f>
        <v>Clear</v>
      </c>
      <c r="M828" s="9">
        <v>0.3</v>
      </c>
      <c r="N828" s="11" t="str">
        <f t="shared" si="40"/>
        <v>Winter</v>
      </c>
      <c r="O828" s="11" t="str">
        <f t="shared" si="38"/>
        <v>Weekday</v>
      </c>
      <c r="P828" s="9">
        <v>0.30299999999999999</v>
      </c>
      <c r="Q828" s="7">
        <f>Table1[[#This Row],[A_Temperature]]*41</f>
        <v>12.423</v>
      </c>
      <c r="R828" s="9">
        <v>0.56000000000000005</v>
      </c>
      <c r="S828" s="9">
        <v>0.16420000000000001</v>
      </c>
      <c r="T828" s="9">
        <v>13</v>
      </c>
      <c r="U828" s="9">
        <v>65</v>
      </c>
      <c r="V828" s="19">
        <v>78</v>
      </c>
    </row>
    <row r="829" spans="1:22" s="13" customFormat="1" ht="30" customHeight="1">
      <c r="A829" s="17" t="s">
        <v>228</v>
      </c>
      <c r="B829" s="8">
        <v>40696</v>
      </c>
      <c r="C829" s="8" t="str">
        <f t="shared" si="39"/>
        <v>Thursday</v>
      </c>
      <c r="D829" s="9">
        <v>1</v>
      </c>
      <c r="E829" s="9">
        <v>0</v>
      </c>
      <c r="F829" s="9">
        <v>2</v>
      </c>
      <c r="G829" s="7">
        <v>19</v>
      </c>
      <c r="H829" s="9" t="b">
        <v>0</v>
      </c>
      <c r="I829" s="9">
        <v>0</v>
      </c>
      <c r="J829" s="38" t="str">
        <f>CHOOSE(Table1[[#This Row],[Weekday]]+1,"Sunday","Monday","Tuesday","Wednesday","Thursday","Friday","Saturday")</f>
        <v>Sunday</v>
      </c>
      <c r="K829" s="9">
        <v>1</v>
      </c>
      <c r="L829" s="38" t="str">
        <f>IF(Table1[[#This Row],[Weather_code]]=1,"Clear",IF(Table1[[#This Row],[Weather_code]]=2,"Cloudy",IF(Table1[[#This Row],[Weather_code]]=3,"Light Rain",IF(Table1[[#This Row],[Weather_code]]=4,"Heavy Rain"))))</f>
        <v>Clear</v>
      </c>
      <c r="M829" s="9">
        <v>0.28000000000000003</v>
      </c>
      <c r="N829" s="11" t="str">
        <f t="shared" si="40"/>
        <v>Winter</v>
      </c>
      <c r="O829" s="11" t="str">
        <f t="shared" si="38"/>
        <v>Weekday</v>
      </c>
      <c r="P829" s="9">
        <v>0.28789999999999999</v>
      </c>
      <c r="Q829" s="7">
        <f>Table1[[#This Row],[A_Temperature]]*41</f>
        <v>11.803899999999999</v>
      </c>
      <c r="R829" s="9">
        <v>0.61</v>
      </c>
      <c r="S829" s="9">
        <v>0.1343</v>
      </c>
      <c r="T829" s="9">
        <v>1</v>
      </c>
      <c r="U829" s="9">
        <v>20</v>
      </c>
      <c r="V829" s="19">
        <v>21</v>
      </c>
    </row>
    <row r="830" spans="1:22" s="13" customFormat="1" ht="30" customHeight="1">
      <c r="A830" s="17" t="s">
        <v>229</v>
      </c>
      <c r="B830" s="8">
        <v>40696</v>
      </c>
      <c r="C830" s="8" t="str">
        <f t="shared" si="39"/>
        <v>Thursday</v>
      </c>
      <c r="D830" s="9">
        <v>1</v>
      </c>
      <c r="E830" s="9">
        <v>0</v>
      </c>
      <c r="F830" s="9">
        <v>2</v>
      </c>
      <c r="G830" s="7">
        <v>20</v>
      </c>
      <c r="H830" s="9" t="b">
        <v>0</v>
      </c>
      <c r="I830" s="9">
        <v>0</v>
      </c>
      <c r="J830" s="38" t="str">
        <f>CHOOSE(Table1[[#This Row],[Weekday]]+1,"Sunday","Monday","Tuesday","Wednesday","Thursday","Friday","Saturday")</f>
        <v>Sunday</v>
      </c>
      <c r="K830" s="9">
        <v>1</v>
      </c>
      <c r="L830" s="38" t="str">
        <f>IF(Table1[[#This Row],[Weather_code]]=1,"Clear",IF(Table1[[#This Row],[Weather_code]]=2,"Cloudy",IF(Table1[[#This Row],[Weather_code]]=3,"Light Rain",IF(Table1[[#This Row],[Weather_code]]=4,"Heavy Rain"))))</f>
        <v>Clear</v>
      </c>
      <c r="M830" s="9">
        <v>0.28000000000000003</v>
      </c>
      <c r="N830" s="11" t="str">
        <f t="shared" si="40"/>
        <v>Winter</v>
      </c>
      <c r="O830" s="11" t="str">
        <f t="shared" si="38"/>
        <v>Weekday</v>
      </c>
      <c r="P830" s="9">
        <v>0.28789999999999999</v>
      </c>
      <c r="Q830" s="7">
        <f>Table1[[#This Row],[A_Temperature]]*41</f>
        <v>11.803899999999999</v>
      </c>
      <c r="R830" s="9">
        <v>0.61</v>
      </c>
      <c r="S830" s="9">
        <v>0.1045</v>
      </c>
      <c r="T830" s="9">
        <v>5</v>
      </c>
      <c r="U830" s="9">
        <v>21</v>
      </c>
      <c r="V830" s="19">
        <v>26</v>
      </c>
    </row>
    <row r="831" spans="1:22" s="13" customFormat="1" ht="30" customHeight="1">
      <c r="A831" s="17" t="s">
        <v>230</v>
      </c>
      <c r="B831" s="8">
        <v>40696</v>
      </c>
      <c r="C831" s="8" t="str">
        <f t="shared" si="39"/>
        <v>Thursday</v>
      </c>
      <c r="D831" s="9">
        <v>1</v>
      </c>
      <c r="E831" s="9">
        <v>0</v>
      </c>
      <c r="F831" s="9">
        <v>2</v>
      </c>
      <c r="G831" s="7">
        <v>21</v>
      </c>
      <c r="H831" s="9" t="b">
        <v>0</v>
      </c>
      <c r="I831" s="9">
        <v>0</v>
      </c>
      <c r="J831" s="38" t="str">
        <f>CHOOSE(Table1[[#This Row],[Weekday]]+1,"Sunday","Monday","Tuesday","Wednesday","Thursday","Friday","Saturday")</f>
        <v>Sunday</v>
      </c>
      <c r="K831" s="9">
        <v>1</v>
      </c>
      <c r="L831" s="38" t="str">
        <f>IF(Table1[[#This Row],[Weather_code]]=1,"Clear",IF(Table1[[#This Row],[Weather_code]]=2,"Cloudy",IF(Table1[[#This Row],[Weather_code]]=3,"Light Rain",IF(Table1[[#This Row],[Weather_code]]=4,"Heavy Rain"))))</f>
        <v>Clear</v>
      </c>
      <c r="M831" s="9">
        <v>0.26</v>
      </c>
      <c r="N831" s="11" t="str">
        <f t="shared" si="40"/>
        <v>Winter</v>
      </c>
      <c r="O831" s="11" t="str">
        <f t="shared" si="38"/>
        <v>Weekday</v>
      </c>
      <c r="P831" s="9">
        <v>0.30299999999999999</v>
      </c>
      <c r="Q831" s="7">
        <f>Table1[[#This Row],[A_Temperature]]*41</f>
        <v>12.423</v>
      </c>
      <c r="R831" s="9">
        <v>0.6</v>
      </c>
      <c r="S831" s="9">
        <v>0</v>
      </c>
      <c r="T831" s="9">
        <v>5</v>
      </c>
      <c r="U831" s="9">
        <v>22</v>
      </c>
      <c r="V831" s="19">
        <v>27</v>
      </c>
    </row>
    <row r="832" spans="1:22" s="13" customFormat="1" ht="30" customHeight="1">
      <c r="A832" s="17" t="s">
        <v>231</v>
      </c>
      <c r="B832" s="8">
        <v>40696</v>
      </c>
      <c r="C832" s="8" t="str">
        <f t="shared" si="39"/>
        <v>Thursday</v>
      </c>
      <c r="D832" s="9">
        <v>1</v>
      </c>
      <c r="E832" s="9">
        <v>0</v>
      </c>
      <c r="F832" s="9">
        <v>2</v>
      </c>
      <c r="G832" s="7">
        <v>22</v>
      </c>
      <c r="H832" s="9" t="b">
        <v>0</v>
      </c>
      <c r="I832" s="9">
        <v>0</v>
      </c>
      <c r="J832" s="38" t="str">
        <f>CHOOSE(Table1[[#This Row],[Weekday]]+1,"Sunday","Monday","Tuesday","Wednesday","Thursday","Friday","Saturday")</f>
        <v>Sunday</v>
      </c>
      <c r="K832" s="9">
        <v>1</v>
      </c>
      <c r="L832" s="38" t="str">
        <f>IF(Table1[[#This Row],[Weather_code]]=1,"Clear",IF(Table1[[#This Row],[Weather_code]]=2,"Cloudy",IF(Table1[[#This Row],[Weather_code]]=3,"Light Rain",IF(Table1[[#This Row],[Weather_code]]=4,"Heavy Rain"))))</f>
        <v>Clear</v>
      </c>
      <c r="M832" s="9">
        <v>0.26</v>
      </c>
      <c r="N832" s="11" t="str">
        <f t="shared" si="40"/>
        <v>Winter</v>
      </c>
      <c r="O832" s="11" t="str">
        <f t="shared" si="38"/>
        <v>Weekday</v>
      </c>
      <c r="P832" s="9">
        <v>0.30299999999999999</v>
      </c>
      <c r="Q832" s="7">
        <f>Table1[[#This Row],[A_Temperature]]*41</f>
        <v>12.423</v>
      </c>
      <c r="R832" s="9">
        <v>0.6</v>
      </c>
      <c r="S832" s="9">
        <v>0</v>
      </c>
      <c r="T832" s="9">
        <v>5</v>
      </c>
      <c r="U832" s="9">
        <v>57</v>
      </c>
      <c r="V832" s="19">
        <v>62</v>
      </c>
    </row>
    <row r="833" spans="1:22" s="13" customFormat="1" ht="30" customHeight="1">
      <c r="A833" s="17" t="s">
        <v>232</v>
      </c>
      <c r="B833" s="8">
        <v>40696</v>
      </c>
      <c r="C833" s="8" t="str">
        <f t="shared" si="39"/>
        <v>Thursday</v>
      </c>
      <c r="D833" s="9">
        <v>1</v>
      </c>
      <c r="E833" s="9">
        <v>0</v>
      </c>
      <c r="F833" s="9">
        <v>2</v>
      </c>
      <c r="G833" s="7">
        <v>23</v>
      </c>
      <c r="H833" s="9" t="b">
        <v>0</v>
      </c>
      <c r="I833" s="9">
        <v>0</v>
      </c>
      <c r="J833" s="38" t="str">
        <f>CHOOSE(Table1[[#This Row],[Weekday]]+1,"Sunday","Monday","Tuesday","Wednesday","Thursday","Friday","Saturday")</f>
        <v>Sunday</v>
      </c>
      <c r="K833" s="9">
        <v>1</v>
      </c>
      <c r="L833" s="38" t="str">
        <f>IF(Table1[[#This Row],[Weather_code]]=1,"Clear",IF(Table1[[#This Row],[Weather_code]]=2,"Cloudy",IF(Table1[[#This Row],[Weather_code]]=3,"Light Rain",IF(Table1[[#This Row],[Weather_code]]=4,"Heavy Rain"))))</f>
        <v>Clear</v>
      </c>
      <c r="M833" s="9">
        <v>0.24</v>
      </c>
      <c r="N833" s="11" t="str">
        <f t="shared" si="40"/>
        <v>Winter</v>
      </c>
      <c r="O833" s="11" t="str">
        <f t="shared" si="38"/>
        <v>Weekday</v>
      </c>
      <c r="P833" s="9">
        <v>0.28789999999999999</v>
      </c>
      <c r="Q833" s="7">
        <f>Table1[[#This Row],[A_Temperature]]*41</f>
        <v>11.803899999999999</v>
      </c>
      <c r="R833" s="9">
        <v>0.65</v>
      </c>
      <c r="S833" s="9">
        <v>0</v>
      </c>
      <c r="T833" s="9">
        <v>4</v>
      </c>
      <c r="U833" s="9">
        <v>26</v>
      </c>
      <c r="V833" s="19">
        <v>30</v>
      </c>
    </row>
    <row r="834" spans="1:22" s="13" customFormat="1" ht="30" customHeight="1">
      <c r="A834" s="17" t="s">
        <v>233</v>
      </c>
      <c r="B834" s="8">
        <v>40726</v>
      </c>
      <c r="C834" s="8" t="str">
        <f t="shared" si="39"/>
        <v>Saturday</v>
      </c>
      <c r="D834" s="9">
        <v>1</v>
      </c>
      <c r="E834" s="9">
        <v>0</v>
      </c>
      <c r="F834" s="9">
        <v>2</v>
      </c>
      <c r="G834" s="7">
        <v>0</v>
      </c>
      <c r="H834" s="9" t="b">
        <v>0</v>
      </c>
      <c r="I834" s="9">
        <v>1</v>
      </c>
      <c r="J834" s="38" t="str">
        <f>CHOOSE(Table1[[#This Row],[Weekday]]+1,"Sunday","Monday","Tuesday","Wednesday","Thursday","Friday","Saturday")</f>
        <v>Monday</v>
      </c>
      <c r="K834" s="9">
        <v>1</v>
      </c>
      <c r="L834" s="38" t="str">
        <f>IF(Table1[[#This Row],[Weather_code]]=1,"Clear",IF(Table1[[#This Row],[Weather_code]]=2,"Cloudy",IF(Table1[[#This Row],[Weather_code]]=3,"Light Rain",IF(Table1[[#This Row],[Weather_code]]=4,"Heavy Rain"))))</f>
        <v>Clear</v>
      </c>
      <c r="M834" s="9">
        <v>0.24</v>
      </c>
      <c r="N834" s="11" t="str">
        <f t="shared" si="40"/>
        <v>Winter</v>
      </c>
      <c r="O834" s="11" t="str">
        <f t="shared" si="38"/>
        <v>Weekend</v>
      </c>
      <c r="P834" s="9">
        <v>0.28789999999999999</v>
      </c>
      <c r="Q834" s="7">
        <f>Table1[[#This Row],[A_Temperature]]*41</f>
        <v>11.803899999999999</v>
      </c>
      <c r="R834" s="9">
        <v>0.65</v>
      </c>
      <c r="S834" s="9">
        <v>0</v>
      </c>
      <c r="T834" s="9">
        <v>1</v>
      </c>
      <c r="U834" s="9">
        <v>14</v>
      </c>
      <c r="V834" s="19">
        <v>15</v>
      </c>
    </row>
    <row r="835" spans="1:22" s="13" customFormat="1" ht="30" customHeight="1">
      <c r="A835" s="17" t="s">
        <v>234</v>
      </c>
      <c r="B835" s="8">
        <v>40726</v>
      </c>
      <c r="C835" s="8" t="str">
        <f t="shared" si="39"/>
        <v>Saturday</v>
      </c>
      <c r="D835" s="9">
        <v>1</v>
      </c>
      <c r="E835" s="9">
        <v>0</v>
      </c>
      <c r="F835" s="9">
        <v>2</v>
      </c>
      <c r="G835" s="7">
        <v>1</v>
      </c>
      <c r="H835" s="9" t="b">
        <v>0</v>
      </c>
      <c r="I835" s="9">
        <v>1</v>
      </c>
      <c r="J835" s="38" t="str">
        <f>CHOOSE(Table1[[#This Row],[Weekday]]+1,"Sunday","Monday","Tuesday","Wednesday","Thursday","Friday","Saturday")</f>
        <v>Monday</v>
      </c>
      <c r="K835" s="9">
        <v>1</v>
      </c>
      <c r="L835" s="38" t="str">
        <f>IF(Table1[[#This Row],[Weather_code]]=1,"Clear",IF(Table1[[#This Row],[Weather_code]]=2,"Cloudy",IF(Table1[[#This Row],[Weather_code]]=3,"Light Rain",IF(Table1[[#This Row],[Weather_code]]=4,"Heavy Rain"))))</f>
        <v>Clear</v>
      </c>
      <c r="M835" s="9">
        <v>0.22</v>
      </c>
      <c r="N835" s="11" t="str">
        <f t="shared" si="40"/>
        <v>Winter</v>
      </c>
      <c r="O835" s="11" t="str">
        <f t="shared" si="38"/>
        <v>Weekend</v>
      </c>
      <c r="P835" s="9">
        <v>0.2727</v>
      </c>
      <c r="Q835" s="7">
        <f>Table1[[#This Row],[A_Temperature]]*41</f>
        <v>11.1807</v>
      </c>
      <c r="R835" s="9">
        <v>0.75</v>
      </c>
      <c r="S835" s="9">
        <v>0</v>
      </c>
      <c r="T835" s="9">
        <v>1</v>
      </c>
      <c r="U835" s="9">
        <v>4</v>
      </c>
      <c r="V835" s="19">
        <v>5</v>
      </c>
    </row>
    <row r="836" spans="1:22" s="13" customFormat="1" ht="30" customHeight="1">
      <c r="A836" s="17" t="s">
        <v>235</v>
      </c>
      <c r="B836" s="8">
        <v>40726</v>
      </c>
      <c r="C836" s="8" t="str">
        <f t="shared" si="39"/>
        <v>Saturday</v>
      </c>
      <c r="D836" s="9">
        <v>1</v>
      </c>
      <c r="E836" s="9">
        <v>0</v>
      </c>
      <c r="F836" s="9">
        <v>2</v>
      </c>
      <c r="G836" s="7">
        <v>2</v>
      </c>
      <c r="H836" s="9" t="b">
        <v>0</v>
      </c>
      <c r="I836" s="9">
        <v>1</v>
      </c>
      <c r="J836" s="38" t="str">
        <f>CHOOSE(Table1[[#This Row],[Weekday]]+1,"Sunday","Monday","Tuesday","Wednesday","Thursday","Friday","Saturday")</f>
        <v>Monday</v>
      </c>
      <c r="K836" s="9">
        <v>1</v>
      </c>
      <c r="L836" s="38" t="str">
        <f>IF(Table1[[#This Row],[Weather_code]]=1,"Clear",IF(Table1[[#This Row],[Weather_code]]=2,"Cloudy",IF(Table1[[#This Row],[Weather_code]]=3,"Light Rain",IF(Table1[[#This Row],[Weather_code]]=4,"Heavy Rain"))))</f>
        <v>Clear</v>
      </c>
      <c r="M836" s="9">
        <v>0.2</v>
      </c>
      <c r="N836" s="11" t="str">
        <f t="shared" si="40"/>
        <v>Winter</v>
      </c>
      <c r="O836" s="11" t="str">
        <f t="shared" si="38"/>
        <v>Weekend</v>
      </c>
      <c r="P836" s="9">
        <v>0.2576</v>
      </c>
      <c r="Q836" s="7">
        <f>Table1[[#This Row],[A_Temperature]]*41</f>
        <v>10.5616</v>
      </c>
      <c r="R836" s="9">
        <v>0.8</v>
      </c>
      <c r="S836" s="9">
        <v>0</v>
      </c>
      <c r="T836" s="9">
        <v>0</v>
      </c>
      <c r="U836" s="9">
        <v>3</v>
      </c>
      <c r="V836" s="19">
        <v>3</v>
      </c>
    </row>
    <row r="837" spans="1:22" s="13" customFormat="1" ht="30" customHeight="1">
      <c r="A837" s="17" t="s">
        <v>236</v>
      </c>
      <c r="B837" s="8">
        <v>40726</v>
      </c>
      <c r="C837" s="8" t="str">
        <f t="shared" si="39"/>
        <v>Saturday</v>
      </c>
      <c r="D837" s="9">
        <v>1</v>
      </c>
      <c r="E837" s="9">
        <v>0</v>
      </c>
      <c r="F837" s="9">
        <v>2</v>
      </c>
      <c r="G837" s="7">
        <v>3</v>
      </c>
      <c r="H837" s="9" t="b">
        <v>0</v>
      </c>
      <c r="I837" s="9">
        <v>1</v>
      </c>
      <c r="J837" s="38" t="str">
        <f>CHOOSE(Table1[[#This Row],[Weekday]]+1,"Sunday","Monday","Tuesday","Wednesday","Thursday","Friday","Saturday")</f>
        <v>Monday</v>
      </c>
      <c r="K837" s="9">
        <v>1</v>
      </c>
      <c r="L837" s="38" t="str">
        <f>IF(Table1[[#This Row],[Weather_code]]=1,"Clear",IF(Table1[[#This Row],[Weather_code]]=2,"Cloudy",IF(Table1[[#This Row],[Weather_code]]=3,"Light Rain",IF(Table1[[#This Row],[Weather_code]]=4,"Heavy Rain"))))</f>
        <v>Clear</v>
      </c>
      <c r="M837" s="9">
        <v>0.2</v>
      </c>
      <c r="N837" s="11" t="str">
        <f t="shared" si="40"/>
        <v>Winter</v>
      </c>
      <c r="O837" s="11" t="str">
        <f t="shared" si="38"/>
        <v>Weekend</v>
      </c>
      <c r="P837" s="9">
        <v>0.2576</v>
      </c>
      <c r="Q837" s="7">
        <f>Table1[[#This Row],[A_Temperature]]*41</f>
        <v>10.5616</v>
      </c>
      <c r="R837" s="9">
        <v>0.86</v>
      </c>
      <c r="S837" s="9">
        <v>0</v>
      </c>
      <c r="T837" s="9">
        <v>0</v>
      </c>
      <c r="U837" s="9">
        <v>1</v>
      </c>
      <c r="V837" s="19">
        <v>1</v>
      </c>
    </row>
    <row r="838" spans="1:22" s="13" customFormat="1" ht="30" customHeight="1">
      <c r="A838" s="17" t="s">
        <v>237</v>
      </c>
      <c r="B838" s="8">
        <v>40726</v>
      </c>
      <c r="C838" s="8" t="str">
        <f t="shared" si="39"/>
        <v>Saturday</v>
      </c>
      <c r="D838" s="9">
        <v>1</v>
      </c>
      <c r="E838" s="9">
        <v>0</v>
      </c>
      <c r="F838" s="9">
        <v>2</v>
      </c>
      <c r="G838" s="7">
        <v>4</v>
      </c>
      <c r="H838" s="9" t="b">
        <v>0</v>
      </c>
      <c r="I838" s="9">
        <v>1</v>
      </c>
      <c r="J838" s="38" t="str">
        <f>CHOOSE(Table1[[#This Row],[Weekday]]+1,"Sunday","Monday","Tuesday","Wednesday","Thursday","Friday","Saturday")</f>
        <v>Monday</v>
      </c>
      <c r="K838" s="9">
        <v>1</v>
      </c>
      <c r="L838" s="38" t="str">
        <f>IF(Table1[[#This Row],[Weather_code]]=1,"Clear",IF(Table1[[#This Row],[Weather_code]]=2,"Cloudy",IF(Table1[[#This Row],[Weather_code]]=3,"Light Rain",IF(Table1[[#This Row],[Weather_code]]=4,"Heavy Rain"))))</f>
        <v>Clear</v>
      </c>
      <c r="M838" s="9">
        <v>0.2</v>
      </c>
      <c r="N838" s="11" t="str">
        <f t="shared" si="40"/>
        <v>Winter</v>
      </c>
      <c r="O838" s="11" t="str">
        <f t="shared" ref="O838:O901" si="41">IF(OR(WEEKDAY(B838,2)=6,WEEKDAY(B838,2)=7),"Weekend","Weekday")</f>
        <v>Weekend</v>
      </c>
      <c r="P838" s="9">
        <v>0.2576</v>
      </c>
      <c r="Q838" s="7">
        <f>Table1[[#This Row],[A_Temperature]]*41</f>
        <v>10.5616</v>
      </c>
      <c r="R838" s="9">
        <v>0.86</v>
      </c>
      <c r="S838" s="9">
        <v>0</v>
      </c>
      <c r="T838" s="9">
        <v>1</v>
      </c>
      <c r="U838" s="9">
        <v>1</v>
      </c>
      <c r="V838" s="19">
        <v>2</v>
      </c>
    </row>
    <row r="839" spans="1:22" s="13" customFormat="1" ht="30" customHeight="1">
      <c r="A839" s="17" t="s">
        <v>238</v>
      </c>
      <c r="B839" s="8">
        <v>40726</v>
      </c>
      <c r="C839" s="8" t="str">
        <f t="shared" si="39"/>
        <v>Saturday</v>
      </c>
      <c r="D839" s="9">
        <v>1</v>
      </c>
      <c r="E839" s="9">
        <v>0</v>
      </c>
      <c r="F839" s="9">
        <v>2</v>
      </c>
      <c r="G839" s="7">
        <v>5</v>
      </c>
      <c r="H839" s="9" t="b">
        <v>0</v>
      </c>
      <c r="I839" s="9">
        <v>1</v>
      </c>
      <c r="J839" s="38" t="str">
        <f>CHOOSE(Table1[[#This Row],[Weekday]]+1,"Sunday","Monday","Tuesday","Wednesday","Thursday","Friday","Saturday")</f>
        <v>Monday</v>
      </c>
      <c r="K839" s="9">
        <v>1</v>
      </c>
      <c r="L839" s="38" t="str">
        <f>IF(Table1[[#This Row],[Weather_code]]=1,"Clear",IF(Table1[[#This Row],[Weather_code]]=2,"Cloudy",IF(Table1[[#This Row],[Weather_code]]=3,"Light Rain",IF(Table1[[#This Row],[Weather_code]]=4,"Heavy Rain"))))</f>
        <v>Clear</v>
      </c>
      <c r="M839" s="9">
        <v>0.2</v>
      </c>
      <c r="N839" s="11" t="str">
        <f t="shared" si="40"/>
        <v>Winter</v>
      </c>
      <c r="O839" s="11" t="str">
        <f t="shared" si="41"/>
        <v>Weekend</v>
      </c>
      <c r="P839" s="9">
        <v>0.2576</v>
      </c>
      <c r="Q839" s="7">
        <f>Table1[[#This Row],[A_Temperature]]*41</f>
        <v>10.5616</v>
      </c>
      <c r="R839" s="9">
        <v>0.86</v>
      </c>
      <c r="S839" s="9">
        <v>0</v>
      </c>
      <c r="T839" s="9">
        <v>1</v>
      </c>
      <c r="U839" s="9">
        <v>9</v>
      </c>
      <c r="V839" s="19">
        <v>10</v>
      </c>
    </row>
    <row r="840" spans="1:22" s="13" customFormat="1" ht="30" customHeight="1">
      <c r="A840" s="17" t="s">
        <v>239</v>
      </c>
      <c r="B840" s="8">
        <v>40726</v>
      </c>
      <c r="C840" s="8" t="str">
        <f t="shared" si="39"/>
        <v>Saturday</v>
      </c>
      <c r="D840" s="9">
        <v>1</v>
      </c>
      <c r="E840" s="9">
        <v>0</v>
      </c>
      <c r="F840" s="9">
        <v>2</v>
      </c>
      <c r="G840" s="7">
        <v>6</v>
      </c>
      <c r="H840" s="9" t="b">
        <v>0</v>
      </c>
      <c r="I840" s="9">
        <v>1</v>
      </c>
      <c r="J840" s="38" t="str">
        <f>CHOOSE(Table1[[#This Row],[Weekday]]+1,"Sunday","Monday","Tuesday","Wednesday","Thursday","Friday","Saturday")</f>
        <v>Monday</v>
      </c>
      <c r="K840" s="9">
        <v>1</v>
      </c>
      <c r="L840" s="38" t="str">
        <f>IF(Table1[[#This Row],[Weather_code]]=1,"Clear",IF(Table1[[#This Row],[Weather_code]]=2,"Cloudy",IF(Table1[[#This Row],[Weather_code]]=3,"Light Rain",IF(Table1[[#This Row],[Weather_code]]=4,"Heavy Rain"))))</f>
        <v>Clear</v>
      </c>
      <c r="M840" s="9">
        <v>0.18</v>
      </c>
      <c r="N840" s="11" t="str">
        <f t="shared" si="40"/>
        <v>Winter</v>
      </c>
      <c r="O840" s="11" t="str">
        <f t="shared" si="41"/>
        <v>Weekend</v>
      </c>
      <c r="P840" s="9">
        <v>0.2424</v>
      </c>
      <c r="Q840" s="7">
        <f>Table1[[#This Row],[A_Temperature]]*41</f>
        <v>9.9383999999999997</v>
      </c>
      <c r="R840" s="9">
        <v>0.93</v>
      </c>
      <c r="S840" s="9">
        <v>0</v>
      </c>
      <c r="T840" s="9">
        <v>1</v>
      </c>
      <c r="U840" s="9">
        <v>29</v>
      </c>
      <c r="V840" s="19">
        <v>30</v>
      </c>
    </row>
    <row r="841" spans="1:22" s="13" customFormat="1" ht="30" customHeight="1">
      <c r="A841" s="17" t="s">
        <v>240</v>
      </c>
      <c r="B841" s="8">
        <v>40726</v>
      </c>
      <c r="C841" s="8" t="str">
        <f t="shared" si="39"/>
        <v>Saturday</v>
      </c>
      <c r="D841" s="9">
        <v>1</v>
      </c>
      <c r="E841" s="9">
        <v>0</v>
      </c>
      <c r="F841" s="9">
        <v>2</v>
      </c>
      <c r="G841" s="7">
        <v>7</v>
      </c>
      <c r="H841" s="9" t="b">
        <v>0</v>
      </c>
      <c r="I841" s="9">
        <v>1</v>
      </c>
      <c r="J841" s="38" t="str">
        <f>CHOOSE(Table1[[#This Row],[Weekday]]+1,"Sunday","Monday","Tuesday","Wednesday","Thursday","Friday","Saturday")</f>
        <v>Monday</v>
      </c>
      <c r="K841" s="9">
        <v>1</v>
      </c>
      <c r="L841" s="38" t="str">
        <f>IF(Table1[[#This Row],[Weather_code]]=1,"Clear",IF(Table1[[#This Row],[Weather_code]]=2,"Cloudy",IF(Table1[[#This Row],[Weather_code]]=3,"Light Rain",IF(Table1[[#This Row],[Weather_code]]=4,"Heavy Rain"))))</f>
        <v>Clear</v>
      </c>
      <c r="M841" s="9">
        <v>0.18</v>
      </c>
      <c r="N841" s="11" t="str">
        <f t="shared" si="40"/>
        <v>Winter</v>
      </c>
      <c r="O841" s="11" t="str">
        <f t="shared" si="41"/>
        <v>Weekend</v>
      </c>
      <c r="P841" s="9">
        <v>0.2424</v>
      </c>
      <c r="Q841" s="7">
        <f>Table1[[#This Row],[A_Temperature]]*41</f>
        <v>9.9383999999999997</v>
      </c>
      <c r="R841" s="9">
        <v>0.86</v>
      </c>
      <c r="S841" s="9">
        <v>0</v>
      </c>
      <c r="T841" s="9">
        <v>6</v>
      </c>
      <c r="U841" s="9">
        <v>89</v>
      </c>
      <c r="V841" s="19">
        <v>95</v>
      </c>
    </row>
    <row r="842" spans="1:22" s="13" customFormat="1" ht="30" customHeight="1">
      <c r="A842" s="17" t="s">
        <v>241</v>
      </c>
      <c r="B842" s="8">
        <v>40726</v>
      </c>
      <c r="C842" s="8" t="str">
        <f t="shared" si="39"/>
        <v>Saturday</v>
      </c>
      <c r="D842" s="9">
        <v>1</v>
      </c>
      <c r="E842" s="9">
        <v>0</v>
      </c>
      <c r="F842" s="9">
        <v>2</v>
      </c>
      <c r="G842" s="7">
        <v>8</v>
      </c>
      <c r="H842" s="9" t="b">
        <v>0</v>
      </c>
      <c r="I842" s="9">
        <v>1</v>
      </c>
      <c r="J842" s="38" t="str">
        <f>CHOOSE(Table1[[#This Row],[Weekday]]+1,"Sunday","Monday","Tuesday","Wednesday","Thursday","Friday","Saturday")</f>
        <v>Monday</v>
      </c>
      <c r="K842" s="9">
        <v>2</v>
      </c>
      <c r="L842" s="38" t="str">
        <f>IF(Table1[[#This Row],[Weather_code]]=1,"Clear",IF(Table1[[#This Row],[Weather_code]]=2,"Cloudy",IF(Table1[[#This Row],[Weather_code]]=3,"Light Rain",IF(Table1[[#This Row],[Weather_code]]=4,"Heavy Rain"))))</f>
        <v>Cloudy</v>
      </c>
      <c r="M842" s="9">
        <v>0.16</v>
      </c>
      <c r="N842" s="11" t="str">
        <f t="shared" si="40"/>
        <v>Winter</v>
      </c>
      <c r="O842" s="11" t="str">
        <f t="shared" si="41"/>
        <v>Weekend</v>
      </c>
      <c r="P842" s="9">
        <v>0.2273</v>
      </c>
      <c r="Q842" s="7">
        <f>Table1[[#This Row],[A_Temperature]]*41</f>
        <v>9.3193000000000001</v>
      </c>
      <c r="R842" s="9">
        <v>1</v>
      </c>
      <c r="S842" s="9">
        <v>0</v>
      </c>
      <c r="T842" s="9">
        <v>7</v>
      </c>
      <c r="U842" s="9">
        <v>223</v>
      </c>
      <c r="V842" s="19">
        <v>230</v>
      </c>
    </row>
    <row r="843" spans="1:22" s="13" customFormat="1" ht="30" customHeight="1">
      <c r="A843" s="17" t="s">
        <v>242</v>
      </c>
      <c r="B843" s="8">
        <v>40726</v>
      </c>
      <c r="C843" s="8" t="str">
        <f t="shared" si="39"/>
        <v>Saturday</v>
      </c>
      <c r="D843" s="9">
        <v>1</v>
      </c>
      <c r="E843" s="9">
        <v>0</v>
      </c>
      <c r="F843" s="9">
        <v>2</v>
      </c>
      <c r="G843" s="7">
        <v>9</v>
      </c>
      <c r="H843" s="9" t="b">
        <v>0</v>
      </c>
      <c r="I843" s="9">
        <v>1</v>
      </c>
      <c r="J843" s="38" t="str">
        <f>CHOOSE(Table1[[#This Row],[Weekday]]+1,"Sunday","Monday","Tuesday","Wednesday","Thursday","Friday","Saturday")</f>
        <v>Monday</v>
      </c>
      <c r="K843" s="9">
        <v>1</v>
      </c>
      <c r="L843" s="38" t="str">
        <f>IF(Table1[[#This Row],[Weather_code]]=1,"Clear",IF(Table1[[#This Row],[Weather_code]]=2,"Cloudy",IF(Table1[[#This Row],[Weather_code]]=3,"Light Rain",IF(Table1[[#This Row],[Weather_code]]=4,"Heavy Rain"))))</f>
        <v>Clear</v>
      </c>
      <c r="M843" s="9">
        <v>0.22</v>
      </c>
      <c r="N843" s="11" t="str">
        <f t="shared" si="40"/>
        <v>Winter</v>
      </c>
      <c r="O843" s="11" t="str">
        <f t="shared" si="41"/>
        <v>Weekend</v>
      </c>
      <c r="P843" s="9">
        <v>0.2727</v>
      </c>
      <c r="Q843" s="7">
        <f>Table1[[#This Row],[A_Temperature]]*41</f>
        <v>11.1807</v>
      </c>
      <c r="R843" s="9">
        <v>0.8</v>
      </c>
      <c r="S843" s="9">
        <v>0</v>
      </c>
      <c r="T843" s="9">
        <v>3</v>
      </c>
      <c r="U843" s="9">
        <v>115</v>
      </c>
      <c r="V843" s="19">
        <v>118</v>
      </c>
    </row>
    <row r="844" spans="1:22" s="13" customFormat="1" ht="30" customHeight="1">
      <c r="A844" s="17" t="s">
        <v>243</v>
      </c>
      <c r="B844" s="8">
        <v>40726</v>
      </c>
      <c r="C844" s="8" t="str">
        <f t="shared" si="39"/>
        <v>Saturday</v>
      </c>
      <c r="D844" s="9">
        <v>1</v>
      </c>
      <c r="E844" s="9">
        <v>0</v>
      </c>
      <c r="F844" s="9">
        <v>2</v>
      </c>
      <c r="G844" s="7">
        <v>10</v>
      </c>
      <c r="H844" s="9" t="b">
        <v>0</v>
      </c>
      <c r="I844" s="9">
        <v>1</v>
      </c>
      <c r="J844" s="38" t="str">
        <f>CHOOSE(Table1[[#This Row],[Weekday]]+1,"Sunday","Monday","Tuesday","Wednesday","Thursday","Friday","Saturday")</f>
        <v>Monday</v>
      </c>
      <c r="K844" s="9">
        <v>1</v>
      </c>
      <c r="L844" s="38" t="str">
        <f>IF(Table1[[#This Row],[Weather_code]]=1,"Clear",IF(Table1[[#This Row],[Weather_code]]=2,"Cloudy",IF(Table1[[#This Row],[Weather_code]]=3,"Light Rain",IF(Table1[[#This Row],[Weather_code]]=4,"Heavy Rain"))))</f>
        <v>Clear</v>
      </c>
      <c r="M844" s="9">
        <v>0.24</v>
      </c>
      <c r="N844" s="11" t="str">
        <f t="shared" si="40"/>
        <v>Winter</v>
      </c>
      <c r="O844" s="11" t="str">
        <f t="shared" si="41"/>
        <v>Weekend</v>
      </c>
      <c r="P844" s="9">
        <v>0.2576</v>
      </c>
      <c r="Q844" s="7">
        <f>Table1[[#This Row],[A_Temperature]]*41</f>
        <v>10.5616</v>
      </c>
      <c r="R844" s="9">
        <v>0.75</v>
      </c>
      <c r="S844" s="9">
        <v>0.1045</v>
      </c>
      <c r="T844" s="9">
        <v>6</v>
      </c>
      <c r="U844" s="9">
        <v>49</v>
      </c>
      <c r="V844" s="19">
        <v>55</v>
      </c>
    </row>
    <row r="845" spans="1:22" s="13" customFormat="1" ht="30" customHeight="1">
      <c r="A845" s="17" t="s">
        <v>244</v>
      </c>
      <c r="B845" s="8">
        <v>40726</v>
      </c>
      <c r="C845" s="8" t="str">
        <f t="shared" si="39"/>
        <v>Saturday</v>
      </c>
      <c r="D845" s="9">
        <v>1</v>
      </c>
      <c r="E845" s="9">
        <v>0</v>
      </c>
      <c r="F845" s="9">
        <v>2</v>
      </c>
      <c r="G845" s="7">
        <v>11</v>
      </c>
      <c r="H845" s="9" t="b">
        <v>0</v>
      </c>
      <c r="I845" s="9">
        <v>1</v>
      </c>
      <c r="J845" s="38" t="str">
        <f>CHOOSE(Table1[[#This Row],[Weekday]]+1,"Sunday","Monday","Tuesday","Wednesday","Thursday","Friday","Saturday")</f>
        <v>Monday</v>
      </c>
      <c r="K845" s="9">
        <v>1</v>
      </c>
      <c r="L845" s="38" t="str">
        <f>IF(Table1[[#This Row],[Weather_code]]=1,"Clear",IF(Table1[[#This Row],[Weather_code]]=2,"Cloudy",IF(Table1[[#This Row],[Weather_code]]=3,"Light Rain",IF(Table1[[#This Row],[Weather_code]]=4,"Heavy Rain"))))</f>
        <v>Clear</v>
      </c>
      <c r="M845" s="9">
        <v>0.3</v>
      </c>
      <c r="N845" s="11" t="str">
        <f t="shared" si="40"/>
        <v>Winter</v>
      </c>
      <c r="O845" s="11" t="str">
        <f t="shared" si="41"/>
        <v>Weekend</v>
      </c>
      <c r="P845" s="9">
        <v>0.31819999999999998</v>
      </c>
      <c r="Q845" s="7">
        <f>Table1[[#This Row],[A_Temperature]]*41</f>
        <v>13.046199999999999</v>
      </c>
      <c r="R845" s="9">
        <v>0.65</v>
      </c>
      <c r="S845" s="9">
        <v>8.9599999999999999E-2</v>
      </c>
      <c r="T845" s="9">
        <v>11</v>
      </c>
      <c r="U845" s="9">
        <v>36</v>
      </c>
      <c r="V845" s="19">
        <v>47</v>
      </c>
    </row>
    <row r="846" spans="1:22" s="13" customFormat="1" ht="30" customHeight="1">
      <c r="A846" s="17" t="s">
        <v>245</v>
      </c>
      <c r="B846" s="8">
        <v>40726</v>
      </c>
      <c r="C846" s="8" t="str">
        <f t="shared" si="39"/>
        <v>Saturday</v>
      </c>
      <c r="D846" s="9">
        <v>1</v>
      </c>
      <c r="E846" s="9">
        <v>0</v>
      </c>
      <c r="F846" s="9">
        <v>2</v>
      </c>
      <c r="G846" s="7">
        <v>12</v>
      </c>
      <c r="H846" s="9" t="b">
        <v>0</v>
      </c>
      <c r="I846" s="9">
        <v>1</v>
      </c>
      <c r="J846" s="38" t="str">
        <f>CHOOSE(Table1[[#This Row],[Weekday]]+1,"Sunday","Monday","Tuesday","Wednesday","Thursday","Friday","Saturday")</f>
        <v>Monday</v>
      </c>
      <c r="K846" s="9">
        <v>2</v>
      </c>
      <c r="L846" s="38" t="str">
        <f>IF(Table1[[#This Row],[Weather_code]]=1,"Clear",IF(Table1[[#This Row],[Weather_code]]=2,"Cloudy",IF(Table1[[#This Row],[Weather_code]]=3,"Light Rain",IF(Table1[[#This Row],[Weather_code]]=4,"Heavy Rain"))))</f>
        <v>Cloudy</v>
      </c>
      <c r="M846" s="9">
        <v>0.32</v>
      </c>
      <c r="N846" s="11" t="str">
        <f t="shared" si="40"/>
        <v>Winter</v>
      </c>
      <c r="O846" s="11" t="str">
        <f t="shared" si="41"/>
        <v>Weekend</v>
      </c>
      <c r="P846" s="9">
        <v>0.34849999999999998</v>
      </c>
      <c r="Q846" s="7">
        <f>Table1[[#This Row],[A_Temperature]]*41</f>
        <v>14.288499999999999</v>
      </c>
      <c r="R846" s="9">
        <v>0.62</v>
      </c>
      <c r="S846" s="9">
        <v>0</v>
      </c>
      <c r="T846" s="9">
        <v>7</v>
      </c>
      <c r="U846" s="9">
        <v>59</v>
      </c>
      <c r="V846" s="19">
        <v>66</v>
      </c>
    </row>
    <row r="847" spans="1:22" s="13" customFormat="1" ht="30" customHeight="1">
      <c r="A847" s="17" t="s">
        <v>246</v>
      </c>
      <c r="B847" s="8">
        <v>40726</v>
      </c>
      <c r="C847" s="8" t="str">
        <f t="shared" si="39"/>
        <v>Saturday</v>
      </c>
      <c r="D847" s="9">
        <v>1</v>
      </c>
      <c r="E847" s="9">
        <v>0</v>
      </c>
      <c r="F847" s="9">
        <v>2</v>
      </c>
      <c r="G847" s="7">
        <v>13</v>
      </c>
      <c r="H847" s="9" t="b">
        <v>0</v>
      </c>
      <c r="I847" s="9">
        <v>1</v>
      </c>
      <c r="J847" s="38" t="str">
        <f>CHOOSE(Table1[[#This Row],[Weekday]]+1,"Sunday","Monday","Tuesday","Wednesday","Thursday","Friday","Saturday")</f>
        <v>Monday</v>
      </c>
      <c r="K847" s="9">
        <v>2</v>
      </c>
      <c r="L847" s="38" t="str">
        <f>IF(Table1[[#This Row],[Weather_code]]=1,"Clear",IF(Table1[[#This Row],[Weather_code]]=2,"Cloudy",IF(Table1[[#This Row],[Weather_code]]=3,"Light Rain",IF(Table1[[#This Row],[Weather_code]]=4,"Heavy Rain"))))</f>
        <v>Cloudy</v>
      </c>
      <c r="M847" s="9">
        <v>0.36</v>
      </c>
      <c r="N847" s="11" t="str">
        <f t="shared" si="40"/>
        <v>Winter</v>
      </c>
      <c r="O847" s="11" t="str">
        <f t="shared" si="41"/>
        <v>Weekend</v>
      </c>
      <c r="P847" s="9">
        <v>0.36359999999999998</v>
      </c>
      <c r="Q847" s="7">
        <f>Table1[[#This Row],[A_Temperature]]*41</f>
        <v>14.907599999999999</v>
      </c>
      <c r="R847" s="9">
        <v>0.56999999999999995</v>
      </c>
      <c r="S847" s="9">
        <v>8.9599999999999999E-2</v>
      </c>
      <c r="T847" s="9">
        <v>10</v>
      </c>
      <c r="U847" s="9">
        <v>54</v>
      </c>
      <c r="V847" s="19">
        <v>64</v>
      </c>
    </row>
    <row r="848" spans="1:22" s="13" customFormat="1" ht="30" customHeight="1">
      <c r="A848" s="17" t="s">
        <v>247</v>
      </c>
      <c r="B848" s="8">
        <v>40726</v>
      </c>
      <c r="C848" s="8" t="str">
        <f t="shared" si="39"/>
        <v>Saturday</v>
      </c>
      <c r="D848" s="9">
        <v>1</v>
      </c>
      <c r="E848" s="9">
        <v>0</v>
      </c>
      <c r="F848" s="9">
        <v>2</v>
      </c>
      <c r="G848" s="7">
        <v>14</v>
      </c>
      <c r="H848" s="9" t="b">
        <v>0</v>
      </c>
      <c r="I848" s="9">
        <v>1</v>
      </c>
      <c r="J848" s="38" t="str">
        <f>CHOOSE(Table1[[#This Row],[Weekday]]+1,"Sunday","Monday","Tuesday","Wednesday","Thursday","Friday","Saturday")</f>
        <v>Monday</v>
      </c>
      <c r="K848" s="9">
        <v>2</v>
      </c>
      <c r="L848" s="38" t="str">
        <f>IF(Table1[[#This Row],[Weather_code]]=1,"Clear",IF(Table1[[#This Row],[Weather_code]]=2,"Cloudy",IF(Table1[[#This Row],[Weather_code]]=3,"Light Rain",IF(Table1[[#This Row],[Weather_code]]=4,"Heavy Rain"))))</f>
        <v>Cloudy</v>
      </c>
      <c r="M848" s="9">
        <v>0.36</v>
      </c>
      <c r="N848" s="11" t="str">
        <f t="shared" si="40"/>
        <v>Winter</v>
      </c>
      <c r="O848" s="11" t="str">
        <f t="shared" si="41"/>
        <v>Weekend</v>
      </c>
      <c r="P848" s="9">
        <v>0.36359999999999998</v>
      </c>
      <c r="Q848" s="7">
        <f>Table1[[#This Row],[A_Temperature]]*41</f>
        <v>14.907599999999999</v>
      </c>
      <c r="R848" s="9">
        <v>0.56999999999999995</v>
      </c>
      <c r="S848" s="9">
        <v>8.9599999999999999E-2</v>
      </c>
      <c r="T848" s="9">
        <v>8</v>
      </c>
      <c r="U848" s="9">
        <v>52</v>
      </c>
      <c r="V848" s="19">
        <v>60</v>
      </c>
    </row>
    <row r="849" spans="1:22" s="13" customFormat="1" ht="30" customHeight="1">
      <c r="A849" s="17" t="s">
        <v>248</v>
      </c>
      <c r="B849" s="8">
        <v>40726</v>
      </c>
      <c r="C849" s="8" t="str">
        <f t="shared" si="39"/>
        <v>Saturday</v>
      </c>
      <c r="D849" s="9">
        <v>1</v>
      </c>
      <c r="E849" s="9">
        <v>0</v>
      </c>
      <c r="F849" s="9">
        <v>2</v>
      </c>
      <c r="G849" s="7">
        <v>15</v>
      </c>
      <c r="H849" s="9" t="b">
        <v>0</v>
      </c>
      <c r="I849" s="9">
        <v>1</v>
      </c>
      <c r="J849" s="38" t="str">
        <f>CHOOSE(Table1[[#This Row],[Weekday]]+1,"Sunday","Monday","Tuesday","Wednesday","Thursday","Friday","Saturday")</f>
        <v>Monday</v>
      </c>
      <c r="K849" s="9">
        <v>2</v>
      </c>
      <c r="L849" s="38" t="str">
        <f>IF(Table1[[#This Row],[Weather_code]]=1,"Clear",IF(Table1[[#This Row],[Weather_code]]=2,"Cloudy",IF(Table1[[#This Row],[Weather_code]]=3,"Light Rain",IF(Table1[[#This Row],[Weather_code]]=4,"Heavy Rain"))))</f>
        <v>Cloudy</v>
      </c>
      <c r="M849" s="9">
        <v>0.38</v>
      </c>
      <c r="N849" s="11" t="str">
        <f t="shared" si="40"/>
        <v>Winter</v>
      </c>
      <c r="O849" s="11" t="str">
        <f t="shared" si="41"/>
        <v>Weekend</v>
      </c>
      <c r="P849" s="9">
        <v>0.39389999999999997</v>
      </c>
      <c r="Q849" s="7">
        <f>Table1[[#This Row],[A_Temperature]]*41</f>
        <v>16.149899999999999</v>
      </c>
      <c r="R849" s="9">
        <v>0.54</v>
      </c>
      <c r="S849" s="9">
        <v>8.9599999999999999E-2</v>
      </c>
      <c r="T849" s="9">
        <v>4</v>
      </c>
      <c r="U849" s="9">
        <v>46</v>
      </c>
      <c r="V849" s="19">
        <v>50</v>
      </c>
    </row>
    <row r="850" spans="1:22" s="13" customFormat="1" ht="30" customHeight="1">
      <c r="A850" s="17" t="s">
        <v>249</v>
      </c>
      <c r="B850" s="8">
        <v>40726</v>
      </c>
      <c r="C850" s="8" t="str">
        <f t="shared" si="39"/>
        <v>Saturday</v>
      </c>
      <c r="D850" s="9">
        <v>1</v>
      </c>
      <c r="E850" s="9">
        <v>0</v>
      </c>
      <c r="F850" s="9">
        <v>2</v>
      </c>
      <c r="G850" s="7">
        <v>16</v>
      </c>
      <c r="H850" s="9" t="b">
        <v>0</v>
      </c>
      <c r="I850" s="9">
        <v>1</v>
      </c>
      <c r="J850" s="38" t="str">
        <f>CHOOSE(Table1[[#This Row],[Weekday]]+1,"Sunday","Monday","Tuesday","Wednesday","Thursday","Friday","Saturday")</f>
        <v>Monday</v>
      </c>
      <c r="K850" s="9">
        <v>2</v>
      </c>
      <c r="L850" s="38" t="str">
        <f>IF(Table1[[#This Row],[Weather_code]]=1,"Clear",IF(Table1[[#This Row],[Weather_code]]=2,"Cloudy",IF(Table1[[#This Row],[Weather_code]]=3,"Light Rain",IF(Table1[[#This Row],[Weather_code]]=4,"Heavy Rain"))))</f>
        <v>Cloudy</v>
      </c>
      <c r="M850" s="9">
        <v>0.36</v>
      </c>
      <c r="N850" s="11" t="str">
        <f t="shared" si="40"/>
        <v>Winter</v>
      </c>
      <c r="O850" s="11" t="str">
        <f t="shared" si="41"/>
        <v>Weekend</v>
      </c>
      <c r="P850" s="9">
        <v>0.34849999999999998</v>
      </c>
      <c r="Q850" s="7">
        <f>Table1[[#This Row],[A_Temperature]]*41</f>
        <v>14.288499999999999</v>
      </c>
      <c r="R850" s="9">
        <v>0.56999999999999995</v>
      </c>
      <c r="S850" s="9">
        <v>0.1343</v>
      </c>
      <c r="T850" s="9">
        <v>16</v>
      </c>
      <c r="U850" s="9">
        <v>98</v>
      </c>
      <c r="V850" s="19">
        <v>114</v>
      </c>
    </row>
    <row r="851" spans="1:22" s="13" customFormat="1" ht="30" customHeight="1">
      <c r="A851" s="17" t="s">
        <v>250</v>
      </c>
      <c r="B851" s="8">
        <v>40726</v>
      </c>
      <c r="C851" s="8" t="str">
        <f t="shared" si="39"/>
        <v>Saturday</v>
      </c>
      <c r="D851" s="9">
        <v>1</v>
      </c>
      <c r="E851" s="9">
        <v>0</v>
      </c>
      <c r="F851" s="9">
        <v>2</v>
      </c>
      <c r="G851" s="7">
        <v>17</v>
      </c>
      <c r="H851" s="9" t="b">
        <v>0</v>
      </c>
      <c r="I851" s="9">
        <v>1</v>
      </c>
      <c r="J851" s="38" t="str">
        <f>CHOOSE(Table1[[#This Row],[Weekday]]+1,"Sunday","Monday","Tuesday","Wednesday","Thursday","Friday","Saturday")</f>
        <v>Monday</v>
      </c>
      <c r="K851" s="9">
        <v>2</v>
      </c>
      <c r="L851" s="38" t="str">
        <f>IF(Table1[[#This Row],[Weather_code]]=1,"Clear",IF(Table1[[#This Row],[Weather_code]]=2,"Cloudy",IF(Table1[[#This Row],[Weather_code]]=3,"Light Rain",IF(Table1[[#This Row],[Weather_code]]=4,"Heavy Rain"))))</f>
        <v>Cloudy</v>
      </c>
      <c r="M851" s="9">
        <v>0.32</v>
      </c>
      <c r="N851" s="11" t="str">
        <f t="shared" si="40"/>
        <v>Winter</v>
      </c>
      <c r="O851" s="11" t="str">
        <f t="shared" si="41"/>
        <v>Weekend</v>
      </c>
      <c r="P851" s="9">
        <v>0.31819999999999998</v>
      </c>
      <c r="Q851" s="7">
        <f>Table1[[#This Row],[A_Temperature]]*41</f>
        <v>13.046199999999999</v>
      </c>
      <c r="R851" s="9">
        <v>0.7</v>
      </c>
      <c r="S851" s="9">
        <v>0.16420000000000001</v>
      </c>
      <c r="T851" s="9">
        <v>9</v>
      </c>
      <c r="U851" s="9">
        <v>207</v>
      </c>
      <c r="V851" s="19">
        <v>216</v>
      </c>
    </row>
    <row r="852" spans="1:22" s="13" customFormat="1" ht="30" customHeight="1">
      <c r="A852" s="17" t="s">
        <v>251</v>
      </c>
      <c r="B852" s="8">
        <v>40726</v>
      </c>
      <c r="C852" s="8" t="str">
        <f t="shared" si="39"/>
        <v>Saturday</v>
      </c>
      <c r="D852" s="9">
        <v>1</v>
      </c>
      <c r="E852" s="9">
        <v>0</v>
      </c>
      <c r="F852" s="9">
        <v>2</v>
      </c>
      <c r="G852" s="7">
        <v>18</v>
      </c>
      <c r="H852" s="9" t="b">
        <v>0</v>
      </c>
      <c r="I852" s="9">
        <v>1</v>
      </c>
      <c r="J852" s="38" t="str">
        <f>CHOOSE(Table1[[#This Row],[Weekday]]+1,"Sunday","Monday","Tuesday","Wednesday","Thursday","Friday","Saturday")</f>
        <v>Monday</v>
      </c>
      <c r="K852" s="9">
        <v>2</v>
      </c>
      <c r="L852" s="38" t="str">
        <f>IF(Table1[[#This Row],[Weather_code]]=1,"Clear",IF(Table1[[#This Row],[Weather_code]]=2,"Cloudy",IF(Table1[[#This Row],[Weather_code]]=3,"Light Rain",IF(Table1[[#This Row],[Weather_code]]=4,"Heavy Rain"))))</f>
        <v>Cloudy</v>
      </c>
      <c r="M852" s="9">
        <v>0.34</v>
      </c>
      <c r="N852" s="11" t="str">
        <f t="shared" si="40"/>
        <v>Winter</v>
      </c>
      <c r="O852" s="11" t="str">
        <f t="shared" si="41"/>
        <v>Weekend</v>
      </c>
      <c r="P852" s="9">
        <v>0.33329999999999999</v>
      </c>
      <c r="Q852" s="7">
        <f>Table1[[#This Row],[A_Temperature]]*41</f>
        <v>13.6653</v>
      </c>
      <c r="R852" s="9">
        <v>0.66</v>
      </c>
      <c r="S852" s="9">
        <v>0.1343</v>
      </c>
      <c r="T852" s="9">
        <v>5</v>
      </c>
      <c r="U852" s="9">
        <v>170</v>
      </c>
      <c r="V852" s="19">
        <v>175</v>
      </c>
    </row>
    <row r="853" spans="1:22" s="13" customFormat="1" ht="30" customHeight="1">
      <c r="A853" s="17" t="s">
        <v>252</v>
      </c>
      <c r="B853" s="8">
        <v>40726</v>
      </c>
      <c r="C853" s="8" t="str">
        <f t="shared" si="39"/>
        <v>Saturday</v>
      </c>
      <c r="D853" s="9">
        <v>1</v>
      </c>
      <c r="E853" s="9">
        <v>0</v>
      </c>
      <c r="F853" s="9">
        <v>2</v>
      </c>
      <c r="G853" s="7">
        <v>19</v>
      </c>
      <c r="H853" s="9" t="b">
        <v>0</v>
      </c>
      <c r="I853" s="9">
        <v>1</v>
      </c>
      <c r="J853" s="38" t="str">
        <f>CHOOSE(Table1[[#This Row],[Weekday]]+1,"Sunday","Monday","Tuesday","Wednesday","Thursday","Friday","Saturday")</f>
        <v>Monday</v>
      </c>
      <c r="K853" s="9">
        <v>2</v>
      </c>
      <c r="L853" s="38" t="str">
        <f>IF(Table1[[#This Row],[Weather_code]]=1,"Clear",IF(Table1[[#This Row],[Weather_code]]=2,"Cloudy",IF(Table1[[#This Row],[Weather_code]]=3,"Light Rain",IF(Table1[[#This Row],[Weather_code]]=4,"Heavy Rain"))))</f>
        <v>Cloudy</v>
      </c>
      <c r="M853" s="9">
        <v>0.32</v>
      </c>
      <c r="N853" s="11" t="str">
        <f t="shared" si="40"/>
        <v>Winter</v>
      </c>
      <c r="O853" s="11" t="str">
        <f t="shared" si="41"/>
        <v>Weekend</v>
      </c>
      <c r="P853" s="9">
        <v>0.34849999999999998</v>
      </c>
      <c r="Q853" s="7">
        <f>Table1[[#This Row],[A_Temperature]]*41</f>
        <v>14.288499999999999</v>
      </c>
      <c r="R853" s="9">
        <v>0.7</v>
      </c>
      <c r="S853" s="9">
        <v>0</v>
      </c>
      <c r="T853" s="9">
        <v>5</v>
      </c>
      <c r="U853" s="9">
        <v>123</v>
      </c>
      <c r="V853" s="19">
        <v>128</v>
      </c>
    </row>
    <row r="854" spans="1:22" s="13" customFormat="1" ht="30" customHeight="1">
      <c r="A854" s="17" t="s">
        <v>253</v>
      </c>
      <c r="B854" s="8">
        <v>40726</v>
      </c>
      <c r="C854" s="8" t="str">
        <f t="shared" si="39"/>
        <v>Saturday</v>
      </c>
      <c r="D854" s="9">
        <v>1</v>
      </c>
      <c r="E854" s="9">
        <v>0</v>
      </c>
      <c r="F854" s="9">
        <v>2</v>
      </c>
      <c r="G854" s="7">
        <v>20</v>
      </c>
      <c r="H854" s="9" t="b">
        <v>0</v>
      </c>
      <c r="I854" s="9">
        <v>1</v>
      </c>
      <c r="J854" s="38" t="str">
        <f>CHOOSE(Table1[[#This Row],[Weekday]]+1,"Sunday","Monday","Tuesday","Wednesday","Thursday","Friday","Saturday")</f>
        <v>Monday</v>
      </c>
      <c r="K854" s="9">
        <v>2</v>
      </c>
      <c r="L854" s="38" t="str">
        <f>IF(Table1[[#This Row],[Weather_code]]=1,"Clear",IF(Table1[[#This Row],[Weather_code]]=2,"Cloudy",IF(Table1[[#This Row],[Weather_code]]=3,"Light Rain",IF(Table1[[#This Row],[Weather_code]]=4,"Heavy Rain"))))</f>
        <v>Cloudy</v>
      </c>
      <c r="M854" s="9">
        <v>0.32</v>
      </c>
      <c r="N854" s="11" t="str">
        <f t="shared" si="40"/>
        <v>Winter</v>
      </c>
      <c r="O854" s="11" t="str">
        <f t="shared" si="41"/>
        <v>Weekend</v>
      </c>
      <c r="P854" s="9">
        <v>0.33329999999999999</v>
      </c>
      <c r="Q854" s="7">
        <f>Table1[[#This Row],[A_Temperature]]*41</f>
        <v>13.6653</v>
      </c>
      <c r="R854" s="9">
        <v>0.7</v>
      </c>
      <c r="S854" s="9">
        <v>0.1045</v>
      </c>
      <c r="T854" s="9">
        <v>6</v>
      </c>
      <c r="U854" s="9">
        <v>82</v>
      </c>
      <c r="V854" s="19">
        <v>88</v>
      </c>
    </row>
    <row r="855" spans="1:22" s="13" customFormat="1" ht="30" customHeight="1">
      <c r="A855" s="17" t="s">
        <v>254</v>
      </c>
      <c r="B855" s="8">
        <v>40726</v>
      </c>
      <c r="C855" s="8" t="str">
        <f t="shared" si="39"/>
        <v>Saturday</v>
      </c>
      <c r="D855" s="9">
        <v>1</v>
      </c>
      <c r="E855" s="9">
        <v>0</v>
      </c>
      <c r="F855" s="9">
        <v>2</v>
      </c>
      <c r="G855" s="7">
        <v>21</v>
      </c>
      <c r="H855" s="9" t="b">
        <v>0</v>
      </c>
      <c r="I855" s="9">
        <v>1</v>
      </c>
      <c r="J855" s="38" t="str">
        <f>CHOOSE(Table1[[#This Row],[Weekday]]+1,"Sunday","Monday","Tuesday","Wednesday","Thursday","Friday","Saturday")</f>
        <v>Monday</v>
      </c>
      <c r="K855" s="9">
        <v>1</v>
      </c>
      <c r="L855" s="38" t="str">
        <f>IF(Table1[[#This Row],[Weather_code]]=1,"Clear",IF(Table1[[#This Row],[Weather_code]]=2,"Cloudy",IF(Table1[[#This Row],[Weather_code]]=3,"Light Rain",IF(Table1[[#This Row],[Weather_code]]=4,"Heavy Rain"))))</f>
        <v>Clear</v>
      </c>
      <c r="M855" s="9">
        <v>0.32</v>
      </c>
      <c r="N855" s="11" t="str">
        <f t="shared" si="40"/>
        <v>Winter</v>
      </c>
      <c r="O855" s="11" t="str">
        <f t="shared" si="41"/>
        <v>Weekend</v>
      </c>
      <c r="P855" s="9">
        <v>0.34849999999999998</v>
      </c>
      <c r="Q855" s="7">
        <f>Table1[[#This Row],[A_Temperature]]*41</f>
        <v>14.288499999999999</v>
      </c>
      <c r="R855" s="9">
        <v>0.7</v>
      </c>
      <c r="S855" s="9">
        <v>0</v>
      </c>
      <c r="T855" s="9">
        <v>3</v>
      </c>
      <c r="U855" s="9">
        <v>75</v>
      </c>
      <c r="V855" s="19">
        <v>78</v>
      </c>
    </row>
    <row r="856" spans="1:22" s="13" customFormat="1" ht="30" customHeight="1">
      <c r="A856" s="17" t="s">
        <v>255</v>
      </c>
      <c r="B856" s="8">
        <v>40726</v>
      </c>
      <c r="C856" s="8" t="str">
        <f t="shared" si="39"/>
        <v>Saturday</v>
      </c>
      <c r="D856" s="9">
        <v>1</v>
      </c>
      <c r="E856" s="9">
        <v>0</v>
      </c>
      <c r="F856" s="9">
        <v>2</v>
      </c>
      <c r="G856" s="7">
        <v>22</v>
      </c>
      <c r="H856" s="9" t="b">
        <v>0</v>
      </c>
      <c r="I856" s="9">
        <v>1</v>
      </c>
      <c r="J856" s="38" t="str">
        <f>CHOOSE(Table1[[#This Row],[Weekday]]+1,"Sunday","Monday","Tuesday","Wednesday","Thursday","Friday","Saturday")</f>
        <v>Monday</v>
      </c>
      <c r="K856" s="9">
        <v>1</v>
      </c>
      <c r="L856" s="38" t="str">
        <f>IF(Table1[[#This Row],[Weather_code]]=1,"Clear",IF(Table1[[#This Row],[Weather_code]]=2,"Cloudy",IF(Table1[[#This Row],[Weather_code]]=3,"Light Rain",IF(Table1[[#This Row],[Weather_code]]=4,"Heavy Rain"))))</f>
        <v>Clear</v>
      </c>
      <c r="M856" s="9">
        <v>0.28000000000000003</v>
      </c>
      <c r="N856" s="11" t="str">
        <f t="shared" si="40"/>
        <v>Winter</v>
      </c>
      <c r="O856" s="11" t="str">
        <f t="shared" si="41"/>
        <v>Weekend</v>
      </c>
      <c r="P856" s="9">
        <v>0.30299999999999999</v>
      </c>
      <c r="Q856" s="7">
        <f>Table1[[#This Row],[A_Temperature]]*41</f>
        <v>12.423</v>
      </c>
      <c r="R856" s="9">
        <v>0.81</v>
      </c>
      <c r="S856" s="9">
        <v>8.9599999999999999E-2</v>
      </c>
      <c r="T856" s="9">
        <v>3</v>
      </c>
      <c r="U856" s="9">
        <v>34</v>
      </c>
      <c r="V856" s="19">
        <v>37</v>
      </c>
    </row>
    <row r="857" spans="1:22" s="13" customFormat="1" ht="30" customHeight="1">
      <c r="A857" s="17" t="s">
        <v>256</v>
      </c>
      <c r="B857" s="8">
        <v>40726</v>
      </c>
      <c r="C857" s="8" t="str">
        <f t="shared" si="39"/>
        <v>Saturday</v>
      </c>
      <c r="D857" s="9">
        <v>1</v>
      </c>
      <c r="E857" s="9">
        <v>0</v>
      </c>
      <c r="F857" s="9">
        <v>2</v>
      </c>
      <c r="G857" s="7">
        <v>23</v>
      </c>
      <c r="H857" s="9" t="b">
        <v>0</v>
      </c>
      <c r="I857" s="9">
        <v>1</v>
      </c>
      <c r="J857" s="38" t="str">
        <f>CHOOSE(Table1[[#This Row],[Weekday]]+1,"Sunday","Monday","Tuesday","Wednesday","Thursday","Friday","Saturday")</f>
        <v>Monday</v>
      </c>
      <c r="K857" s="9">
        <v>2</v>
      </c>
      <c r="L857" s="38" t="str">
        <f>IF(Table1[[#This Row],[Weather_code]]=1,"Clear",IF(Table1[[#This Row],[Weather_code]]=2,"Cloudy",IF(Table1[[#This Row],[Weather_code]]=3,"Light Rain",IF(Table1[[#This Row],[Weather_code]]=4,"Heavy Rain"))))</f>
        <v>Cloudy</v>
      </c>
      <c r="M857" s="9">
        <v>0.3</v>
      </c>
      <c r="N857" s="11" t="str">
        <f t="shared" si="40"/>
        <v>Winter</v>
      </c>
      <c r="O857" s="11" t="str">
        <f t="shared" si="41"/>
        <v>Weekend</v>
      </c>
      <c r="P857" s="9">
        <v>0.33329999999999999</v>
      </c>
      <c r="Q857" s="7">
        <f>Table1[[#This Row],[A_Temperature]]*41</f>
        <v>13.6653</v>
      </c>
      <c r="R857" s="9">
        <v>0.81</v>
      </c>
      <c r="S857" s="9">
        <v>0</v>
      </c>
      <c r="T857" s="9">
        <v>6</v>
      </c>
      <c r="U857" s="9">
        <v>19</v>
      </c>
      <c r="V857" s="19">
        <v>25</v>
      </c>
    </row>
    <row r="858" spans="1:22" s="13" customFormat="1" ht="30" customHeight="1">
      <c r="A858" s="17" t="s">
        <v>257</v>
      </c>
      <c r="B858" s="8">
        <v>40757</v>
      </c>
      <c r="C858" s="8" t="str">
        <f t="shared" si="39"/>
        <v>Tuesday</v>
      </c>
      <c r="D858" s="9">
        <v>1</v>
      </c>
      <c r="E858" s="9">
        <v>0</v>
      </c>
      <c r="F858" s="9">
        <v>2</v>
      </c>
      <c r="G858" s="7">
        <v>0</v>
      </c>
      <c r="H858" s="9" t="b">
        <v>0</v>
      </c>
      <c r="I858" s="9">
        <v>2</v>
      </c>
      <c r="J858" s="38" t="str">
        <f>CHOOSE(Table1[[#This Row],[Weekday]]+1,"Sunday","Monday","Tuesday","Wednesday","Thursday","Friday","Saturday")</f>
        <v>Tuesday</v>
      </c>
      <c r="K858" s="9">
        <v>2</v>
      </c>
      <c r="L858" s="38" t="str">
        <f>IF(Table1[[#This Row],[Weather_code]]=1,"Clear",IF(Table1[[#This Row],[Weather_code]]=2,"Cloudy",IF(Table1[[#This Row],[Weather_code]]=3,"Light Rain",IF(Table1[[#This Row],[Weather_code]]=4,"Heavy Rain"))))</f>
        <v>Cloudy</v>
      </c>
      <c r="M858" s="9">
        <v>0.28000000000000003</v>
      </c>
      <c r="N858" s="11" t="str">
        <f t="shared" si="40"/>
        <v>Winter</v>
      </c>
      <c r="O858" s="11" t="str">
        <f t="shared" si="41"/>
        <v>Weekday</v>
      </c>
      <c r="P858" s="9">
        <v>0.31819999999999998</v>
      </c>
      <c r="Q858" s="7">
        <f>Table1[[#This Row],[A_Temperature]]*41</f>
        <v>13.046199999999999</v>
      </c>
      <c r="R858" s="9">
        <v>0.87</v>
      </c>
      <c r="S858" s="9">
        <v>0</v>
      </c>
      <c r="T858" s="9">
        <v>4</v>
      </c>
      <c r="U858" s="9">
        <v>6</v>
      </c>
      <c r="V858" s="19">
        <v>10</v>
      </c>
    </row>
    <row r="859" spans="1:22" s="13" customFormat="1" ht="30" customHeight="1">
      <c r="A859" s="17" t="s">
        <v>258</v>
      </c>
      <c r="B859" s="8">
        <v>40757</v>
      </c>
      <c r="C859" s="8" t="str">
        <f t="shared" si="39"/>
        <v>Tuesday</v>
      </c>
      <c r="D859" s="9">
        <v>1</v>
      </c>
      <c r="E859" s="9">
        <v>0</v>
      </c>
      <c r="F859" s="9">
        <v>2</v>
      </c>
      <c r="G859" s="7">
        <v>1</v>
      </c>
      <c r="H859" s="9" t="b">
        <v>0</v>
      </c>
      <c r="I859" s="9">
        <v>2</v>
      </c>
      <c r="J859" s="38" t="str">
        <f>CHOOSE(Table1[[#This Row],[Weekday]]+1,"Sunday","Monday","Tuesday","Wednesday","Thursday","Friday","Saturday")</f>
        <v>Tuesday</v>
      </c>
      <c r="K859" s="9">
        <v>2</v>
      </c>
      <c r="L859" s="38" t="str">
        <f>IF(Table1[[#This Row],[Weather_code]]=1,"Clear",IF(Table1[[#This Row],[Weather_code]]=2,"Cloudy",IF(Table1[[#This Row],[Weather_code]]=3,"Light Rain",IF(Table1[[#This Row],[Weather_code]]=4,"Heavy Rain"))))</f>
        <v>Cloudy</v>
      </c>
      <c r="M859" s="9">
        <v>0.28000000000000003</v>
      </c>
      <c r="N859" s="11" t="str">
        <f t="shared" si="40"/>
        <v>Winter</v>
      </c>
      <c r="O859" s="11" t="str">
        <f t="shared" si="41"/>
        <v>Weekday</v>
      </c>
      <c r="P859" s="9">
        <v>0.31819999999999998</v>
      </c>
      <c r="Q859" s="7">
        <f>Table1[[#This Row],[A_Temperature]]*41</f>
        <v>13.046199999999999</v>
      </c>
      <c r="R859" s="9">
        <v>0.87</v>
      </c>
      <c r="S859" s="9">
        <v>0</v>
      </c>
      <c r="T859" s="9">
        <v>0</v>
      </c>
      <c r="U859" s="9">
        <v>4</v>
      </c>
      <c r="V859" s="19">
        <v>4</v>
      </c>
    </row>
    <row r="860" spans="1:22" s="13" customFormat="1" ht="30" customHeight="1">
      <c r="A860" s="17" t="s">
        <v>259</v>
      </c>
      <c r="B860" s="8">
        <v>40757</v>
      </c>
      <c r="C860" s="8" t="str">
        <f t="shared" si="39"/>
        <v>Tuesday</v>
      </c>
      <c r="D860" s="9">
        <v>1</v>
      </c>
      <c r="E860" s="9">
        <v>0</v>
      </c>
      <c r="F860" s="9">
        <v>2</v>
      </c>
      <c r="G860" s="7">
        <v>2</v>
      </c>
      <c r="H860" s="9" t="b">
        <v>0</v>
      </c>
      <c r="I860" s="9">
        <v>2</v>
      </c>
      <c r="J860" s="38" t="str">
        <f>CHOOSE(Table1[[#This Row],[Weekday]]+1,"Sunday","Monday","Tuesday","Wednesday","Thursday","Friday","Saturday")</f>
        <v>Tuesday</v>
      </c>
      <c r="K860" s="9">
        <v>2</v>
      </c>
      <c r="L860" s="38" t="str">
        <f>IF(Table1[[#This Row],[Weather_code]]=1,"Clear",IF(Table1[[#This Row],[Weather_code]]=2,"Cloudy",IF(Table1[[#This Row],[Weather_code]]=3,"Light Rain",IF(Table1[[#This Row],[Weather_code]]=4,"Heavy Rain"))))</f>
        <v>Cloudy</v>
      </c>
      <c r="M860" s="9">
        <v>0.26</v>
      </c>
      <c r="N860" s="11" t="str">
        <f t="shared" si="40"/>
        <v>Winter</v>
      </c>
      <c r="O860" s="11" t="str">
        <f t="shared" si="41"/>
        <v>Weekday</v>
      </c>
      <c r="P860" s="9">
        <v>0.2727</v>
      </c>
      <c r="Q860" s="7">
        <f>Table1[[#This Row],[A_Temperature]]*41</f>
        <v>11.1807</v>
      </c>
      <c r="R860" s="9">
        <v>0.93</v>
      </c>
      <c r="S860" s="9">
        <v>0.1045</v>
      </c>
      <c r="T860" s="9">
        <v>1</v>
      </c>
      <c r="U860" s="9">
        <v>1</v>
      </c>
      <c r="V860" s="19">
        <v>2</v>
      </c>
    </row>
    <row r="861" spans="1:22" s="13" customFormat="1" ht="30" customHeight="1">
      <c r="A861" s="17" t="s">
        <v>260</v>
      </c>
      <c r="B861" s="8">
        <v>40757</v>
      </c>
      <c r="C861" s="8" t="str">
        <f t="shared" ref="C861:C924" si="42">TEXT(B861,"DDDD")</f>
        <v>Tuesday</v>
      </c>
      <c r="D861" s="9">
        <v>1</v>
      </c>
      <c r="E861" s="9">
        <v>0</v>
      </c>
      <c r="F861" s="9">
        <v>2</v>
      </c>
      <c r="G861" s="7">
        <v>3</v>
      </c>
      <c r="H861" s="9" t="b">
        <v>0</v>
      </c>
      <c r="I861" s="9">
        <v>2</v>
      </c>
      <c r="J861" s="38" t="str">
        <f>CHOOSE(Table1[[#This Row],[Weekday]]+1,"Sunday","Monday","Tuesday","Wednesday","Thursday","Friday","Saturday")</f>
        <v>Tuesday</v>
      </c>
      <c r="K861" s="9">
        <v>3</v>
      </c>
      <c r="L861" s="38" t="str">
        <f>IF(Table1[[#This Row],[Weather_code]]=1,"Clear",IF(Table1[[#This Row],[Weather_code]]=2,"Cloudy",IF(Table1[[#This Row],[Weather_code]]=3,"Light Rain",IF(Table1[[#This Row],[Weather_code]]=4,"Heavy Rain"))))</f>
        <v>Light Rain</v>
      </c>
      <c r="M861" s="9">
        <v>0.28000000000000003</v>
      </c>
      <c r="N861" s="11" t="str">
        <f t="shared" si="40"/>
        <v>Winter</v>
      </c>
      <c r="O861" s="11" t="str">
        <f t="shared" si="41"/>
        <v>Weekday</v>
      </c>
      <c r="P861" s="9">
        <v>0.2727</v>
      </c>
      <c r="Q861" s="7">
        <f>Table1[[#This Row],[A_Temperature]]*41</f>
        <v>11.1807</v>
      </c>
      <c r="R861" s="9">
        <v>0.93</v>
      </c>
      <c r="S861" s="9">
        <v>0.16420000000000001</v>
      </c>
      <c r="T861" s="9">
        <v>0</v>
      </c>
      <c r="U861" s="9">
        <v>1</v>
      </c>
      <c r="V861" s="19">
        <v>1</v>
      </c>
    </row>
    <row r="862" spans="1:22" s="13" customFormat="1" ht="30" customHeight="1">
      <c r="A862" s="17" t="s">
        <v>261</v>
      </c>
      <c r="B862" s="8">
        <v>40757</v>
      </c>
      <c r="C862" s="8" t="str">
        <f t="shared" si="42"/>
        <v>Tuesday</v>
      </c>
      <c r="D862" s="9">
        <v>1</v>
      </c>
      <c r="E862" s="9">
        <v>0</v>
      </c>
      <c r="F862" s="9">
        <v>2</v>
      </c>
      <c r="G862" s="7">
        <v>4</v>
      </c>
      <c r="H862" s="9" t="b">
        <v>0</v>
      </c>
      <c r="I862" s="9">
        <v>2</v>
      </c>
      <c r="J862" s="38" t="str">
        <f>CHOOSE(Table1[[#This Row],[Weekday]]+1,"Sunday","Monday","Tuesday","Wednesday","Thursday","Friday","Saturday")</f>
        <v>Tuesday</v>
      </c>
      <c r="K862" s="9">
        <v>1</v>
      </c>
      <c r="L862" s="38" t="str">
        <f>IF(Table1[[#This Row],[Weather_code]]=1,"Clear",IF(Table1[[#This Row],[Weather_code]]=2,"Cloudy",IF(Table1[[#This Row],[Weather_code]]=3,"Light Rain",IF(Table1[[#This Row],[Weather_code]]=4,"Heavy Rain"))))</f>
        <v>Clear</v>
      </c>
      <c r="M862" s="9">
        <v>0.26</v>
      </c>
      <c r="N862" s="11" t="str">
        <f t="shared" si="40"/>
        <v>Winter</v>
      </c>
      <c r="O862" s="11" t="str">
        <f t="shared" si="41"/>
        <v>Weekday</v>
      </c>
      <c r="P862" s="9">
        <v>0.2576</v>
      </c>
      <c r="Q862" s="7">
        <f>Table1[[#This Row],[A_Temperature]]*41</f>
        <v>10.5616</v>
      </c>
      <c r="R862" s="9">
        <v>0.93</v>
      </c>
      <c r="S862" s="9">
        <v>0.16420000000000001</v>
      </c>
      <c r="T862" s="9">
        <v>0</v>
      </c>
      <c r="U862" s="9">
        <v>3</v>
      </c>
      <c r="V862" s="19">
        <v>3</v>
      </c>
    </row>
    <row r="863" spans="1:22" s="13" customFormat="1" ht="30" customHeight="1">
      <c r="A863" s="17" t="s">
        <v>262</v>
      </c>
      <c r="B863" s="8">
        <v>40757</v>
      </c>
      <c r="C863" s="8" t="str">
        <f t="shared" si="42"/>
        <v>Tuesday</v>
      </c>
      <c r="D863" s="9">
        <v>1</v>
      </c>
      <c r="E863" s="9">
        <v>0</v>
      </c>
      <c r="F863" s="9">
        <v>2</v>
      </c>
      <c r="G863" s="7">
        <v>5</v>
      </c>
      <c r="H863" s="9" t="b">
        <v>0</v>
      </c>
      <c r="I863" s="9">
        <v>2</v>
      </c>
      <c r="J863" s="38" t="str">
        <f>CHOOSE(Table1[[#This Row],[Weekday]]+1,"Sunday","Monday","Tuesday","Wednesday","Thursday","Friday","Saturday")</f>
        <v>Tuesday</v>
      </c>
      <c r="K863" s="9">
        <v>1</v>
      </c>
      <c r="L863" s="38" t="str">
        <f>IF(Table1[[#This Row],[Weather_code]]=1,"Clear",IF(Table1[[#This Row],[Weather_code]]=2,"Cloudy",IF(Table1[[#This Row],[Weather_code]]=3,"Light Rain",IF(Table1[[#This Row],[Weather_code]]=4,"Heavy Rain"))))</f>
        <v>Clear</v>
      </c>
      <c r="M863" s="9">
        <v>0.26</v>
      </c>
      <c r="N863" s="11" t="str">
        <f t="shared" si="40"/>
        <v>Winter</v>
      </c>
      <c r="O863" s="11" t="str">
        <f t="shared" si="41"/>
        <v>Weekday</v>
      </c>
      <c r="P863" s="9">
        <v>0.2273</v>
      </c>
      <c r="Q863" s="7">
        <f>Table1[[#This Row],[A_Temperature]]*41</f>
        <v>9.3193000000000001</v>
      </c>
      <c r="R863" s="9">
        <v>0.81</v>
      </c>
      <c r="S863" s="9">
        <v>0.32840000000000003</v>
      </c>
      <c r="T863" s="9">
        <v>0</v>
      </c>
      <c r="U863" s="9">
        <v>2</v>
      </c>
      <c r="V863" s="19">
        <v>2</v>
      </c>
    </row>
    <row r="864" spans="1:22" s="13" customFormat="1" ht="30" customHeight="1">
      <c r="A864" s="17" t="s">
        <v>263</v>
      </c>
      <c r="B864" s="8">
        <v>40757</v>
      </c>
      <c r="C864" s="8" t="str">
        <f t="shared" si="42"/>
        <v>Tuesday</v>
      </c>
      <c r="D864" s="9">
        <v>1</v>
      </c>
      <c r="E864" s="9">
        <v>0</v>
      </c>
      <c r="F864" s="9">
        <v>2</v>
      </c>
      <c r="G864" s="7">
        <v>6</v>
      </c>
      <c r="H864" s="9" t="b">
        <v>0</v>
      </c>
      <c r="I864" s="9">
        <v>2</v>
      </c>
      <c r="J864" s="38" t="str">
        <f>CHOOSE(Table1[[#This Row],[Weekday]]+1,"Sunday","Monday","Tuesday","Wednesday","Thursday","Friday","Saturday")</f>
        <v>Tuesday</v>
      </c>
      <c r="K864" s="9">
        <v>1</v>
      </c>
      <c r="L864" s="38" t="str">
        <f>IF(Table1[[#This Row],[Weather_code]]=1,"Clear",IF(Table1[[#This Row],[Weather_code]]=2,"Cloudy",IF(Table1[[#This Row],[Weather_code]]=3,"Light Rain",IF(Table1[[#This Row],[Weather_code]]=4,"Heavy Rain"))))</f>
        <v>Clear</v>
      </c>
      <c r="M864" s="9">
        <v>0.26</v>
      </c>
      <c r="N864" s="11" t="str">
        <f t="shared" si="40"/>
        <v>Winter</v>
      </c>
      <c r="O864" s="11" t="str">
        <f t="shared" si="41"/>
        <v>Weekday</v>
      </c>
      <c r="P864" s="9">
        <v>0.2273</v>
      </c>
      <c r="Q864" s="7">
        <f>Table1[[#This Row],[A_Temperature]]*41</f>
        <v>9.3193000000000001</v>
      </c>
      <c r="R864" s="9">
        <v>0.7</v>
      </c>
      <c r="S864" s="9">
        <v>0.32840000000000003</v>
      </c>
      <c r="T864" s="9">
        <v>0</v>
      </c>
      <c r="U864" s="9">
        <v>39</v>
      </c>
      <c r="V864" s="19">
        <v>39</v>
      </c>
    </row>
    <row r="865" spans="1:22" s="13" customFormat="1" ht="30" customHeight="1">
      <c r="A865" s="17" t="s">
        <v>264</v>
      </c>
      <c r="B865" s="8">
        <v>40757</v>
      </c>
      <c r="C865" s="8" t="str">
        <f t="shared" si="42"/>
        <v>Tuesday</v>
      </c>
      <c r="D865" s="9">
        <v>1</v>
      </c>
      <c r="E865" s="9">
        <v>0</v>
      </c>
      <c r="F865" s="9">
        <v>2</v>
      </c>
      <c r="G865" s="7">
        <v>7</v>
      </c>
      <c r="H865" s="9" t="b">
        <v>0</v>
      </c>
      <c r="I865" s="9">
        <v>2</v>
      </c>
      <c r="J865" s="38" t="str">
        <f>CHOOSE(Table1[[#This Row],[Weekday]]+1,"Sunday","Monday","Tuesday","Wednesday","Thursday","Friday","Saturday")</f>
        <v>Tuesday</v>
      </c>
      <c r="K865" s="9">
        <v>1</v>
      </c>
      <c r="L865" s="38" t="str">
        <f>IF(Table1[[#This Row],[Weather_code]]=1,"Clear",IF(Table1[[#This Row],[Weather_code]]=2,"Cloudy",IF(Table1[[#This Row],[Weather_code]]=3,"Light Rain",IF(Table1[[#This Row],[Weather_code]]=4,"Heavy Rain"))))</f>
        <v>Clear</v>
      </c>
      <c r="M865" s="9">
        <v>0.24</v>
      </c>
      <c r="N865" s="11" t="str">
        <f t="shared" si="40"/>
        <v>Winter</v>
      </c>
      <c r="O865" s="11" t="str">
        <f t="shared" si="41"/>
        <v>Weekday</v>
      </c>
      <c r="P865" s="9">
        <v>0.19700000000000001</v>
      </c>
      <c r="Q865" s="7">
        <f>Table1[[#This Row],[A_Temperature]]*41</f>
        <v>8.077</v>
      </c>
      <c r="R865" s="9">
        <v>0.65</v>
      </c>
      <c r="S865" s="9">
        <v>0.41789999999999999</v>
      </c>
      <c r="T865" s="9">
        <v>3</v>
      </c>
      <c r="U865" s="9">
        <v>97</v>
      </c>
      <c r="V865" s="19">
        <v>100</v>
      </c>
    </row>
    <row r="866" spans="1:22" s="13" customFormat="1" ht="30" customHeight="1">
      <c r="A866" s="17" t="s">
        <v>265</v>
      </c>
      <c r="B866" s="8">
        <v>40757</v>
      </c>
      <c r="C866" s="8" t="str">
        <f t="shared" si="42"/>
        <v>Tuesday</v>
      </c>
      <c r="D866" s="9">
        <v>1</v>
      </c>
      <c r="E866" s="9">
        <v>0</v>
      </c>
      <c r="F866" s="9">
        <v>2</v>
      </c>
      <c r="G866" s="7">
        <v>8</v>
      </c>
      <c r="H866" s="9" t="b">
        <v>0</v>
      </c>
      <c r="I866" s="9">
        <v>2</v>
      </c>
      <c r="J866" s="38" t="str">
        <f>CHOOSE(Table1[[#This Row],[Weekday]]+1,"Sunday","Monday","Tuesday","Wednesday","Thursday","Friday","Saturday")</f>
        <v>Tuesday</v>
      </c>
      <c r="K866" s="9">
        <v>1</v>
      </c>
      <c r="L866" s="38" t="str">
        <f>IF(Table1[[#This Row],[Weather_code]]=1,"Clear",IF(Table1[[#This Row],[Weather_code]]=2,"Cloudy",IF(Table1[[#This Row],[Weather_code]]=3,"Light Rain",IF(Table1[[#This Row],[Weather_code]]=4,"Heavy Rain"))))</f>
        <v>Clear</v>
      </c>
      <c r="M866" s="9">
        <v>0.24</v>
      </c>
      <c r="N866" s="11" t="str">
        <f t="shared" si="40"/>
        <v>Winter</v>
      </c>
      <c r="O866" s="11" t="str">
        <f t="shared" si="41"/>
        <v>Weekday</v>
      </c>
      <c r="P866" s="9">
        <v>0.19700000000000001</v>
      </c>
      <c r="Q866" s="7">
        <f>Table1[[#This Row],[A_Temperature]]*41</f>
        <v>8.077</v>
      </c>
      <c r="R866" s="9">
        <v>0.56000000000000005</v>
      </c>
      <c r="S866" s="9">
        <v>0.49249999999999999</v>
      </c>
      <c r="T866" s="9">
        <v>7</v>
      </c>
      <c r="U866" s="9">
        <v>236</v>
      </c>
      <c r="V866" s="19">
        <v>243</v>
      </c>
    </row>
    <row r="867" spans="1:22" s="13" customFormat="1" ht="30" customHeight="1">
      <c r="A867" s="17" t="s">
        <v>266</v>
      </c>
      <c r="B867" s="8">
        <v>40757</v>
      </c>
      <c r="C867" s="8" t="str">
        <f t="shared" si="42"/>
        <v>Tuesday</v>
      </c>
      <c r="D867" s="9">
        <v>1</v>
      </c>
      <c r="E867" s="9">
        <v>0</v>
      </c>
      <c r="F867" s="9">
        <v>2</v>
      </c>
      <c r="G867" s="7">
        <v>9</v>
      </c>
      <c r="H867" s="9" t="b">
        <v>0</v>
      </c>
      <c r="I867" s="9">
        <v>2</v>
      </c>
      <c r="J867" s="38" t="str">
        <f>CHOOSE(Table1[[#This Row],[Weekday]]+1,"Sunday","Monday","Tuesday","Wednesday","Thursday","Friday","Saturday")</f>
        <v>Tuesday</v>
      </c>
      <c r="K867" s="9">
        <v>1</v>
      </c>
      <c r="L867" s="38" t="str">
        <f>IF(Table1[[#This Row],[Weather_code]]=1,"Clear",IF(Table1[[#This Row],[Weather_code]]=2,"Cloudy",IF(Table1[[#This Row],[Weather_code]]=3,"Light Rain",IF(Table1[[#This Row],[Weather_code]]=4,"Heavy Rain"))))</f>
        <v>Clear</v>
      </c>
      <c r="M867" s="9">
        <v>0.24</v>
      </c>
      <c r="N867" s="11" t="str">
        <f t="shared" si="40"/>
        <v>Winter</v>
      </c>
      <c r="O867" s="11" t="str">
        <f t="shared" si="41"/>
        <v>Weekday</v>
      </c>
      <c r="P867" s="9">
        <v>0.19700000000000001</v>
      </c>
      <c r="Q867" s="7">
        <f>Table1[[#This Row],[A_Temperature]]*41</f>
        <v>8.077</v>
      </c>
      <c r="R867" s="9">
        <v>0.52</v>
      </c>
      <c r="S867" s="9">
        <v>0.49249999999999999</v>
      </c>
      <c r="T867" s="9">
        <v>7</v>
      </c>
      <c r="U867" s="9">
        <v>128</v>
      </c>
      <c r="V867" s="19">
        <v>135</v>
      </c>
    </row>
    <row r="868" spans="1:22" s="13" customFormat="1" ht="30" customHeight="1">
      <c r="A868" s="17" t="s">
        <v>267</v>
      </c>
      <c r="B868" s="8">
        <v>40757</v>
      </c>
      <c r="C868" s="8" t="str">
        <f t="shared" si="42"/>
        <v>Tuesday</v>
      </c>
      <c r="D868" s="9">
        <v>1</v>
      </c>
      <c r="E868" s="9">
        <v>0</v>
      </c>
      <c r="F868" s="9">
        <v>2</v>
      </c>
      <c r="G868" s="7">
        <v>10</v>
      </c>
      <c r="H868" s="9" t="b">
        <v>0</v>
      </c>
      <c r="I868" s="9">
        <v>2</v>
      </c>
      <c r="J868" s="38" t="str">
        <f>CHOOSE(Table1[[#This Row],[Weekday]]+1,"Sunday","Monday","Tuesday","Wednesday","Thursday","Friday","Saturday")</f>
        <v>Tuesday</v>
      </c>
      <c r="K868" s="9">
        <v>1</v>
      </c>
      <c r="L868" s="38" t="str">
        <f>IF(Table1[[#This Row],[Weather_code]]=1,"Clear",IF(Table1[[#This Row],[Weather_code]]=2,"Cloudy",IF(Table1[[#This Row],[Weather_code]]=3,"Light Rain",IF(Table1[[#This Row],[Weather_code]]=4,"Heavy Rain"))))</f>
        <v>Clear</v>
      </c>
      <c r="M868" s="9">
        <v>0.22</v>
      </c>
      <c r="N868" s="11" t="str">
        <f t="shared" si="40"/>
        <v>Winter</v>
      </c>
      <c r="O868" s="11" t="str">
        <f t="shared" si="41"/>
        <v>Weekday</v>
      </c>
      <c r="P868" s="9">
        <v>0.18179999999999999</v>
      </c>
      <c r="Q868" s="7">
        <f>Table1[[#This Row],[A_Temperature]]*41</f>
        <v>7.4537999999999993</v>
      </c>
      <c r="R868" s="9">
        <v>0.47</v>
      </c>
      <c r="S868" s="9">
        <v>0.55220000000000002</v>
      </c>
      <c r="T868" s="9">
        <v>4</v>
      </c>
      <c r="U868" s="9">
        <v>44</v>
      </c>
      <c r="V868" s="19">
        <v>48</v>
      </c>
    </row>
    <row r="869" spans="1:22" s="13" customFormat="1" ht="30" customHeight="1">
      <c r="A869" s="17" t="s">
        <v>268</v>
      </c>
      <c r="B869" s="8">
        <v>40757</v>
      </c>
      <c r="C869" s="8" t="str">
        <f t="shared" si="42"/>
        <v>Tuesday</v>
      </c>
      <c r="D869" s="9">
        <v>1</v>
      </c>
      <c r="E869" s="9">
        <v>0</v>
      </c>
      <c r="F869" s="9">
        <v>2</v>
      </c>
      <c r="G869" s="7">
        <v>11</v>
      </c>
      <c r="H869" s="9" t="b">
        <v>0</v>
      </c>
      <c r="I869" s="9">
        <v>2</v>
      </c>
      <c r="J869" s="38" t="str">
        <f>CHOOSE(Table1[[#This Row],[Weekday]]+1,"Sunday","Monday","Tuesday","Wednesday","Thursday","Friday","Saturday")</f>
        <v>Tuesday</v>
      </c>
      <c r="K869" s="9">
        <v>1</v>
      </c>
      <c r="L869" s="38" t="str">
        <f>IF(Table1[[#This Row],[Weather_code]]=1,"Clear",IF(Table1[[#This Row],[Weather_code]]=2,"Cloudy",IF(Table1[[#This Row],[Weather_code]]=3,"Light Rain",IF(Table1[[#This Row],[Weather_code]]=4,"Heavy Rain"))))</f>
        <v>Clear</v>
      </c>
      <c r="M869" s="9">
        <v>0.22</v>
      </c>
      <c r="N869" s="11" t="str">
        <f t="shared" si="40"/>
        <v>Winter</v>
      </c>
      <c r="O869" s="11" t="str">
        <f t="shared" si="41"/>
        <v>Weekday</v>
      </c>
      <c r="P869" s="9">
        <v>0.18179999999999999</v>
      </c>
      <c r="Q869" s="7">
        <f>Table1[[#This Row],[A_Temperature]]*41</f>
        <v>7.4537999999999993</v>
      </c>
      <c r="R869" s="9">
        <v>0.47</v>
      </c>
      <c r="S869" s="9">
        <v>0.4627</v>
      </c>
      <c r="T869" s="9">
        <v>1</v>
      </c>
      <c r="U869" s="9">
        <v>49</v>
      </c>
      <c r="V869" s="19">
        <v>50</v>
      </c>
    </row>
    <row r="870" spans="1:22" s="13" customFormat="1" ht="30" customHeight="1">
      <c r="A870" s="17" t="s">
        <v>269</v>
      </c>
      <c r="B870" s="8">
        <v>40757</v>
      </c>
      <c r="C870" s="8" t="str">
        <f t="shared" si="42"/>
        <v>Tuesday</v>
      </c>
      <c r="D870" s="9">
        <v>1</v>
      </c>
      <c r="E870" s="9">
        <v>0</v>
      </c>
      <c r="F870" s="9">
        <v>2</v>
      </c>
      <c r="G870" s="7">
        <v>12</v>
      </c>
      <c r="H870" s="9" t="b">
        <v>0</v>
      </c>
      <c r="I870" s="9">
        <v>2</v>
      </c>
      <c r="J870" s="38" t="str">
        <f>CHOOSE(Table1[[#This Row],[Weekday]]+1,"Sunday","Monday","Tuesday","Wednesday","Thursday","Friday","Saturday")</f>
        <v>Tuesday</v>
      </c>
      <c r="K870" s="9">
        <v>1</v>
      </c>
      <c r="L870" s="38" t="str">
        <f>IF(Table1[[#This Row],[Weather_code]]=1,"Clear",IF(Table1[[#This Row],[Weather_code]]=2,"Cloudy",IF(Table1[[#This Row],[Weather_code]]=3,"Light Rain",IF(Table1[[#This Row],[Weather_code]]=4,"Heavy Rain"))))</f>
        <v>Clear</v>
      </c>
      <c r="M870" s="9">
        <v>0.24</v>
      </c>
      <c r="N870" s="11" t="str">
        <f t="shared" si="40"/>
        <v>Winter</v>
      </c>
      <c r="O870" s="11" t="str">
        <f t="shared" si="41"/>
        <v>Weekday</v>
      </c>
      <c r="P870" s="9">
        <v>0.19700000000000001</v>
      </c>
      <c r="Q870" s="7">
        <f>Table1[[#This Row],[A_Temperature]]*41</f>
        <v>8.077</v>
      </c>
      <c r="R870" s="9">
        <v>0.38</v>
      </c>
      <c r="S870" s="9">
        <v>0.49249999999999999</v>
      </c>
      <c r="T870" s="9">
        <v>2</v>
      </c>
      <c r="U870" s="9">
        <v>63</v>
      </c>
      <c r="V870" s="19">
        <v>65</v>
      </c>
    </row>
    <row r="871" spans="1:22" s="13" customFormat="1" ht="30" customHeight="1">
      <c r="A871" s="17" t="s">
        <v>270</v>
      </c>
      <c r="B871" s="8">
        <v>40757</v>
      </c>
      <c r="C871" s="8" t="str">
        <f t="shared" si="42"/>
        <v>Tuesday</v>
      </c>
      <c r="D871" s="9">
        <v>1</v>
      </c>
      <c r="E871" s="9">
        <v>0</v>
      </c>
      <c r="F871" s="9">
        <v>2</v>
      </c>
      <c r="G871" s="7">
        <v>13</v>
      </c>
      <c r="H871" s="9" t="b">
        <v>0</v>
      </c>
      <c r="I871" s="9">
        <v>2</v>
      </c>
      <c r="J871" s="38" t="str">
        <f>CHOOSE(Table1[[#This Row],[Weekday]]+1,"Sunday","Monday","Tuesday","Wednesday","Thursday","Friday","Saturday")</f>
        <v>Tuesday</v>
      </c>
      <c r="K871" s="9">
        <v>2</v>
      </c>
      <c r="L871" s="38" t="str">
        <f>IF(Table1[[#This Row],[Weather_code]]=1,"Clear",IF(Table1[[#This Row],[Weather_code]]=2,"Cloudy",IF(Table1[[#This Row],[Weather_code]]=3,"Light Rain",IF(Table1[[#This Row],[Weather_code]]=4,"Heavy Rain"))))</f>
        <v>Cloudy</v>
      </c>
      <c r="M871" s="9">
        <v>0.24</v>
      </c>
      <c r="N871" s="11" t="str">
        <f t="shared" ref="N871:N934" si="43">CHOOSE(D871,"Winter","Spring","Summer","Fall")</f>
        <v>Winter</v>
      </c>
      <c r="O871" s="11" t="str">
        <f t="shared" si="41"/>
        <v>Weekday</v>
      </c>
      <c r="P871" s="9">
        <v>0.19700000000000001</v>
      </c>
      <c r="Q871" s="7">
        <f>Table1[[#This Row],[A_Temperature]]*41</f>
        <v>8.077</v>
      </c>
      <c r="R871" s="9">
        <v>0.32</v>
      </c>
      <c r="S871" s="9">
        <v>0.44779999999999998</v>
      </c>
      <c r="T871" s="9">
        <v>2</v>
      </c>
      <c r="U871" s="9">
        <v>48</v>
      </c>
      <c r="V871" s="19">
        <v>50</v>
      </c>
    </row>
    <row r="872" spans="1:22" s="13" customFormat="1" ht="30" customHeight="1">
      <c r="A872" s="17" t="s">
        <v>271</v>
      </c>
      <c r="B872" s="8">
        <v>40757</v>
      </c>
      <c r="C872" s="8" t="str">
        <f t="shared" si="42"/>
        <v>Tuesday</v>
      </c>
      <c r="D872" s="9">
        <v>1</v>
      </c>
      <c r="E872" s="9">
        <v>0</v>
      </c>
      <c r="F872" s="9">
        <v>2</v>
      </c>
      <c r="G872" s="7">
        <v>14</v>
      </c>
      <c r="H872" s="9" t="b">
        <v>0</v>
      </c>
      <c r="I872" s="9">
        <v>2</v>
      </c>
      <c r="J872" s="38" t="str">
        <f>CHOOSE(Table1[[#This Row],[Weekday]]+1,"Sunday","Monday","Tuesday","Wednesday","Thursday","Friday","Saturday")</f>
        <v>Tuesday</v>
      </c>
      <c r="K872" s="9">
        <v>1</v>
      </c>
      <c r="L872" s="38" t="str">
        <f>IF(Table1[[#This Row],[Weather_code]]=1,"Clear",IF(Table1[[#This Row],[Weather_code]]=2,"Cloudy",IF(Table1[[#This Row],[Weather_code]]=3,"Light Rain",IF(Table1[[#This Row],[Weather_code]]=4,"Heavy Rain"))))</f>
        <v>Clear</v>
      </c>
      <c r="M872" s="9">
        <v>0.22</v>
      </c>
      <c r="N872" s="11" t="str">
        <f t="shared" si="43"/>
        <v>Winter</v>
      </c>
      <c r="O872" s="11" t="str">
        <f t="shared" si="41"/>
        <v>Weekday</v>
      </c>
      <c r="P872" s="9">
        <v>0.19700000000000001</v>
      </c>
      <c r="Q872" s="7">
        <f>Table1[[#This Row],[A_Temperature]]*41</f>
        <v>8.077</v>
      </c>
      <c r="R872" s="9">
        <v>0.37</v>
      </c>
      <c r="S872" s="9">
        <v>0.41789999999999999</v>
      </c>
      <c r="T872" s="9">
        <v>3</v>
      </c>
      <c r="U872" s="9">
        <v>61</v>
      </c>
      <c r="V872" s="19">
        <v>64</v>
      </c>
    </row>
    <row r="873" spans="1:22" s="13" customFormat="1" ht="30" customHeight="1">
      <c r="A873" s="17" t="s">
        <v>272</v>
      </c>
      <c r="B873" s="8">
        <v>40757</v>
      </c>
      <c r="C873" s="8" t="str">
        <f t="shared" si="42"/>
        <v>Tuesday</v>
      </c>
      <c r="D873" s="9">
        <v>1</v>
      </c>
      <c r="E873" s="9">
        <v>0</v>
      </c>
      <c r="F873" s="9">
        <v>2</v>
      </c>
      <c r="G873" s="7">
        <v>15</v>
      </c>
      <c r="H873" s="9" t="b">
        <v>0</v>
      </c>
      <c r="I873" s="9">
        <v>2</v>
      </c>
      <c r="J873" s="38" t="str">
        <f>CHOOSE(Table1[[#This Row],[Weekday]]+1,"Sunday","Monday","Tuesday","Wednesday","Thursday","Friday","Saturday")</f>
        <v>Tuesday</v>
      </c>
      <c r="K873" s="9">
        <v>1</v>
      </c>
      <c r="L873" s="38" t="str">
        <f>IF(Table1[[#This Row],[Weather_code]]=1,"Clear",IF(Table1[[#This Row],[Weather_code]]=2,"Cloudy",IF(Table1[[#This Row],[Weather_code]]=3,"Light Rain",IF(Table1[[#This Row],[Weather_code]]=4,"Heavy Rain"))))</f>
        <v>Clear</v>
      </c>
      <c r="M873" s="9">
        <v>0.22</v>
      </c>
      <c r="N873" s="11" t="str">
        <f t="shared" si="43"/>
        <v>Winter</v>
      </c>
      <c r="O873" s="11" t="str">
        <f t="shared" si="41"/>
        <v>Weekday</v>
      </c>
      <c r="P873" s="9">
        <v>0.19700000000000001</v>
      </c>
      <c r="Q873" s="7">
        <f>Table1[[#This Row],[A_Temperature]]*41</f>
        <v>8.077</v>
      </c>
      <c r="R873" s="9">
        <v>0.35</v>
      </c>
      <c r="S873" s="9">
        <v>0.3881</v>
      </c>
      <c r="T873" s="9">
        <v>6</v>
      </c>
      <c r="U873" s="9">
        <v>45</v>
      </c>
      <c r="V873" s="19">
        <v>51</v>
      </c>
    </row>
    <row r="874" spans="1:22" s="13" customFormat="1" ht="30" customHeight="1">
      <c r="A874" s="17" t="s">
        <v>273</v>
      </c>
      <c r="B874" s="8">
        <v>40757</v>
      </c>
      <c r="C874" s="8" t="str">
        <f t="shared" si="42"/>
        <v>Tuesday</v>
      </c>
      <c r="D874" s="9">
        <v>1</v>
      </c>
      <c r="E874" s="9">
        <v>0</v>
      </c>
      <c r="F874" s="9">
        <v>2</v>
      </c>
      <c r="G874" s="7">
        <v>16</v>
      </c>
      <c r="H874" s="9" t="b">
        <v>0</v>
      </c>
      <c r="I874" s="9">
        <v>2</v>
      </c>
      <c r="J874" s="38" t="str">
        <f>CHOOSE(Table1[[#This Row],[Weekday]]+1,"Sunday","Monday","Tuesday","Wednesday","Thursday","Friday","Saturday")</f>
        <v>Tuesday</v>
      </c>
      <c r="K874" s="9">
        <v>1</v>
      </c>
      <c r="L874" s="38" t="str">
        <f>IF(Table1[[#This Row],[Weather_code]]=1,"Clear",IF(Table1[[#This Row],[Weather_code]]=2,"Cloudy",IF(Table1[[#This Row],[Weather_code]]=3,"Light Rain",IF(Table1[[#This Row],[Weather_code]]=4,"Heavy Rain"))))</f>
        <v>Clear</v>
      </c>
      <c r="M874" s="9">
        <v>0.22</v>
      </c>
      <c r="N874" s="11" t="str">
        <f t="shared" si="43"/>
        <v>Winter</v>
      </c>
      <c r="O874" s="11" t="str">
        <f t="shared" si="41"/>
        <v>Weekday</v>
      </c>
      <c r="P874" s="9">
        <v>0.18179999999999999</v>
      </c>
      <c r="Q874" s="7">
        <f>Table1[[#This Row],[A_Temperature]]*41</f>
        <v>7.4537999999999993</v>
      </c>
      <c r="R874" s="9">
        <v>0.35</v>
      </c>
      <c r="S874" s="9">
        <v>0.52239999999999998</v>
      </c>
      <c r="T874" s="9">
        <v>4</v>
      </c>
      <c r="U874" s="9">
        <v>79</v>
      </c>
      <c r="V874" s="19">
        <v>83</v>
      </c>
    </row>
    <row r="875" spans="1:22" s="13" customFormat="1" ht="30" customHeight="1">
      <c r="A875" s="17" t="s">
        <v>274</v>
      </c>
      <c r="B875" s="8">
        <v>40757</v>
      </c>
      <c r="C875" s="8" t="str">
        <f t="shared" si="42"/>
        <v>Tuesday</v>
      </c>
      <c r="D875" s="9">
        <v>1</v>
      </c>
      <c r="E875" s="9">
        <v>0</v>
      </c>
      <c r="F875" s="9">
        <v>2</v>
      </c>
      <c r="G875" s="7">
        <v>17</v>
      </c>
      <c r="H875" s="9" t="b">
        <v>0</v>
      </c>
      <c r="I875" s="9">
        <v>2</v>
      </c>
      <c r="J875" s="38" t="str">
        <f>CHOOSE(Table1[[#This Row],[Weekday]]+1,"Sunday","Monday","Tuesday","Wednesday","Thursday","Friday","Saturday")</f>
        <v>Tuesday</v>
      </c>
      <c r="K875" s="9">
        <v>1</v>
      </c>
      <c r="L875" s="38" t="str">
        <f>IF(Table1[[#This Row],[Weather_code]]=1,"Clear",IF(Table1[[#This Row],[Weather_code]]=2,"Cloudy",IF(Table1[[#This Row],[Weather_code]]=3,"Light Rain",IF(Table1[[#This Row],[Weather_code]]=4,"Heavy Rain"))))</f>
        <v>Clear</v>
      </c>
      <c r="M875" s="9">
        <v>0.22</v>
      </c>
      <c r="N875" s="11" t="str">
        <f t="shared" si="43"/>
        <v>Winter</v>
      </c>
      <c r="O875" s="11" t="str">
        <f t="shared" si="41"/>
        <v>Weekday</v>
      </c>
      <c r="P875" s="9">
        <v>0.18179999999999999</v>
      </c>
      <c r="Q875" s="7">
        <f>Table1[[#This Row],[A_Temperature]]*41</f>
        <v>7.4537999999999993</v>
      </c>
      <c r="R875" s="9">
        <v>0.32</v>
      </c>
      <c r="S875" s="9">
        <v>0.58209999999999995</v>
      </c>
      <c r="T875" s="9">
        <v>4</v>
      </c>
      <c r="U875" s="9">
        <v>172</v>
      </c>
      <c r="V875" s="19">
        <v>176</v>
      </c>
    </row>
    <row r="876" spans="1:22" s="13" customFormat="1" ht="30" customHeight="1">
      <c r="A876" s="17" t="s">
        <v>275</v>
      </c>
      <c r="B876" s="8">
        <v>40757</v>
      </c>
      <c r="C876" s="8" t="str">
        <f t="shared" si="42"/>
        <v>Tuesday</v>
      </c>
      <c r="D876" s="9">
        <v>1</v>
      </c>
      <c r="E876" s="9">
        <v>0</v>
      </c>
      <c r="F876" s="9">
        <v>2</v>
      </c>
      <c r="G876" s="7">
        <v>18</v>
      </c>
      <c r="H876" s="9" t="b">
        <v>0</v>
      </c>
      <c r="I876" s="9">
        <v>2</v>
      </c>
      <c r="J876" s="38" t="str">
        <f>CHOOSE(Table1[[#This Row],[Weekday]]+1,"Sunday","Monday","Tuesday","Wednesday","Thursday","Friday","Saturday")</f>
        <v>Tuesday</v>
      </c>
      <c r="K876" s="9">
        <v>1</v>
      </c>
      <c r="L876" s="38" t="str">
        <f>IF(Table1[[#This Row],[Weather_code]]=1,"Clear",IF(Table1[[#This Row],[Weather_code]]=2,"Cloudy",IF(Table1[[#This Row],[Weather_code]]=3,"Light Rain",IF(Table1[[#This Row],[Weather_code]]=4,"Heavy Rain"))))</f>
        <v>Clear</v>
      </c>
      <c r="M876" s="9">
        <v>0.2</v>
      </c>
      <c r="N876" s="11" t="str">
        <f t="shared" si="43"/>
        <v>Winter</v>
      </c>
      <c r="O876" s="11" t="str">
        <f t="shared" si="41"/>
        <v>Weekday</v>
      </c>
      <c r="P876" s="9">
        <v>0.18179999999999999</v>
      </c>
      <c r="Q876" s="7">
        <f>Table1[[#This Row],[A_Temperature]]*41</f>
        <v>7.4537999999999993</v>
      </c>
      <c r="R876" s="9">
        <v>0.32</v>
      </c>
      <c r="S876" s="9">
        <v>0.3881</v>
      </c>
      <c r="T876" s="9">
        <v>1</v>
      </c>
      <c r="U876" s="9">
        <v>151</v>
      </c>
      <c r="V876" s="19">
        <v>152</v>
      </c>
    </row>
    <row r="877" spans="1:22" s="13" customFormat="1" ht="30" customHeight="1">
      <c r="A877" s="17" t="s">
        <v>276</v>
      </c>
      <c r="B877" s="8">
        <v>40757</v>
      </c>
      <c r="C877" s="8" t="str">
        <f t="shared" si="42"/>
        <v>Tuesday</v>
      </c>
      <c r="D877" s="9">
        <v>1</v>
      </c>
      <c r="E877" s="9">
        <v>0</v>
      </c>
      <c r="F877" s="9">
        <v>2</v>
      </c>
      <c r="G877" s="7">
        <v>19</v>
      </c>
      <c r="H877" s="9" t="b">
        <v>0</v>
      </c>
      <c r="I877" s="9">
        <v>2</v>
      </c>
      <c r="J877" s="38" t="str">
        <f>CHOOSE(Table1[[#This Row],[Weekday]]+1,"Sunday","Monday","Tuesday","Wednesday","Thursday","Friday","Saturday")</f>
        <v>Tuesday</v>
      </c>
      <c r="K877" s="9">
        <v>1</v>
      </c>
      <c r="L877" s="38" t="str">
        <f>IF(Table1[[#This Row],[Weather_code]]=1,"Clear",IF(Table1[[#This Row],[Weather_code]]=2,"Cloudy",IF(Table1[[#This Row],[Weather_code]]=3,"Light Rain",IF(Table1[[#This Row],[Weather_code]]=4,"Heavy Rain"))))</f>
        <v>Clear</v>
      </c>
      <c r="M877" s="9">
        <v>0.16</v>
      </c>
      <c r="N877" s="11" t="str">
        <f t="shared" si="43"/>
        <v>Winter</v>
      </c>
      <c r="O877" s="11" t="str">
        <f t="shared" si="41"/>
        <v>Weekday</v>
      </c>
      <c r="P877" s="9">
        <v>0.1212</v>
      </c>
      <c r="Q877" s="7">
        <f>Table1[[#This Row],[A_Temperature]]*41</f>
        <v>4.9691999999999998</v>
      </c>
      <c r="R877" s="9">
        <v>0.4</v>
      </c>
      <c r="S877" s="9">
        <v>0.4627</v>
      </c>
      <c r="T877" s="9">
        <v>1</v>
      </c>
      <c r="U877" s="9">
        <v>100</v>
      </c>
      <c r="V877" s="19">
        <v>101</v>
      </c>
    </row>
    <row r="878" spans="1:22" s="13" customFormat="1" ht="30" customHeight="1">
      <c r="A878" s="17" t="s">
        <v>277</v>
      </c>
      <c r="B878" s="8">
        <v>40757</v>
      </c>
      <c r="C878" s="8" t="str">
        <f t="shared" si="42"/>
        <v>Tuesday</v>
      </c>
      <c r="D878" s="9">
        <v>1</v>
      </c>
      <c r="E878" s="9">
        <v>0</v>
      </c>
      <c r="F878" s="9">
        <v>2</v>
      </c>
      <c r="G878" s="7">
        <v>20</v>
      </c>
      <c r="H878" s="9" t="b">
        <v>0</v>
      </c>
      <c r="I878" s="9">
        <v>2</v>
      </c>
      <c r="J878" s="38" t="str">
        <f>CHOOSE(Table1[[#This Row],[Weekday]]+1,"Sunday","Monday","Tuesday","Wednesday","Thursday","Friday","Saturday")</f>
        <v>Tuesday</v>
      </c>
      <c r="K878" s="9">
        <v>1</v>
      </c>
      <c r="L878" s="38" t="str">
        <f>IF(Table1[[#This Row],[Weather_code]]=1,"Clear",IF(Table1[[#This Row],[Weather_code]]=2,"Cloudy",IF(Table1[[#This Row],[Weather_code]]=3,"Light Rain",IF(Table1[[#This Row],[Weather_code]]=4,"Heavy Rain"))))</f>
        <v>Clear</v>
      </c>
      <c r="M878" s="9">
        <v>0.16</v>
      </c>
      <c r="N878" s="11" t="str">
        <f t="shared" si="43"/>
        <v>Winter</v>
      </c>
      <c r="O878" s="11" t="str">
        <f t="shared" si="41"/>
        <v>Weekday</v>
      </c>
      <c r="P878" s="9">
        <v>0.13639999999999999</v>
      </c>
      <c r="Q878" s="7">
        <f>Table1[[#This Row],[A_Temperature]]*41</f>
        <v>5.5923999999999996</v>
      </c>
      <c r="R878" s="9">
        <v>0.4</v>
      </c>
      <c r="S878" s="9">
        <v>0.32840000000000003</v>
      </c>
      <c r="T878" s="9">
        <v>3</v>
      </c>
      <c r="U878" s="9">
        <v>53</v>
      </c>
      <c r="V878" s="19">
        <v>56</v>
      </c>
    </row>
    <row r="879" spans="1:22" s="13" customFormat="1" ht="30" customHeight="1">
      <c r="A879" s="17" t="s">
        <v>278</v>
      </c>
      <c r="B879" s="8">
        <v>40757</v>
      </c>
      <c r="C879" s="8" t="str">
        <f t="shared" si="42"/>
        <v>Tuesday</v>
      </c>
      <c r="D879" s="9">
        <v>1</v>
      </c>
      <c r="E879" s="9">
        <v>0</v>
      </c>
      <c r="F879" s="9">
        <v>2</v>
      </c>
      <c r="G879" s="7">
        <v>21</v>
      </c>
      <c r="H879" s="9" t="b">
        <v>0</v>
      </c>
      <c r="I879" s="9">
        <v>2</v>
      </c>
      <c r="J879" s="38" t="str">
        <f>CHOOSE(Table1[[#This Row],[Weekday]]+1,"Sunday","Monday","Tuesday","Wednesday","Thursday","Friday","Saturday")</f>
        <v>Tuesday</v>
      </c>
      <c r="K879" s="9">
        <v>1</v>
      </c>
      <c r="L879" s="38" t="str">
        <f>IF(Table1[[#This Row],[Weather_code]]=1,"Clear",IF(Table1[[#This Row],[Weather_code]]=2,"Cloudy",IF(Table1[[#This Row],[Weather_code]]=3,"Light Rain",IF(Table1[[#This Row],[Weather_code]]=4,"Heavy Rain"))))</f>
        <v>Clear</v>
      </c>
      <c r="M879" s="9">
        <v>0.14000000000000001</v>
      </c>
      <c r="N879" s="11" t="str">
        <f t="shared" si="43"/>
        <v>Winter</v>
      </c>
      <c r="O879" s="11" t="str">
        <f t="shared" si="41"/>
        <v>Weekday</v>
      </c>
      <c r="P879" s="9">
        <v>0.1061</v>
      </c>
      <c r="Q879" s="7">
        <f>Table1[[#This Row],[A_Temperature]]*41</f>
        <v>4.3501000000000003</v>
      </c>
      <c r="R879" s="9">
        <v>0.33</v>
      </c>
      <c r="S879" s="9">
        <v>0.4627</v>
      </c>
      <c r="T879" s="9">
        <v>8</v>
      </c>
      <c r="U879" s="9">
        <v>46</v>
      </c>
      <c r="V879" s="19">
        <v>54</v>
      </c>
    </row>
    <row r="880" spans="1:22" s="13" customFormat="1" ht="30" customHeight="1">
      <c r="A880" s="17" t="s">
        <v>279</v>
      </c>
      <c r="B880" s="8">
        <v>40757</v>
      </c>
      <c r="C880" s="8" t="str">
        <f t="shared" si="42"/>
        <v>Tuesday</v>
      </c>
      <c r="D880" s="9">
        <v>1</v>
      </c>
      <c r="E880" s="9">
        <v>0</v>
      </c>
      <c r="F880" s="9">
        <v>2</v>
      </c>
      <c r="G880" s="7">
        <v>22</v>
      </c>
      <c r="H880" s="9" t="b">
        <v>0</v>
      </c>
      <c r="I880" s="9">
        <v>2</v>
      </c>
      <c r="J880" s="38" t="str">
        <f>CHOOSE(Table1[[#This Row],[Weekday]]+1,"Sunday","Monday","Tuesday","Wednesday","Thursday","Friday","Saturday")</f>
        <v>Tuesday</v>
      </c>
      <c r="K880" s="9">
        <v>1</v>
      </c>
      <c r="L880" s="38" t="str">
        <f>IF(Table1[[#This Row],[Weather_code]]=1,"Clear",IF(Table1[[#This Row],[Weather_code]]=2,"Cloudy",IF(Table1[[#This Row],[Weather_code]]=3,"Light Rain",IF(Table1[[#This Row],[Weather_code]]=4,"Heavy Rain"))))</f>
        <v>Clear</v>
      </c>
      <c r="M880" s="9">
        <v>0.12</v>
      </c>
      <c r="N880" s="11" t="str">
        <f t="shared" si="43"/>
        <v>Winter</v>
      </c>
      <c r="O880" s="11" t="str">
        <f t="shared" si="41"/>
        <v>Weekday</v>
      </c>
      <c r="P880" s="9">
        <v>0.1061</v>
      </c>
      <c r="Q880" s="7">
        <f>Table1[[#This Row],[A_Temperature]]*41</f>
        <v>4.3501000000000003</v>
      </c>
      <c r="R880" s="9">
        <v>0.33</v>
      </c>
      <c r="S880" s="9">
        <v>0.35820000000000002</v>
      </c>
      <c r="T880" s="9">
        <v>0</v>
      </c>
      <c r="U880" s="9">
        <v>29</v>
      </c>
      <c r="V880" s="19">
        <v>29</v>
      </c>
    </row>
    <row r="881" spans="1:22" s="13" customFormat="1" ht="30" customHeight="1">
      <c r="A881" s="17" t="s">
        <v>280</v>
      </c>
      <c r="B881" s="8">
        <v>40757</v>
      </c>
      <c r="C881" s="8" t="str">
        <f t="shared" si="42"/>
        <v>Tuesday</v>
      </c>
      <c r="D881" s="9">
        <v>1</v>
      </c>
      <c r="E881" s="9">
        <v>0</v>
      </c>
      <c r="F881" s="9">
        <v>2</v>
      </c>
      <c r="G881" s="7">
        <v>23</v>
      </c>
      <c r="H881" s="9" t="b">
        <v>0</v>
      </c>
      <c r="I881" s="9">
        <v>2</v>
      </c>
      <c r="J881" s="38" t="str">
        <f>CHOOSE(Table1[[#This Row],[Weekday]]+1,"Sunday","Monday","Tuesday","Wednesday","Thursday","Friday","Saturday")</f>
        <v>Tuesday</v>
      </c>
      <c r="K881" s="9">
        <v>1</v>
      </c>
      <c r="L881" s="38" t="str">
        <f>IF(Table1[[#This Row],[Weather_code]]=1,"Clear",IF(Table1[[#This Row],[Weather_code]]=2,"Cloudy",IF(Table1[[#This Row],[Weather_code]]=3,"Light Rain",IF(Table1[[#This Row],[Weather_code]]=4,"Heavy Rain"))))</f>
        <v>Clear</v>
      </c>
      <c r="M881" s="9">
        <v>0.12</v>
      </c>
      <c r="N881" s="11" t="str">
        <f t="shared" si="43"/>
        <v>Winter</v>
      </c>
      <c r="O881" s="11" t="str">
        <f t="shared" si="41"/>
        <v>Weekday</v>
      </c>
      <c r="P881" s="9">
        <v>0.1061</v>
      </c>
      <c r="Q881" s="7">
        <f>Table1[[#This Row],[A_Temperature]]*41</f>
        <v>4.3501000000000003</v>
      </c>
      <c r="R881" s="9">
        <v>0.33</v>
      </c>
      <c r="S881" s="9">
        <v>0.32840000000000003</v>
      </c>
      <c r="T881" s="9">
        <v>3</v>
      </c>
      <c r="U881" s="9">
        <v>9</v>
      </c>
      <c r="V881" s="19">
        <v>12</v>
      </c>
    </row>
    <row r="882" spans="1:22" s="13" customFormat="1" ht="30" customHeight="1">
      <c r="A882" s="17" t="s">
        <v>281</v>
      </c>
      <c r="B882" s="8">
        <v>40788</v>
      </c>
      <c r="C882" s="8" t="str">
        <f t="shared" si="42"/>
        <v>Friday</v>
      </c>
      <c r="D882" s="9">
        <v>1</v>
      </c>
      <c r="E882" s="9">
        <v>0</v>
      </c>
      <c r="F882" s="9">
        <v>2</v>
      </c>
      <c r="G882" s="7">
        <v>0</v>
      </c>
      <c r="H882" s="9" t="b">
        <v>0</v>
      </c>
      <c r="I882" s="9">
        <v>3</v>
      </c>
      <c r="J882" s="38" t="str">
        <f>CHOOSE(Table1[[#This Row],[Weekday]]+1,"Sunday","Monday","Tuesday","Wednesday","Thursday","Friday","Saturday")</f>
        <v>Wednesday</v>
      </c>
      <c r="K882" s="9">
        <v>1</v>
      </c>
      <c r="L882" s="38" t="str">
        <f>IF(Table1[[#This Row],[Weather_code]]=1,"Clear",IF(Table1[[#This Row],[Weather_code]]=2,"Cloudy",IF(Table1[[#This Row],[Weather_code]]=3,"Light Rain",IF(Table1[[#This Row],[Weather_code]]=4,"Heavy Rain"))))</f>
        <v>Clear</v>
      </c>
      <c r="M882" s="9">
        <v>0.1</v>
      </c>
      <c r="N882" s="11" t="str">
        <f t="shared" si="43"/>
        <v>Winter</v>
      </c>
      <c r="O882" s="11" t="str">
        <f t="shared" si="41"/>
        <v>Weekday</v>
      </c>
      <c r="P882" s="9">
        <v>7.5800000000000006E-2</v>
      </c>
      <c r="Q882" s="7">
        <f>Table1[[#This Row],[A_Temperature]]*41</f>
        <v>3.1078000000000001</v>
      </c>
      <c r="R882" s="9">
        <v>0.36</v>
      </c>
      <c r="S882" s="9">
        <v>0.35820000000000002</v>
      </c>
      <c r="T882" s="9">
        <v>0</v>
      </c>
      <c r="U882" s="9">
        <v>17</v>
      </c>
      <c r="V882" s="19">
        <v>17</v>
      </c>
    </row>
    <row r="883" spans="1:22" s="13" customFormat="1" ht="30" customHeight="1">
      <c r="A883" s="17" t="s">
        <v>282</v>
      </c>
      <c r="B883" s="8">
        <v>40788</v>
      </c>
      <c r="C883" s="8" t="str">
        <f t="shared" si="42"/>
        <v>Friday</v>
      </c>
      <c r="D883" s="9">
        <v>1</v>
      </c>
      <c r="E883" s="9">
        <v>0</v>
      </c>
      <c r="F883" s="9">
        <v>2</v>
      </c>
      <c r="G883" s="7">
        <v>1</v>
      </c>
      <c r="H883" s="9" t="b">
        <v>0</v>
      </c>
      <c r="I883" s="9">
        <v>3</v>
      </c>
      <c r="J883" s="38" t="str">
        <f>CHOOSE(Table1[[#This Row],[Weekday]]+1,"Sunday","Monday","Tuesday","Wednesday","Thursday","Friday","Saturday")</f>
        <v>Wednesday</v>
      </c>
      <c r="K883" s="9">
        <v>1</v>
      </c>
      <c r="L883" s="38" t="str">
        <f>IF(Table1[[#This Row],[Weather_code]]=1,"Clear",IF(Table1[[#This Row],[Weather_code]]=2,"Cloudy",IF(Table1[[#This Row],[Weather_code]]=3,"Light Rain",IF(Table1[[#This Row],[Weather_code]]=4,"Heavy Rain"))))</f>
        <v>Clear</v>
      </c>
      <c r="M883" s="9">
        <v>0.1</v>
      </c>
      <c r="N883" s="11" t="str">
        <f t="shared" si="43"/>
        <v>Winter</v>
      </c>
      <c r="O883" s="11" t="str">
        <f t="shared" si="41"/>
        <v>Weekday</v>
      </c>
      <c r="P883" s="9">
        <v>0.1061</v>
      </c>
      <c r="Q883" s="7">
        <f>Table1[[#This Row],[A_Temperature]]*41</f>
        <v>4.3501000000000003</v>
      </c>
      <c r="R883" s="9">
        <v>0.36</v>
      </c>
      <c r="S883" s="9">
        <v>0.22389999999999999</v>
      </c>
      <c r="T883" s="9">
        <v>0</v>
      </c>
      <c r="U883" s="9">
        <v>7</v>
      </c>
      <c r="V883" s="19">
        <v>7</v>
      </c>
    </row>
    <row r="884" spans="1:22" s="13" customFormat="1" ht="30" customHeight="1">
      <c r="A884" s="17" t="s">
        <v>283</v>
      </c>
      <c r="B884" s="8">
        <v>40788</v>
      </c>
      <c r="C884" s="8" t="str">
        <f t="shared" si="42"/>
        <v>Friday</v>
      </c>
      <c r="D884" s="9">
        <v>1</v>
      </c>
      <c r="E884" s="9">
        <v>0</v>
      </c>
      <c r="F884" s="9">
        <v>2</v>
      </c>
      <c r="G884" s="7">
        <v>2</v>
      </c>
      <c r="H884" s="9" t="b">
        <v>0</v>
      </c>
      <c r="I884" s="9">
        <v>3</v>
      </c>
      <c r="J884" s="38" t="str">
        <f>CHOOSE(Table1[[#This Row],[Weekday]]+1,"Sunday","Monday","Tuesday","Wednesday","Thursday","Friday","Saturday")</f>
        <v>Wednesday</v>
      </c>
      <c r="K884" s="9">
        <v>1</v>
      </c>
      <c r="L884" s="38" t="str">
        <f>IF(Table1[[#This Row],[Weather_code]]=1,"Clear",IF(Table1[[#This Row],[Weather_code]]=2,"Cloudy",IF(Table1[[#This Row],[Weather_code]]=3,"Light Rain",IF(Table1[[#This Row],[Weather_code]]=4,"Heavy Rain"))))</f>
        <v>Clear</v>
      </c>
      <c r="M884" s="9">
        <v>0.08</v>
      </c>
      <c r="N884" s="11" t="str">
        <f t="shared" si="43"/>
        <v>Winter</v>
      </c>
      <c r="O884" s="11" t="str">
        <f t="shared" si="41"/>
        <v>Weekday</v>
      </c>
      <c r="P884" s="9">
        <v>7.5800000000000006E-2</v>
      </c>
      <c r="Q884" s="7">
        <f>Table1[[#This Row],[A_Temperature]]*41</f>
        <v>3.1078000000000001</v>
      </c>
      <c r="R884" s="9">
        <v>0.38</v>
      </c>
      <c r="S884" s="9">
        <v>0.28360000000000002</v>
      </c>
      <c r="T884" s="9">
        <v>1</v>
      </c>
      <c r="U884" s="9">
        <v>2</v>
      </c>
      <c r="V884" s="19">
        <v>3</v>
      </c>
    </row>
    <row r="885" spans="1:22" s="13" customFormat="1" ht="30" customHeight="1">
      <c r="A885" s="17" t="s">
        <v>284</v>
      </c>
      <c r="B885" s="8">
        <v>40788</v>
      </c>
      <c r="C885" s="8" t="str">
        <f t="shared" si="42"/>
        <v>Friday</v>
      </c>
      <c r="D885" s="9">
        <v>1</v>
      </c>
      <c r="E885" s="9">
        <v>0</v>
      </c>
      <c r="F885" s="9">
        <v>2</v>
      </c>
      <c r="G885" s="7">
        <v>3</v>
      </c>
      <c r="H885" s="9" t="b">
        <v>0</v>
      </c>
      <c r="I885" s="9">
        <v>3</v>
      </c>
      <c r="J885" s="38" t="str">
        <f>CHOOSE(Table1[[#This Row],[Weekday]]+1,"Sunday","Monday","Tuesday","Wednesday","Thursday","Friday","Saturday")</f>
        <v>Wednesday</v>
      </c>
      <c r="K885" s="9">
        <v>1</v>
      </c>
      <c r="L885" s="38" t="str">
        <f>IF(Table1[[#This Row],[Weather_code]]=1,"Clear",IF(Table1[[#This Row],[Weather_code]]=2,"Cloudy",IF(Table1[[#This Row],[Weather_code]]=3,"Light Rain",IF(Table1[[#This Row],[Weather_code]]=4,"Heavy Rain"))))</f>
        <v>Clear</v>
      </c>
      <c r="M885" s="9">
        <v>0.06</v>
      </c>
      <c r="N885" s="11" t="str">
        <f t="shared" si="43"/>
        <v>Winter</v>
      </c>
      <c r="O885" s="11" t="str">
        <f t="shared" si="41"/>
        <v>Weekday</v>
      </c>
      <c r="P885" s="9">
        <v>7.5800000000000006E-2</v>
      </c>
      <c r="Q885" s="7">
        <f>Table1[[#This Row],[A_Temperature]]*41</f>
        <v>3.1078000000000001</v>
      </c>
      <c r="R885" s="9">
        <v>0.45</v>
      </c>
      <c r="S885" s="9">
        <v>0.1343</v>
      </c>
      <c r="T885" s="9">
        <v>0</v>
      </c>
      <c r="U885" s="9">
        <v>2</v>
      </c>
      <c r="V885" s="19">
        <v>2</v>
      </c>
    </row>
    <row r="886" spans="1:22" s="13" customFormat="1" ht="30" customHeight="1">
      <c r="A886" s="17" t="s">
        <v>285</v>
      </c>
      <c r="B886" s="8">
        <v>40788</v>
      </c>
      <c r="C886" s="8" t="str">
        <f t="shared" si="42"/>
        <v>Friday</v>
      </c>
      <c r="D886" s="9">
        <v>1</v>
      </c>
      <c r="E886" s="9">
        <v>0</v>
      </c>
      <c r="F886" s="9">
        <v>2</v>
      </c>
      <c r="G886" s="7">
        <v>5</v>
      </c>
      <c r="H886" s="9" t="b">
        <v>0</v>
      </c>
      <c r="I886" s="9">
        <v>3</v>
      </c>
      <c r="J886" s="38" t="str">
        <f>CHOOSE(Table1[[#This Row],[Weekday]]+1,"Sunday","Monday","Tuesday","Wednesday","Thursday","Friday","Saturday")</f>
        <v>Wednesday</v>
      </c>
      <c r="K886" s="9">
        <v>1</v>
      </c>
      <c r="L886" s="38" t="str">
        <f>IF(Table1[[#This Row],[Weather_code]]=1,"Clear",IF(Table1[[#This Row],[Weather_code]]=2,"Cloudy",IF(Table1[[#This Row],[Weather_code]]=3,"Light Rain",IF(Table1[[#This Row],[Weather_code]]=4,"Heavy Rain"))))</f>
        <v>Clear</v>
      </c>
      <c r="M886" s="9">
        <v>0.06</v>
      </c>
      <c r="N886" s="11" t="str">
        <f t="shared" si="43"/>
        <v>Winter</v>
      </c>
      <c r="O886" s="11" t="str">
        <f t="shared" si="41"/>
        <v>Weekday</v>
      </c>
      <c r="P886" s="9">
        <v>0.1061</v>
      </c>
      <c r="Q886" s="7">
        <f>Table1[[#This Row],[A_Temperature]]*41</f>
        <v>4.3501000000000003</v>
      </c>
      <c r="R886" s="9">
        <v>0.45</v>
      </c>
      <c r="S886" s="9">
        <v>0.1045</v>
      </c>
      <c r="T886" s="9">
        <v>0</v>
      </c>
      <c r="U886" s="9">
        <v>7</v>
      </c>
      <c r="V886" s="19">
        <v>7</v>
      </c>
    </row>
    <row r="887" spans="1:22" s="13" customFormat="1" ht="30" customHeight="1">
      <c r="A887" s="17" t="s">
        <v>286</v>
      </c>
      <c r="B887" s="8">
        <v>40788</v>
      </c>
      <c r="C887" s="8" t="str">
        <f t="shared" si="42"/>
        <v>Friday</v>
      </c>
      <c r="D887" s="9">
        <v>1</v>
      </c>
      <c r="E887" s="9">
        <v>0</v>
      </c>
      <c r="F887" s="9">
        <v>2</v>
      </c>
      <c r="G887" s="7">
        <v>6</v>
      </c>
      <c r="H887" s="9" t="b">
        <v>0</v>
      </c>
      <c r="I887" s="9">
        <v>3</v>
      </c>
      <c r="J887" s="38" t="str">
        <f>CHOOSE(Table1[[#This Row],[Weekday]]+1,"Sunday","Monday","Tuesday","Wednesday","Thursday","Friday","Saturday")</f>
        <v>Wednesday</v>
      </c>
      <c r="K887" s="9">
        <v>1</v>
      </c>
      <c r="L887" s="38" t="str">
        <f>IF(Table1[[#This Row],[Weather_code]]=1,"Clear",IF(Table1[[#This Row],[Weather_code]]=2,"Cloudy",IF(Table1[[#This Row],[Weather_code]]=3,"Light Rain",IF(Table1[[#This Row],[Weather_code]]=4,"Heavy Rain"))))</f>
        <v>Clear</v>
      </c>
      <c r="M887" s="9">
        <v>0.06</v>
      </c>
      <c r="N887" s="11" t="str">
        <f t="shared" si="43"/>
        <v>Winter</v>
      </c>
      <c r="O887" s="11" t="str">
        <f t="shared" si="41"/>
        <v>Weekday</v>
      </c>
      <c r="P887" s="9">
        <v>0.1515</v>
      </c>
      <c r="Q887" s="7">
        <f>Table1[[#This Row],[A_Temperature]]*41</f>
        <v>6.2115</v>
      </c>
      <c r="R887" s="9">
        <v>0.45</v>
      </c>
      <c r="S887" s="9">
        <v>0</v>
      </c>
      <c r="T887" s="9">
        <v>0</v>
      </c>
      <c r="U887" s="9">
        <v>43</v>
      </c>
      <c r="V887" s="19">
        <v>43</v>
      </c>
    </row>
    <row r="888" spans="1:22" s="13" customFormat="1" ht="30" customHeight="1">
      <c r="A888" s="17" t="s">
        <v>287</v>
      </c>
      <c r="B888" s="8">
        <v>40788</v>
      </c>
      <c r="C888" s="8" t="str">
        <f t="shared" si="42"/>
        <v>Friday</v>
      </c>
      <c r="D888" s="9">
        <v>1</v>
      </c>
      <c r="E888" s="9">
        <v>0</v>
      </c>
      <c r="F888" s="9">
        <v>2</v>
      </c>
      <c r="G888" s="7">
        <v>7</v>
      </c>
      <c r="H888" s="9" t="b">
        <v>0</v>
      </c>
      <c r="I888" s="9">
        <v>3</v>
      </c>
      <c r="J888" s="38" t="str">
        <f>CHOOSE(Table1[[#This Row],[Weekday]]+1,"Sunday","Monday","Tuesday","Wednesday","Thursday","Friday","Saturday")</f>
        <v>Wednesday</v>
      </c>
      <c r="K888" s="9">
        <v>1</v>
      </c>
      <c r="L888" s="38" t="str">
        <f>IF(Table1[[#This Row],[Weather_code]]=1,"Clear",IF(Table1[[#This Row],[Weather_code]]=2,"Cloudy",IF(Table1[[#This Row],[Weather_code]]=3,"Light Rain",IF(Table1[[#This Row],[Weather_code]]=4,"Heavy Rain"))))</f>
        <v>Clear</v>
      </c>
      <c r="M888" s="9">
        <v>0.06</v>
      </c>
      <c r="N888" s="11" t="str">
        <f t="shared" si="43"/>
        <v>Winter</v>
      </c>
      <c r="O888" s="11" t="str">
        <f t="shared" si="41"/>
        <v>Weekday</v>
      </c>
      <c r="P888" s="9">
        <v>0.1061</v>
      </c>
      <c r="Q888" s="7">
        <f>Table1[[#This Row],[A_Temperature]]*41</f>
        <v>4.3501000000000003</v>
      </c>
      <c r="R888" s="9">
        <v>0.49</v>
      </c>
      <c r="S888" s="9">
        <v>0.1045</v>
      </c>
      <c r="T888" s="9">
        <v>4</v>
      </c>
      <c r="U888" s="9">
        <v>95</v>
      </c>
      <c r="V888" s="19">
        <v>99</v>
      </c>
    </row>
    <row r="889" spans="1:22" s="13" customFormat="1" ht="30" customHeight="1">
      <c r="A889" s="17" t="s">
        <v>288</v>
      </c>
      <c r="B889" s="8">
        <v>40788</v>
      </c>
      <c r="C889" s="8" t="str">
        <f t="shared" si="42"/>
        <v>Friday</v>
      </c>
      <c r="D889" s="9">
        <v>1</v>
      </c>
      <c r="E889" s="9">
        <v>0</v>
      </c>
      <c r="F889" s="9">
        <v>2</v>
      </c>
      <c r="G889" s="7">
        <v>8</v>
      </c>
      <c r="H889" s="9" t="b">
        <v>0</v>
      </c>
      <c r="I889" s="9">
        <v>3</v>
      </c>
      <c r="J889" s="38" t="str">
        <f>CHOOSE(Table1[[#This Row],[Weekday]]+1,"Sunday","Monday","Tuesday","Wednesday","Thursday","Friday","Saturday")</f>
        <v>Wednesday</v>
      </c>
      <c r="K889" s="9">
        <v>1</v>
      </c>
      <c r="L889" s="38" t="str">
        <f>IF(Table1[[#This Row],[Weather_code]]=1,"Clear",IF(Table1[[#This Row],[Weather_code]]=2,"Cloudy",IF(Table1[[#This Row],[Weather_code]]=3,"Light Rain",IF(Table1[[#This Row],[Weather_code]]=4,"Heavy Rain"))))</f>
        <v>Clear</v>
      </c>
      <c r="M889" s="9">
        <v>0.1</v>
      </c>
      <c r="N889" s="11" t="str">
        <f t="shared" si="43"/>
        <v>Winter</v>
      </c>
      <c r="O889" s="11" t="str">
        <f t="shared" si="41"/>
        <v>Weekday</v>
      </c>
      <c r="P889" s="9">
        <v>0.13639999999999999</v>
      </c>
      <c r="Q889" s="7">
        <f>Table1[[#This Row],[A_Temperature]]*41</f>
        <v>5.5923999999999996</v>
      </c>
      <c r="R889" s="9">
        <v>0.42</v>
      </c>
      <c r="S889" s="9">
        <v>0</v>
      </c>
      <c r="T889" s="9">
        <v>1</v>
      </c>
      <c r="U889" s="9">
        <v>198</v>
      </c>
      <c r="V889" s="19">
        <v>199</v>
      </c>
    </row>
    <row r="890" spans="1:22" s="13" customFormat="1" ht="30" customHeight="1">
      <c r="A890" s="17" t="s">
        <v>289</v>
      </c>
      <c r="B890" s="8">
        <v>40788</v>
      </c>
      <c r="C890" s="8" t="str">
        <f t="shared" si="42"/>
        <v>Friday</v>
      </c>
      <c r="D890" s="9">
        <v>1</v>
      </c>
      <c r="E890" s="9">
        <v>0</v>
      </c>
      <c r="F890" s="9">
        <v>2</v>
      </c>
      <c r="G890" s="7">
        <v>9</v>
      </c>
      <c r="H890" s="9" t="b">
        <v>0</v>
      </c>
      <c r="I890" s="9">
        <v>3</v>
      </c>
      <c r="J890" s="38" t="str">
        <f>CHOOSE(Table1[[#This Row],[Weekday]]+1,"Sunday","Monday","Tuesday","Wednesday","Thursday","Friday","Saturday")</f>
        <v>Wednesday</v>
      </c>
      <c r="K890" s="9">
        <v>1</v>
      </c>
      <c r="L890" s="38" t="str">
        <f>IF(Table1[[#This Row],[Weather_code]]=1,"Clear",IF(Table1[[#This Row],[Weather_code]]=2,"Cloudy",IF(Table1[[#This Row],[Weather_code]]=3,"Light Rain",IF(Table1[[#This Row],[Weather_code]]=4,"Heavy Rain"))))</f>
        <v>Clear</v>
      </c>
      <c r="M890" s="9">
        <v>0.12</v>
      </c>
      <c r="N890" s="11" t="str">
        <f t="shared" si="43"/>
        <v>Winter</v>
      </c>
      <c r="O890" s="11" t="str">
        <f t="shared" si="41"/>
        <v>Weekday</v>
      </c>
      <c r="P890" s="9">
        <v>0.13639999999999999</v>
      </c>
      <c r="Q890" s="7">
        <f>Table1[[#This Row],[A_Temperature]]*41</f>
        <v>5.5923999999999996</v>
      </c>
      <c r="R890" s="9">
        <v>0.39</v>
      </c>
      <c r="S890" s="9">
        <v>0.16420000000000001</v>
      </c>
      <c r="T890" s="9">
        <v>4</v>
      </c>
      <c r="U890" s="9">
        <v>119</v>
      </c>
      <c r="V890" s="19">
        <v>123</v>
      </c>
    </row>
    <row r="891" spans="1:22" s="13" customFormat="1" ht="30" customHeight="1">
      <c r="A891" s="17" t="s">
        <v>290</v>
      </c>
      <c r="B891" s="8">
        <v>40788</v>
      </c>
      <c r="C891" s="8" t="str">
        <f t="shared" si="42"/>
        <v>Friday</v>
      </c>
      <c r="D891" s="9">
        <v>1</v>
      </c>
      <c r="E891" s="9">
        <v>0</v>
      </c>
      <c r="F891" s="9">
        <v>2</v>
      </c>
      <c r="G891" s="7">
        <v>10</v>
      </c>
      <c r="H891" s="9" t="b">
        <v>0</v>
      </c>
      <c r="I891" s="9">
        <v>3</v>
      </c>
      <c r="J891" s="38" t="str">
        <f>CHOOSE(Table1[[#This Row],[Weekday]]+1,"Sunday","Monday","Tuesday","Wednesday","Thursday","Friday","Saturday")</f>
        <v>Wednesday</v>
      </c>
      <c r="K891" s="9">
        <v>1</v>
      </c>
      <c r="L891" s="38" t="str">
        <f>IF(Table1[[#This Row],[Weather_code]]=1,"Clear",IF(Table1[[#This Row],[Weather_code]]=2,"Cloudy",IF(Table1[[#This Row],[Weather_code]]=3,"Light Rain",IF(Table1[[#This Row],[Weather_code]]=4,"Heavy Rain"))))</f>
        <v>Clear</v>
      </c>
      <c r="M891" s="9">
        <v>0.14000000000000001</v>
      </c>
      <c r="N891" s="11" t="str">
        <f t="shared" si="43"/>
        <v>Winter</v>
      </c>
      <c r="O891" s="11" t="str">
        <f t="shared" si="41"/>
        <v>Weekday</v>
      </c>
      <c r="P891" s="9">
        <v>0.18179999999999999</v>
      </c>
      <c r="Q891" s="7">
        <f>Table1[[#This Row],[A_Temperature]]*41</f>
        <v>7.4537999999999993</v>
      </c>
      <c r="R891" s="9">
        <v>0.36</v>
      </c>
      <c r="S891" s="9">
        <v>0</v>
      </c>
      <c r="T891" s="9">
        <v>8</v>
      </c>
      <c r="U891" s="9">
        <v>51</v>
      </c>
      <c r="V891" s="19">
        <v>59</v>
      </c>
    </row>
    <row r="892" spans="1:22" s="13" customFormat="1" ht="30" customHeight="1">
      <c r="A892" s="17" t="s">
        <v>291</v>
      </c>
      <c r="B892" s="8">
        <v>40788</v>
      </c>
      <c r="C892" s="8" t="str">
        <f t="shared" si="42"/>
        <v>Friday</v>
      </c>
      <c r="D892" s="9">
        <v>1</v>
      </c>
      <c r="E892" s="9">
        <v>0</v>
      </c>
      <c r="F892" s="9">
        <v>2</v>
      </c>
      <c r="G892" s="7">
        <v>11</v>
      </c>
      <c r="H892" s="9" t="b">
        <v>0</v>
      </c>
      <c r="I892" s="9">
        <v>3</v>
      </c>
      <c r="J892" s="38" t="str">
        <f>CHOOSE(Table1[[#This Row],[Weekday]]+1,"Sunday","Monday","Tuesday","Wednesday","Thursday","Friday","Saturday")</f>
        <v>Wednesday</v>
      </c>
      <c r="K892" s="9">
        <v>2</v>
      </c>
      <c r="L892" s="38" t="str">
        <f>IF(Table1[[#This Row],[Weather_code]]=1,"Clear",IF(Table1[[#This Row],[Weather_code]]=2,"Cloudy",IF(Table1[[#This Row],[Weather_code]]=3,"Light Rain",IF(Table1[[#This Row],[Weather_code]]=4,"Heavy Rain"))))</f>
        <v>Cloudy</v>
      </c>
      <c r="M892" s="9">
        <v>0.14000000000000001</v>
      </c>
      <c r="N892" s="11" t="str">
        <f t="shared" si="43"/>
        <v>Winter</v>
      </c>
      <c r="O892" s="11" t="str">
        <f t="shared" si="41"/>
        <v>Weekday</v>
      </c>
      <c r="P892" s="9">
        <v>0.1515</v>
      </c>
      <c r="Q892" s="7">
        <f>Table1[[#This Row],[A_Temperature]]*41</f>
        <v>6.2115</v>
      </c>
      <c r="R892" s="9">
        <v>0.43</v>
      </c>
      <c r="S892" s="9">
        <v>0.16420000000000001</v>
      </c>
      <c r="T892" s="9">
        <v>1</v>
      </c>
      <c r="U892" s="9">
        <v>40</v>
      </c>
      <c r="V892" s="19">
        <v>41</v>
      </c>
    </row>
    <row r="893" spans="1:22" s="13" customFormat="1" ht="30" customHeight="1">
      <c r="A893" s="17" t="s">
        <v>292</v>
      </c>
      <c r="B893" s="8">
        <v>40788</v>
      </c>
      <c r="C893" s="8" t="str">
        <f t="shared" si="42"/>
        <v>Friday</v>
      </c>
      <c r="D893" s="9">
        <v>1</v>
      </c>
      <c r="E893" s="9">
        <v>0</v>
      </c>
      <c r="F893" s="9">
        <v>2</v>
      </c>
      <c r="G893" s="7">
        <v>12</v>
      </c>
      <c r="H893" s="9" t="b">
        <v>0</v>
      </c>
      <c r="I893" s="9">
        <v>3</v>
      </c>
      <c r="J893" s="38" t="str">
        <f>CHOOSE(Table1[[#This Row],[Weekday]]+1,"Sunday","Monday","Tuesday","Wednesday","Thursday","Friday","Saturday")</f>
        <v>Wednesday</v>
      </c>
      <c r="K893" s="9">
        <v>2</v>
      </c>
      <c r="L893" s="38" t="str">
        <f>IF(Table1[[#This Row],[Weather_code]]=1,"Clear",IF(Table1[[#This Row],[Weather_code]]=2,"Cloudy",IF(Table1[[#This Row],[Weather_code]]=3,"Light Rain",IF(Table1[[#This Row],[Weather_code]]=4,"Heavy Rain"))))</f>
        <v>Cloudy</v>
      </c>
      <c r="M893" s="9">
        <v>0.18</v>
      </c>
      <c r="N893" s="11" t="str">
        <f t="shared" si="43"/>
        <v>Winter</v>
      </c>
      <c r="O893" s="11" t="str">
        <f t="shared" si="41"/>
        <v>Weekday</v>
      </c>
      <c r="P893" s="9">
        <v>0.18179999999999999</v>
      </c>
      <c r="Q893" s="7">
        <f>Table1[[#This Row],[A_Temperature]]*41</f>
        <v>7.4537999999999993</v>
      </c>
      <c r="R893" s="9">
        <v>0.4</v>
      </c>
      <c r="S893" s="9">
        <v>0.22389999999999999</v>
      </c>
      <c r="T893" s="9">
        <v>4</v>
      </c>
      <c r="U893" s="9">
        <v>57</v>
      </c>
      <c r="V893" s="19">
        <v>61</v>
      </c>
    </row>
    <row r="894" spans="1:22" s="13" customFormat="1" ht="30" customHeight="1">
      <c r="A894" s="17" t="s">
        <v>293</v>
      </c>
      <c r="B894" s="8">
        <v>40788</v>
      </c>
      <c r="C894" s="8" t="str">
        <f t="shared" si="42"/>
        <v>Friday</v>
      </c>
      <c r="D894" s="9">
        <v>1</v>
      </c>
      <c r="E894" s="9">
        <v>0</v>
      </c>
      <c r="F894" s="9">
        <v>2</v>
      </c>
      <c r="G894" s="7">
        <v>13</v>
      </c>
      <c r="H894" s="9" t="b">
        <v>0</v>
      </c>
      <c r="I894" s="9">
        <v>3</v>
      </c>
      <c r="J894" s="38" t="str">
        <f>CHOOSE(Table1[[#This Row],[Weekday]]+1,"Sunday","Monday","Tuesday","Wednesday","Thursday","Friday","Saturday")</f>
        <v>Wednesday</v>
      </c>
      <c r="K894" s="9">
        <v>1</v>
      </c>
      <c r="L894" s="38" t="str">
        <f>IF(Table1[[#This Row],[Weather_code]]=1,"Clear",IF(Table1[[#This Row],[Weather_code]]=2,"Cloudy",IF(Table1[[#This Row],[Weather_code]]=3,"Light Rain",IF(Table1[[#This Row],[Weather_code]]=4,"Heavy Rain"))))</f>
        <v>Clear</v>
      </c>
      <c r="M894" s="9">
        <v>0.18</v>
      </c>
      <c r="N894" s="11" t="str">
        <f t="shared" si="43"/>
        <v>Winter</v>
      </c>
      <c r="O894" s="11" t="str">
        <f t="shared" si="41"/>
        <v>Weekday</v>
      </c>
      <c r="P894" s="9">
        <v>0.16669999999999999</v>
      </c>
      <c r="Q894" s="7">
        <f>Table1[[#This Row],[A_Temperature]]*41</f>
        <v>6.8346999999999998</v>
      </c>
      <c r="R894" s="9">
        <v>0.4</v>
      </c>
      <c r="S894" s="9">
        <v>0.25369999999999998</v>
      </c>
      <c r="T894" s="9">
        <v>2</v>
      </c>
      <c r="U894" s="9">
        <v>67</v>
      </c>
      <c r="V894" s="19">
        <v>69</v>
      </c>
    </row>
    <row r="895" spans="1:22" s="13" customFormat="1" ht="30" customHeight="1">
      <c r="A895" s="17" t="s">
        <v>294</v>
      </c>
      <c r="B895" s="8">
        <v>40788</v>
      </c>
      <c r="C895" s="8" t="str">
        <f t="shared" si="42"/>
        <v>Friday</v>
      </c>
      <c r="D895" s="9">
        <v>1</v>
      </c>
      <c r="E895" s="9">
        <v>0</v>
      </c>
      <c r="F895" s="9">
        <v>2</v>
      </c>
      <c r="G895" s="7">
        <v>14</v>
      </c>
      <c r="H895" s="9" t="b">
        <v>0</v>
      </c>
      <c r="I895" s="9">
        <v>3</v>
      </c>
      <c r="J895" s="38" t="str">
        <f>CHOOSE(Table1[[#This Row],[Weekday]]+1,"Sunday","Monday","Tuesday","Wednesday","Thursday","Friday","Saturday")</f>
        <v>Wednesday</v>
      </c>
      <c r="K895" s="9">
        <v>1</v>
      </c>
      <c r="L895" s="38" t="str">
        <f>IF(Table1[[#This Row],[Weather_code]]=1,"Clear",IF(Table1[[#This Row],[Weather_code]]=2,"Cloudy",IF(Table1[[#This Row],[Weather_code]]=3,"Light Rain",IF(Table1[[#This Row],[Weather_code]]=4,"Heavy Rain"))))</f>
        <v>Clear</v>
      </c>
      <c r="M895" s="9">
        <v>0.2</v>
      </c>
      <c r="N895" s="11" t="str">
        <f t="shared" si="43"/>
        <v>Winter</v>
      </c>
      <c r="O895" s="11" t="str">
        <f t="shared" si="41"/>
        <v>Weekday</v>
      </c>
      <c r="P895" s="9">
        <v>0.18179999999999999</v>
      </c>
      <c r="Q895" s="7">
        <f>Table1[[#This Row],[A_Temperature]]*41</f>
        <v>7.4537999999999993</v>
      </c>
      <c r="R895" s="9">
        <v>0.34</v>
      </c>
      <c r="S895" s="9">
        <v>0.29849999999999999</v>
      </c>
      <c r="T895" s="9">
        <v>2</v>
      </c>
      <c r="U895" s="9">
        <v>56</v>
      </c>
      <c r="V895" s="19">
        <v>58</v>
      </c>
    </row>
    <row r="896" spans="1:22" s="13" customFormat="1" ht="30" customHeight="1">
      <c r="A896" s="17" t="s">
        <v>295</v>
      </c>
      <c r="B896" s="8">
        <v>40788</v>
      </c>
      <c r="C896" s="8" t="str">
        <f t="shared" si="42"/>
        <v>Friday</v>
      </c>
      <c r="D896" s="9">
        <v>1</v>
      </c>
      <c r="E896" s="9">
        <v>0</v>
      </c>
      <c r="F896" s="9">
        <v>2</v>
      </c>
      <c r="G896" s="7">
        <v>15</v>
      </c>
      <c r="H896" s="9" t="b">
        <v>0</v>
      </c>
      <c r="I896" s="9">
        <v>3</v>
      </c>
      <c r="J896" s="38" t="str">
        <f>CHOOSE(Table1[[#This Row],[Weekday]]+1,"Sunday","Monday","Tuesday","Wednesday","Thursday","Friday","Saturday")</f>
        <v>Wednesday</v>
      </c>
      <c r="K896" s="9">
        <v>2</v>
      </c>
      <c r="L896" s="38" t="str">
        <f>IF(Table1[[#This Row],[Weather_code]]=1,"Clear",IF(Table1[[#This Row],[Weather_code]]=2,"Cloudy",IF(Table1[[#This Row],[Weather_code]]=3,"Light Rain",IF(Table1[[#This Row],[Weather_code]]=4,"Heavy Rain"))))</f>
        <v>Cloudy</v>
      </c>
      <c r="M896" s="9">
        <v>0.2</v>
      </c>
      <c r="N896" s="11" t="str">
        <f t="shared" si="43"/>
        <v>Winter</v>
      </c>
      <c r="O896" s="11" t="str">
        <f t="shared" si="41"/>
        <v>Weekday</v>
      </c>
      <c r="P896" s="9">
        <v>0.18179999999999999</v>
      </c>
      <c r="Q896" s="7">
        <f>Table1[[#This Row],[A_Temperature]]*41</f>
        <v>7.4537999999999993</v>
      </c>
      <c r="R896" s="9">
        <v>0.34</v>
      </c>
      <c r="S896" s="9">
        <v>0.28360000000000002</v>
      </c>
      <c r="T896" s="9">
        <v>3</v>
      </c>
      <c r="U896" s="9">
        <v>61</v>
      </c>
      <c r="V896" s="19">
        <v>64</v>
      </c>
    </row>
    <row r="897" spans="1:22" s="13" customFormat="1" ht="30" customHeight="1">
      <c r="A897" s="17" t="s">
        <v>296</v>
      </c>
      <c r="B897" s="8">
        <v>40788</v>
      </c>
      <c r="C897" s="8" t="str">
        <f t="shared" si="42"/>
        <v>Friday</v>
      </c>
      <c r="D897" s="9">
        <v>1</v>
      </c>
      <c r="E897" s="9">
        <v>0</v>
      </c>
      <c r="F897" s="9">
        <v>2</v>
      </c>
      <c r="G897" s="7">
        <v>16</v>
      </c>
      <c r="H897" s="9" t="b">
        <v>0</v>
      </c>
      <c r="I897" s="9">
        <v>3</v>
      </c>
      <c r="J897" s="38" t="str">
        <f>CHOOSE(Table1[[#This Row],[Weekday]]+1,"Sunday","Monday","Tuesday","Wednesday","Thursday","Friday","Saturday")</f>
        <v>Wednesday</v>
      </c>
      <c r="K897" s="9">
        <v>2</v>
      </c>
      <c r="L897" s="38" t="str">
        <f>IF(Table1[[#This Row],[Weather_code]]=1,"Clear",IF(Table1[[#This Row],[Weather_code]]=2,"Cloudy",IF(Table1[[#This Row],[Weather_code]]=3,"Light Rain",IF(Table1[[#This Row],[Weather_code]]=4,"Heavy Rain"))))</f>
        <v>Cloudy</v>
      </c>
      <c r="M897" s="9">
        <v>0.2</v>
      </c>
      <c r="N897" s="11" t="str">
        <f t="shared" si="43"/>
        <v>Winter</v>
      </c>
      <c r="O897" s="11" t="str">
        <f t="shared" si="41"/>
        <v>Weekday</v>
      </c>
      <c r="P897" s="9">
        <v>0.19700000000000001</v>
      </c>
      <c r="Q897" s="7">
        <f>Table1[[#This Row],[A_Temperature]]*41</f>
        <v>8.077</v>
      </c>
      <c r="R897" s="9">
        <v>0.37</v>
      </c>
      <c r="S897" s="9">
        <v>0.25369999999999998</v>
      </c>
      <c r="T897" s="9">
        <v>7</v>
      </c>
      <c r="U897" s="9">
        <v>72</v>
      </c>
      <c r="V897" s="19">
        <v>79</v>
      </c>
    </row>
    <row r="898" spans="1:22" s="13" customFormat="1" ht="30" customHeight="1">
      <c r="A898" s="17" t="s">
        <v>297</v>
      </c>
      <c r="B898" s="8">
        <v>40788</v>
      </c>
      <c r="C898" s="8" t="str">
        <f t="shared" si="42"/>
        <v>Friday</v>
      </c>
      <c r="D898" s="9">
        <v>1</v>
      </c>
      <c r="E898" s="9">
        <v>0</v>
      </c>
      <c r="F898" s="9">
        <v>2</v>
      </c>
      <c r="G898" s="7">
        <v>17</v>
      </c>
      <c r="H898" s="9" t="b">
        <v>0</v>
      </c>
      <c r="I898" s="9">
        <v>3</v>
      </c>
      <c r="J898" s="38" t="str">
        <f>CHOOSE(Table1[[#This Row],[Weekday]]+1,"Sunday","Monday","Tuesday","Wednesday","Thursday","Friday","Saturday")</f>
        <v>Wednesday</v>
      </c>
      <c r="K898" s="9">
        <v>2</v>
      </c>
      <c r="L898" s="38" t="str">
        <f>IF(Table1[[#This Row],[Weather_code]]=1,"Clear",IF(Table1[[#This Row],[Weather_code]]=2,"Cloudy",IF(Table1[[#This Row],[Weather_code]]=3,"Light Rain",IF(Table1[[#This Row],[Weather_code]]=4,"Heavy Rain"))))</f>
        <v>Cloudy</v>
      </c>
      <c r="M898" s="9">
        <v>0.2</v>
      </c>
      <c r="N898" s="11" t="str">
        <f t="shared" si="43"/>
        <v>Winter</v>
      </c>
      <c r="O898" s="11" t="str">
        <f t="shared" si="41"/>
        <v>Weekday</v>
      </c>
      <c r="P898" s="9">
        <v>0.19700000000000001</v>
      </c>
      <c r="Q898" s="7">
        <f>Table1[[#This Row],[A_Temperature]]*41</f>
        <v>8.077</v>
      </c>
      <c r="R898" s="9">
        <v>0.34</v>
      </c>
      <c r="S898" s="9">
        <v>0.25369999999999998</v>
      </c>
      <c r="T898" s="9">
        <v>9</v>
      </c>
      <c r="U898" s="9">
        <v>157</v>
      </c>
      <c r="V898" s="19">
        <v>166</v>
      </c>
    </row>
    <row r="899" spans="1:22" s="13" customFormat="1" ht="30" customHeight="1">
      <c r="A899" s="17" t="s">
        <v>298</v>
      </c>
      <c r="B899" s="8">
        <v>40788</v>
      </c>
      <c r="C899" s="8" t="str">
        <f t="shared" si="42"/>
        <v>Friday</v>
      </c>
      <c r="D899" s="9">
        <v>1</v>
      </c>
      <c r="E899" s="9">
        <v>0</v>
      </c>
      <c r="F899" s="9">
        <v>2</v>
      </c>
      <c r="G899" s="7">
        <v>18</v>
      </c>
      <c r="H899" s="9" t="b">
        <v>0</v>
      </c>
      <c r="I899" s="9">
        <v>3</v>
      </c>
      <c r="J899" s="38" t="str">
        <f>CHOOSE(Table1[[#This Row],[Weekday]]+1,"Sunday","Monday","Tuesday","Wednesday","Thursday","Friday","Saturday")</f>
        <v>Wednesday</v>
      </c>
      <c r="K899" s="9">
        <v>2</v>
      </c>
      <c r="L899" s="38" t="str">
        <f>IF(Table1[[#This Row],[Weather_code]]=1,"Clear",IF(Table1[[#This Row],[Weather_code]]=2,"Cloudy",IF(Table1[[#This Row],[Weather_code]]=3,"Light Rain",IF(Table1[[#This Row],[Weather_code]]=4,"Heavy Rain"))))</f>
        <v>Cloudy</v>
      </c>
      <c r="M899" s="9">
        <v>0.18</v>
      </c>
      <c r="N899" s="11" t="str">
        <f t="shared" si="43"/>
        <v>Winter</v>
      </c>
      <c r="O899" s="11" t="str">
        <f t="shared" si="41"/>
        <v>Weekday</v>
      </c>
      <c r="P899" s="9">
        <v>0.16669999999999999</v>
      </c>
      <c r="Q899" s="7">
        <f>Table1[[#This Row],[A_Temperature]]*41</f>
        <v>6.8346999999999998</v>
      </c>
      <c r="R899" s="9">
        <v>0.47</v>
      </c>
      <c r="S899" s="9">
        <v>0.29849999999999999</v>
      </c>
      <c r="T899" s="9">
        <v>2</v>
      </c>
      <c r="U899" s="9">
        <v>168</v>
      </c>
      <c r="V899" s="19">
        <v>170</v>
      </c>
    </row>
    <row r="900" spans="1:22" s="13" customFormat="1" ht="30" customHeight="1">
      <c r="A900" s="17" t="s">
        <v>299</v>
      </c>
      <c r="B900" s="8">
        <v>40788</v>
      </c>
      <c r="C900" s="8" t="str">
        <f t="shared" si="42"/>
        <v>Friday</v>
      </c>
      <c r="D900" s="9">
        <v>1</v>
      </c>
      <c r="E900" s="9">
        <v>0</v>
      </c>
      <c r="F900" s="9">
        <v>2</v>
      </c>
      <c r="G900" s="7">
        <v>19</v>
      </c>
      <c r="H900" s="9" t="b">
        <v>0</v>
      </c>
      <c r="I900" s="9">
        <v>3</v>
      </c>
      <c r="J900" s="38" t="str">
        <f>CHOOSE(Table1[[#This Row],[Weekday]]+1,"Sunday","Monday","Tuesday","Wednesday","Thursday","Friday","Saturday")</f>
        <v>Wednesday</v>
      </c>
      <c r="K900" s="9">
        <v>3</v>
      </c>
      <c r="L900" s="38" t="str">
        <f>IF(Table1[[#This Row],[Weather_code]]=1,"Clear",IF(Table1[[#This Row],[Weather_code]]=2,"Cloudy",IF(Table1[[#This Row],[Weather_code]]=3,"Light Rain",IF(Table1[[#This Row],[Weather_code]]=4,"Heavy Rain"))))</f>
        <v>Light Rain</v>
      </c>
      <c r="M900" s="9">
        <v>0.14000000000000001</v>
      </c>
      <c r="N900" s="11" t="str">
        <f t="shared" si="43"/>
        <v>Winter</v>
      </c>
      <c r="O900" s="11" t="str">
        <f t="shared" si="41"/>
        <v>Weekday</v>
      </c>
      <c r="P900" s="9">
        <v>0.1212</v>
      </c>
      <c r="Q900" s="7">
        <f>Table1[[#This Row],[A_Temperature]]*41</f>
        <v>4.9691999999999998</v>
      </c>
      <c r="R900" s="9">
        <v>0.86</v>
      </c>
      <c r="S900" s="9">
        <v>0.25369999999999998</v>
      </c>
      <c r="T900" s="9">
        <v>1</v>
      </c>
      <c r="U900" s="9">
        <v>87</v>
      </c>
      <c r="V900" s="19">
        <v>88</v>
      </c>
    </row>
    <row r="901" spans="1:22" s="13" customFormat="1" ht="30" customHeight="1">
      <c r="A901" s="17" t="s">
        <v>300</v>
      </c>
      <c r="B901" s="8">
        <v>40788</v>
      </c>
      <c r="C901" s="8" t="str">
        <f t="shared" si="42"/>
        <v>Friday</v>
      </c>
      <c r="D901" s="9">
        <v>1</v>
      </c>
      <c r="E901" s="9">
        <v>0</v>
      </c>
      <c r="F901" s="9">
        <v>2</v>
      </c>
      <c r="G901" s="7">
        <v>20</v>
      </c>
      <c r="H901" s="9" t="b">
        <v>0</v>
      </c>
      <c r="I901" s="9">
        <v>3</v>
      </c>
      <c r="J901" s="38" t="str">
        <f>CHOOSE(Table1[[#This Row],[Weekday]]+1,"Sunday","Monday","Tuesday","Wednesday","Thursday","Friday","Saturday")</f>
        <v>Wednesday</v>
      </c>
      <c r="K901" s="9">
        <v>3</v>
      </c>
      <c r="L901" s="38" t="str">
        <f>IF(Table1[[#This Row],[Weather_code]]=1,"Clear",IF(Table1[[#This Row],[Weather_code]]=2,"Cloudy",IF(Table1[[#This Row],[Weather_code]]=3,"Light Rain",IF(Table1[[#This Row],[Weather_code]]=4,"Heavy Rain"))))</f>
        <v>Light Rain</v>
      </c>
      <c r="M901" s="9">
        <v>0.14000000000000001</v>
      </c>
      <c r="N901" s="11" t="str">
        <f t="shared" si="43"/>
        <v>Winter</v>
      </c>
      <c r="O901" s="11" t="str">
        <f t="shared" si="41"/>
        <v>Weekday</v>
      </c>
      <c r="P901" s="9">
        <v>0.1515</v>
      </c>
      <c r="Q901" s="7">
        <f>Table1[[#This Row],[A_Temperature]]*41</f>
        <v>6.2115</v>
      </c>
      <c r="R901" s="9">
        <v>0.86</v>
      </c>
      <c r="S901" s="9">
        <v>0.16420000000000001</v>
      </c>
      <c r="T901" s="9">
        <v>0</v>
      </c>
      <c r="U901" s="9">
        <v>84</v>
      </c>
      <c r="V901" s="19">
        <v>84</v>
      </c>
    </row>
    <row r="902" spans="1:22" s="13" customFormat="1" ht="30" customHeight="1">
      <c r="A902" s="17" t="s">
        <v>301</v>
      </c>
      <c r="B902" s="8">
        <v>40788</v>
      </c>
      <c r="C902" s="8" t="str">
        <f t="shared" si="42"/>
        <v>Friday</v>
      </c>
      <c r="D902" s="9">
        <v>1</v>
      </c>
      <c r="E902" s="9">
        <v>0</v>
      </c>
      <c r="F902" s="9">
        <v>2</v>
      </c>
      <c r="G902" s="7">
        <v>21</v>
      </c>
      <c r="H902" s="9" t="b">
        <v>0</v>
      </c>
      <c r="I902" s="9">
        <v>3</v>
      </c>
      <c r="J902" s="38" t="str">
        <f>CHOOSE(Table1[[#This Row],[Weekday]]+1,"Sunday","Monday","Tuesday","Wednesday","Thursday","Friday","Saturday")</f>
        <v>Wednesday</v>
      </c>
      <c r="K902" s="9">
        <v>2</v>
      </c>
      <c r="L902" s="38" t="str">
        <f>IF(Table1[[#This Row],[Weather_code]]=1,"Clear",IF(Table1[[#This Row],[Weather_code]]=2,"Cloudy",IF(Table1[[#This Row],[Weather_code]]=3,"Light Rain",IF(Table1[[#This Row],[Weather_code]]=4,"Heavy Rain"))))</f>
        <v>Cloudy</v>
      </c>
      <c r="M902" s="9">
        <v>0.14000000000000001</v>
      </c>
      <c r="N902" s="11" t="str">
        <f t="shared" si="43"/>
        <v>Winter</v>
      </c>
      <c r="O902" s="11" t="str">
        <f t="shared" ref="O902:O965" si="44">IF(OR(WEEKDAY(B902,2)=6,WEEKDAY(B902,2)=7),"Weekend","Weekday")</f>
        <v>Weekday</v>
      </c>
      <c r="P902" s="9">
        <v>0.1515</v>
      </c>
      <c r="Q902" s="7">
        <f>Table1[[#This Row],[A_Temperature]]*41</f>
        <v>6.2115</v>
      </c>
      <c r="R902" s="9">
        <v>0.86</v>
      </c>
      <c r="S902" s="9">
        <v>0.16420000000000001</v>
      </c>
      <c r="T902" s="9">
        <v>0</v>
      </c>
      <c r="U902" s="9">
        <v>83</v>
      </c>
      <c r="V902" s="19">
        <v>83</v>
      </c>
    </row>
    <row r="903" spans="1:22" s="13" customFormat="1" ht="30" customHeight="1">
      <c r="A903" s="17" t="s">
        <v>302</v>
      </c>
      <c r="B903" s="8">
        <v>40788</v>
      </c>
      <c r="C903" s="8" t="str">
        <f t="shared" si="42"/>
        <v>Friday</v>
      </c>
      <c r="D903" s="9">
        <v>1</v>
      </c>
      <c r="E903" s="9">
        <v>0</v>
      </c>
      <c r="F903" s="9">
        <v>2</v>
      </c>
      <c r="G903" s="7">
        <v>22</v>
      </c>
      <c r="H903" s="9" t="b">
        <v>0</v>
      </c>
      <c r="I903" s="9">
        <v>3</v>
      </c>
      <c r="J903" s="38" t="str">
        <f>CHOOSE(Table1[[#This Row],[Weekday]]+1,"Sunday","Monday","Tuesday","Wednesday","Thursday","Friday","Saturday")</f>
        <v>Wednesday</v>
      </c>
      <c r="K903" s="9">
        <v>3</v>
      </c>
      <c r="L903" s="38" t="str">
        <f>IF(Table1[[#This Row],[Weather_code]]=1,"Clear",IF(Table1[[#This Row],[Weather_code]]=2,"Cloudy",IF(Table1[[#This Row],[Weather_code]]=3,"Light Rain",IF(Table1[[#This Row],[Weather_code]]=4,"Heavy Rain"))))</f>
        <v>Light Rain</v>
      </c>
      <c r="M903" s="9">
        <v>0.16</v>
      </c>
      <c r="N903" s="11" t="str">
        <f t="shared" si="43"/>
        <v>Winter</v>
      </c>
      <c r="O903" s="11" t="str">
        <f t="shared" si="44"/>
        <v>Weekday</v>
      </c>
      <c r="P903" s="9">
        <v>0.16669999999999999</v>
      </c>
      <c r="Q903" s="7">
        <f>Table1[[#This Row],[A_Temperature]]*41</f>
        <v>6.8346999999999998</v>
      </c>
      <c r="R903" s="9">
        <v>0.8</v>
      </c>
      <c r="S903" s="9">
        <v>0.16420000000000001</v>
      </c>
      <c r="T903" s="9">
        <v>4</v>
      </c>
      <c r="U903" s="9">
        <v>42</v>
      </c>
      <c r="V903" s="19">
        <v>46</v>
      </c>
    </row>
    <row r="904" spans="1:22" s="13" customFormat="1" ht="30" customHeight="1">
      <c r="A904" s="17" t="s">
        <v>303</v>
      </c>
      <c r="B904" s="8">
        <v>40788</v>
      </c>
      <c r="C904" s="8" t="str">
        <f t="shared" si="42"/>
        <v>Friday</v>
      </c>
      <c r="D904" s="9">
        <v>1</v>
      </c>
      <c r="E904" s="9">
        <v>0</v>
      </c>
      <c r="F904" s="9">
        <v>2</v>
      </c>
      <c r="G904" s="7">
        <v>23</v>
      </c>
      <c r="H904" s="9" t="b">
        <v>0</v>
      </c>
      <c r="I904" s="9">
        <v>3</v>
      </c>
      <c r="J904" s="38" t="str">
        <f>CHOOSE(Table1[[#This Row],[Weekday]]+1,"Sunday","Monday","Tuesday","Wednesday","Thursday","Friday","Saturday")</f>
        <v>Wednesday</v>
      </c>
      <c r="K904" s="9">
        <v>3</v>
      </c>
      <c r="L904" s="38" t="str">
        <f>IF(Table1[[#This Row],[Weather_code]]=1,"Clear",IF(Table1[[#This Row],[Weather_code]]=2,"Cloudy",IF(Table1[[#This Row],[Weather_code]]=3,"Light Rain",IF(Table1[[#This Row],[Weather_code]]=4,"Heavy Rain"))))</f>
        <v>Light Rain</v>
      </c>
      <c r="M904" s="9">
        <v>0.16</v>
      </c>
      <c r="N904" s="11" t="str">
        <f t="shared" si="43"/>
        <v>Winter</v>
      </c>
      <c r="O904" s="11" t="str">
        <f t="shared" si="44"/>
        <v>Weekday</v>
      </c>
      <c r="P904" s="9">
        <v>0.1515</v>
      </c>
      <c r="Q904" s="7">
        <f>Table1[[#This Row],[A_Temperature]]*41</f>
        <v>6.2115</v>
      </c>
      <c r="R904" s="9">
        <v>0.8</v>
      </c>
      <c r="S904" s="9">
        <v>0.19400000000000001</v>
      </c>
      <c r="T904" s="9">
        <v>0</v>
      </c>
      <c r="U904" s="9">
        <v>37</v>
      </c>
      <c r="V904" s="19">
        <v>37</v>
      </c>
    </row>
    <row r="905" spans="1:22" s="13" customFormat="1" ht="30" customHeight="1">
      <c r="A905" s="17" t="s">
        <v>304</v>
      </c>
      <c r="B905" s="8">
        <v>40818</v>
      </c>
      <c r="C905" s="8" t="str">
        <f t="shared" si="42"/>
        <v>Sunday</v>
      </c>
      <c r="D905" s="9">
        <v>1</v>
      </c>
      <c r="E905" s="9">
        <v>0</v>
      </c>
      <c r="F905" s="9">
        <v>2</v>
      </c>
      <c r="G905" s="7">
        <v>0</v>
      </c>
      <c r="H905" s="9" t="b">
        <v>0</v>
      </c>
      <c r="I905" s="9">
        <v>4</v>
      </c>
      <c r="J905" s="38" t="str">
        <f>CHOOSE(Table1[[#This Row],[Weekday]]+1,"Sunday","Monday","Tuesday","Wednesday","Thursday","Friday","Saturday")</f>
        <v>Thursday</v>
      </c>
      <c r="K905" s="9">
        <v>3</v>
      </c>
      <c r="L905" s="38" t="str">
        <f>IF(Table1[[#This Row],[Weather_code]]=1,"Clear",IF(Table1[[#This Row],[Weather_code]]=2,"Cloudy",IF(Table1[[#This Row],[Weather_code]]=3,"Light Rain",IF(Table1[[#This Row],[Weather_code]]=4,"Heavy Rain"))))</f>
        <v>Light Rain</v>
      </c>
      <c r="M905" s="9">
        <v>0.14000000000000001</v>
      </c>
      <c r="N905" s="11" t="str">
        <f t="shared" si="43"/>
        <v>Winter</v>
      </c>
      <c r="O905" s="11" t="str">
        <f t="shared" si="44"/>
        <v>Weekend</v>
      </c>
      <c r="P905" s="9">
        <v>0.13639999999999999</v>
      </c>
      <c r="Q905" s="7">
        <f>Table1[[#This Row],[A_Temperature]]*41</f>
        <v>5.5923999999999996</v>
      </c>
      <c r="R905" s="9">
        <v>0.86</v>
      </c>
      <c r="S905" s="9">
        <v>0.19400000000000001</v>
      </c>
      <c r="T905" s="9">
        <v>0</v>
      </c>
      <c r="U905" s="9">
        <v>16</v>
      </c>
      <c r="V905" s="19">
        <v>16</v>
      </c>
    </row>
    <row r="906" spans="1:22" s="13" customFormat="1" ht="30" customHeight="1">
      <c r="A906" s="17" t="s">
        <v>305</v>
      </c>
      <c r="B906" s="8">
        <v>40818</v>
      </c>
      <c r="C906" s="8" t="str">
        <f t="shared" si="42"/>
        <v>Sunday</v>
      </c>
      <c r="D906" s="9">
        <v>1</v>
      </c>
      <c r="E906" s="9">
        <v>0</v>
      </c>
      <c r="F906" s="9">
        <v>2</v>
      </c>
      <c r="G906" s="7">
        <v>1</v>
      </c>
      <c r="H906" s="9" t="b">
        <v>0</v>
      </c>
      <c r="I906" s="9">
        <v>4</v>
      </c>
      <c r="J906" s="38" t="str">
        <f>CHOOSE(Table1[[#This Row],[Weekday]]+1,"Sunday","Monday","Tuesday","Wednesday","Thursday","Friday","Saturday")</f>
        <v>Thursday</v>
      </c>
      <c r="K906" s="9">
        <v>3</v>
      </c>
      <c r="L906" s="38" t="str">
        <f>IF(Table1[[#This Row],[Weather_code]]=1,"Clear",IF(Table1[[#This Row],[Weather_code]]=2,"Cloudy",IF(Table1[[#This Row],[Weather_code]]=3,"Light Rain",IF(Table1[[#This Row],[Weather_code]]=4,"Heavy Rain"))))</f>
        <v>Light Rain</v>
      </c>
      <c r="M906" s="9">
        <v>0.14000000000000001</v>
      </c>
      <c r="N906" s="11" t="str">
        <f t="shared" si="43"/>
        <v>Winter</v>
      </c>
      <c r="O906" s="11" t="str">
        <f t="shared" si="44"/>
        <v>Weekend</v>
      </c>
      <c r="P906" s="9">
        <v>0.1515</v>
      </c>
      <c r="Q906" s="7">
        <f>Table1[[#This Row],[A_Temperature]]*41</f>
        <v>6.2115</v>
      </c>
      <c r="R906" s="9">
        <v>0.8</v>
      </c>
      <c r="S906" s="9">
        <v>0.1343</v>
      </c>
      <c r="T906" s="9">
        <v>0</v>
      </c>
      <c r="U906" s="9">
        <v>7</v>
      </c>
      <c r="V906" s="19">
        <v>7</v>
      </c>
    </row>
    <row r="907" spans="1:22" s="13" customFormat="1" ht="30" customHeight="1">
      <c r="A907" s="17" t="s">
        <v>306</v>
      </c>
      <c r="B907" s="8">
        <v>40818</v>
      </c>
      <c r="C907" s="8" t="str">
        <f t="shared" si="42"/>
        <v>Sunday</v>
      </c>
      <c r="D907" s="9">
        <v>1</v>
      </c>
      <c r="E907" s="9">
        <v>0</v>
      </c>
      <c r="F907" s="9">
        <v>2</v>
      </c>
      <c r="G907" s="7">
        <v>2</v>
      </c>
      <c r="H907" s="9" t="b">
        <v>0</v>
      </c>
      <c r="I907" s="9">
        <v>4</v>
      </c>
      <c r="J907" s="38" t="str">
        <f>CHOOSE(Table1[[#This Row],[Weekday]]+1,"Sunday","Monday","Tuesday","Wednesday","Thursday","Friday","Saturday")</f>
        <v>Thursday</v>
      </c>
      <c r="K907" s="9">
        <v>3</v>
      </c>
      <c r="L907" s="38" t="str">
        <f>IF(Table1[[#This Row],[Weather_code]]=1,"Clear",IF(Table1[[#This Row],[Weather_code]]=2,"Cloudy",IF(Table1[[#This Row],[Weather_code]]=3,"Light Rain",IF(Table1[[#This Row],[Weather_code]]=4,"Heavy Rain"))))</f>
        <v>Light Rain</v>
      </c>
      <c r="M907" s="9">
        <v>0.14000000000000001</v>
      </c>
      <c r="N907" s="11" t="str">
        <f t="shared" si="43"/>
        <v>Winter</v>
      </c>
      <c r="O907" s="11" t="str">
        <f t="shared" si="44"/>
        <v>Weekend</v>
      </c>
      <c r="P907" s="9">
        <v>0.1515</v>
      </c>
      <c r="Q907" s="7">
        <f>Table1[[#This Row],[A_Temperature]]*41</f>
        <v>6.2115</v>
      </c>
      <c r="R907" s="9">
        <v>0.8</v>
      </c>
      <c r="S907" s="9">
        <v>0.1343</v>
      </c>
      <c r="T907" s="9">
        <v>0</v>
      </c>
      <c r="U907" s="9">
        <v>3</v>
      </c>
      <c r="V907" s="19">
        <v>3</v>
      </c>
    </row>
    <row r="908" spans="1:22" s="13" customFormat="1" ht="30" customHeight="1">
      <c r="A908" s="17" t="s">
        <v>307</v>
      </c>
      <c r="B908" s="8">
        <v>40818</v>
      </c>
      <c r="C908" s="8" t="str">
        <f t="shared" si="42"/>
        <v>Sunday</v>
      </c>
      <c r="D908" s="9">
        <v>1</v>
      </c>
      <c r="E908" s="9">
        <v>0</v>
      </c>
      <c r="F908" s="9">
        <v>2</v>
      </c>
      <c r="G908" s="7">
        <v>4</v>
      </c>
      <c r="H908" s="9" t="b">
        <v>0</v>
      </c>
      <c r="I908" s="9">
        <v>4</v>
      </c>
      <c r="J908" s="38" t="str">
        <f>CHOOSE(Table1[[#This Row],[Weekday]]+1,"Sunday","Monday","Tuesday","Wednesday","Thursday","Friday","Saturday")</f>
        <v>Thursday</v>
      </c>
      <c r="K908" s="9">
        <v>2</v>
      </c>
      <c r="L908" s="38" t="str">
        <f>IF(Table1[[#This Row],[Weather_code]]=1,"Clear",IF(Table1[[#This Row],[Weather_code]]=2,"Cloudy",IF(Table1[[#This Row],[Weather_code]]=3,"Light Rain",IF(Table1[[#This Row],[Weather_code]]=4,"Heavy Rain"))))</f>
        <v>Cloudy</v>
      </c>
      <c r="M908" s="9">
        <v>0.14000000000000001</v>
      </c>
      <c r="N908" s="11" t="str">
        <f t="shared" si="43"/>
        <v>Winter</v>
      </c>
      <c r="O908" s="11" t="str">
        <f t="shared" si="44"/>
        <v>Weekend</v>
      </c>
      <c r="P908" s="9">
        <v>0.13639999999999999</v>
      </c>
      <c r="Q908" s="7">
        <f>Table1[[#This Row],[A_Temperature]]*41</f>
        <v>5.5923999999999996</v>
      </c>
      <c r="R908" s="9">
        <v>0.59</v>
      </c>
      <c r="S908" s="9">
        <v>0.22389999999999999</v>
      </c>
      <c r="T908" s="9">
        <v>0</v>
      </c>
      <c r="U908" s="9">
        <v>1</v>
      </c>
      <c r="V908" s="19">
        <v>1</v>
      </c>
    </row>
    <row r="909" spans="1:22" s="13" customFormat="1" ht="30" customHeight="1">
      <c r="A909" s="17" t="s">
        <v>308</v>
      </c>
      <c r="B909" s="8">
        <v>40818</v>
      </c>
      <c r="C909" s="8" t="str">
        <f t="shared" si="42"/>
        <v>Sunday</v>
      </c>
      <c r="D909" s="9">
        <v>1</v>
      </c>
      <c r="E909" s="9">
        <v>0</v>
      </c>
      <c r="F909" s="9">
        <v>2</v>
      </c>
      <c r="G909" s="7">
        <v>5</v>
      </c>
      <c r="H909" s="9" t="b">
        <v>0</v>
      </c>
      <c r="I909" s="9">
        <v>4</v>
      </c>
      <c r="J909" s="38" t="str">
        <f>CHOOSE(Table1[[#This Row],[Weekday]]+1,"Sunday","Monday","Tuesday","Wednesday","Thursday","Friday","Saturday")</f>
        <v>Thursday</v>
      </c>
      <c r="K909" s="9">
        <v>2</v>
      </c>
      <c r="L909" s="38" t="str">
        <f>IF(Table1[[#This Row],[Weather_code]]=1,"Clear",IF(Table1[[#This Row],[Weather_code]]=2,"Cloudy",IF(Table1[[#This Row],[Weather_code]]=3,"Light Rain",IF(Table1[[#This Row],[Weather_code]]=4,"Heavy Rain"))))</f>
        <v>Cloudy</v>
      </c>
      <c r="M909" s="9">
        <v>0.12</v>
      </c>
      <c r="N909" s="11" t="str">
        <f t="shared" si="43"/>
        <v>Winter</v>
      </c>
      <c r="O909" s="11" t="str">
        <f t="shared" si="44"/>
        <v>Weekend</v>
      </c>
      <c r="P909" s="9">
        <v>0.1212</v>
      </c>
      <c r="Q909" s="7">
        <f>Table1[[#This Row],[A_Temperature]]*41</f>
        <v>4.9691999999999998</v>
      </c>
      <c r="R909" s="9">
        <v>0.5</v>
      </c>
      <c r="S909" s="9">
        <v>0.22389999999999999</v>
      </c>
      <c r="T909" s="9">
        <v>0</v>
      </c>
      <c r="U909" s="9">
        <v>6</v>
      </c>
      <c r="V909" s="19">
        <v>6</v>
      </c>
    </row>
    <row r="910" spans="1:22" s="13" customFormat="1" ht="30" customHeight="1">
      <c r="A910" s="17" t="s">
        <v>309</v>
      </c>
      <c r="B910" s="8">
        <v>40818</v>
      </c>
      <c r="C910" s="8" t="str">
        <f t="shared" si="42"/>
        <v>Sunday</v>
      </c>
      <c r="D910" s="9">
        <v>1</v>
      </c>
      <c r="E910" s="9">
        <v>0</v>
      </c>
      <c r="F910" s="9">
        <v>2</v>
      </c>
      <c r="G910" s="7">
        <v>6</v>
      </c>
      <c r="H910" s="9" t="b">
        <v>0</v>
      </c>
      <c r="I910" s="9">
        <v>4</v>
      </c>
      <c r="J910" s="38" t="str">
        <f>CHOOSE(Table1[[#This Row],[Weekday]]+1,"Sunday","Monday","Tuesday","Wednesday","Thursday","Friday","Saturday")</f>
        <v>Thursday</v>
      </c>
      <c r="K910" s="9">
        <v>2</v>
      </c>
      <c r="L910" s="38" t="str">
        <f>IF(Table1[[#This Row],[Weather_code]]=1,"Clear",IF(Table1[[#This Row],[Weather_code]]=2,"Cloudy",IF(Table1[[#This Row],[Weather_code]]=3,"Light Rain",IF(Table1[[#This Row],[Weather_code]]=4,"Heavy Rain"))))</f>
        <v>Cloudy</v>
      </c>
      <c r="M910" s="9">
        <v>0.12</v>
      </c>
      <c r="N910" s="11" t="str">
        <f t="shared" si="43"/>
        <v>Winter</v>
      </c>
      <c r="O910" s="11" t="str">
        <f t="shared" si="44"/>
        <v>Weekend</v>
      </c>
      <c r="P910" s="9">
        <v>0.1212</v>
      </c>
      <c r="Q910" s="7">
        <f>Table1[[#This Row],[A_Temperature]]*41</f>
        <v>4.9691999999999998</v>
      </c>
      <c r="R910" s="9">
        <v>0.54</v>
      </c>
      <c r="S910" s="9">
        <v>0.28360000000000002</v>
      </c>
      <c r="T910" s="9">
        <v>0</v>
      </c>
      <c r="U910" s="9">
        <v>26</v>
      </c>
      <c r="V910" s="19">
        <v>26</v>
      </c>
    </row>
    <row r="911" spans="1:22" s="13" customFormat="1" ht="30" customHeight="1">
      <c r="A911" s="17" t="s">
        <v>310</v>
      </c>
      <c r="B911" s="8">
        <v>40818</v>
      </c>
      <c r="C911" s="8" t="str">
        <f t="shared" si="42"/>
        <v>Sunday</v>
      </c>
      <c r="D911" s="9">
        <v>1</v>
      </c>
      <c r="E911" s="9">
        <v>0</v>
      </c>
      <c r="F911" s="9">
        <v>2</v>
      </c>
      <c r="G911" s="7">
        <v>7</v>
      </c>
      <c r="H911" s="9" t="b">
        <v>0</v>
      </c>
      <c r="I911" s="9">
        <v>4</v>
      </c>
      <c r="J911" s="38" t="str">
        <f>CHOOSE(Table1[[#This Row],[Weekday]]+1,"Sunday","Monday","Tuesday","Wednesday","Thursday","Friday","Saturday")</f>
        <v>Thursday</v>
      </c>
      <c r="K911" s="9">
        <v>1</v>
      </c>
      <c r="L911" s="38" t="str">
        <f>IF(Table1[[#This Row],[Weather_code]]=1,"Clear",IF(Table1[[#This Row],[Weather_code]]=2,"Cloudy",IF(Table1[[#This Row],[Weather_code]]=3,"Light Rain",IF(Table1[[#This Row],[Weather_code]]=4,"Heavy Rain"))))</f>
        <v>Clear</v>
      </c>
      <c r="M911" s="9">
        <v>0.1</v>
      </c>
      <c r="N911" s="11" t="str">
        <f t="shared" si="43"/>
        <v>Winter</v>
      </c>
      <c r="O911" s="11" t="str">
        <f t="shared" si="44"/>
        <v>Weekend</v>
      </c>
      <c r="P911" s="9">
        <v>7.5800000000000006E-2</v>
      </c>
      <c r="Q911" s="7">
        <f>Table1[[#This Row],[A_Temperature]]*41</f>
        <v>3.1078000000000001</v>
      </c>
      <c r="R911" s="9">
        <v>0.5</v>
      </c>
      <c r="S911" s="9">
        <v>0.41789999999999999</v>
      </c>
      <c r="T911" s="9">
        <v>0</v>
      </c>
      <c r="U911" s="9">
        <v>99</v>
      </c>
      <c r="V911" s="19">
        <v>99</v>
      </c>
    </row>
    <row r="912" spans="1:22" s="13" customFormat="1" ht="30" customHeight="1">
      <c r="A912" s="17" t="s">
        <v>311</v>
      </c>
      <c r="B912" s="8">
        <v>40818</v>
      </c>
      <c r="C912" s="8" t="str">
        <f t="shared" si="42"/>
        <v>Sunday</v>
      </c>
      <c r="D912" s="9">
        <v>1</v>
      </c>
      <c r="E912" s="9">
        <v>0</v>
      </c>
      <c r="F912" s="9">
        <v>2</v>
      </c>
      <c r="G912" s="7">
        <v>8</v>
      </c>
      <c r="H912" s="9" t="b">
        <v>0</v>
      </c>
      <c r="I912" s="9">
        <v>4</v>
      </c>
      <c r="J912" s="38" t="str">
        <f>CHOOSE(Table1[[#This Row],[Weekday]]+1,"Sunday","Monday","Tuesday","Wednesday","Thursday","Friday","Saturday")</f>
        <v>Thursday</v>
      </c>
      <c r="K912" s="9">
        <v>1</v>
      </c>
      <c r="L912" s="38" t="str">
        <f>IF(Table1[[#This Row],[Weather_code]]=1,"Clear",IF(Table1[[#This Row],[Weather_code]]=2,"Cloudy",IF(Table1[[#This Row],[Weather_code]]=3,"Light Rain",IF(Table1[[#This Row],[Weather_code]]=4,"Heavy Rain"))))</f>
        <v>Clear</v>
      </c>
      <c r="M912" s="9">
        <v>0.1</v>
      </c>
      <c r="N912" s="11" t="str">
        <f t="shared" si="43"/>
        <v>Winter</v>
      </c>
      <c r="O912" s="11" t="str">
        <f t="shared" si="44"/>
        <v>Weekend</v>
      </c>
      <c r="P912" s="9">
        <v>7.5800000000000006E-2</v>
      </c>
      <c r="Q912" s="7">
        <f>Table1[[#This Row],[A_Temperature]]*41</f>
        <v>3.1078000000000001</v>
      </c>
      <c r="R912" s="9">
        <v>0.49</v>
      </c>
      <c r="S912" s="9">
        <v>0.32840000000000003</v>
      </c>
      <c r="T912" s="9">
        <v>5</v>
      </c>
      <c r="U912" s="9">
        <v>173</v>
      </c>
      <c r="V912" s="19">
        <v>178</v>
      </c>
    </row>
    <row r="913" spans="1:22" s="13" customFormat="1" ht="30" customHeight="1">
      <c r="A913" s="17" t="s">
        <v>312</v>
      </c>
      <c r="B913" s="8">
        <v>40818</v>
      </c>
      <c r="C913" s="8" t="str">
        <f t="shared" si="42"/>
        <v>Sunday</v>
      </c>
      <c r="D913" s="9">
        <v>1</v>
      </c>
      <c r="E913" s="9">
        <v>0</v>
      </c>
      <c r="F913" s="9">
        <v>2</v>
      </c>
      <c r="G913" s="7">
        <v>9</v>
      </c>
      <c r="H913" s="9" t="b">
        <v>0</v>
      </c>
      <c r="I913" s="9">
        <v>4</v>
      </c>
      <c r="J913" s="38" t="str">
        <f>CHOOSE(Table1[[#This Row],[Weekday]]+1,"Sunday","Monday","Tuesday","Wednesday","Thursday","Friday","Saturday")</f>
        <v>Thursday</v>
      </c>
      <c r="K913" s="9">
        <v>1</v>
      </c>
      <c r="L913" s="38" t="str">
        <f>IF(Table1[[#This Row],[Weather_code]]=1,"Clear",IF(Table1[[#This Row],[Weather_code]]=2,"Cloudy",IF(Table1[[#This Row],[Weather_code]]=3,"Light Rain",IF(Table1[[#This Row],[Weather_code]]=4,"Heavy Rain"))))</f>
        <v>Clear</v>
      </c>
      <c r="M913" s="9">
        <v>0.12</v>
      </c>
      <c r="N913" s="11" t="str">
        <f t="shared" si="43"/>
        <v>Winter</v>
      </c>
      <c r="O913" s="11" t="str">
        <f t="shared" si="44"/>
        <v>Weekend</v>
      </c>
      <c r="P913" s="9">
        <v>0.1061</v>
      </c>
      <c r="Q913" s="7">
        <f>Table1[[#This Row],[A_Temperature]]*41</f>
        <v>4.3501000000000003</v>
      </c>
      <c r="R913" s="9">
        <v>0.42</v>
      </c>
      <c r="S913" s="9">
        <v>0.35820000000000002</v>
      </c>
      <c r="T913" s="9">
        <v>1</v>
      </c>
      <c r="U913" s="9">
        <v>121</v>
      </c>
      <c r="V913" s="19">
        <v>122</v>
      </c>
    </row>
    <row r="914" spans="1:22" s="13" customFormat="1" ht="30" customHeight="1">
      <c r="A914" s="17" t="s">
        <v>313</v>
      </c>
      <c r="B914" s="8">
        <v>40818</v>
      </c>
      <c r="C914" s="8" t="str">
        <f t="shared" si="42"/>
        <v>Sunday</v>
      </c>
      <c r="D914" s="9">
        <v>1</v>
      </c>
      <c r="E914" s="9">
        <v>0</v>
      </c>
      <c r="F914" s="9">
        <v>2</v>
      </c>
      <c r="G914" s="7">
        <v>10</v>
      </c>
      <c r="H914" s="9" t="b">
        <v>0</v>
      </c>
      <c r="I914" s="9">
        <v>4</v>
      </c>
      <c r="J914" s="38" t="str">
        <f>CHOOSE(Table1[[#This Row],[Weekday]]+1,"Sunday","Monday","Tuesday","Wednesday","Thursday","Friday","Saturday")</f>
        <v>Thursday</v>
      </c>
      <c r="K914" s="9">
        <v>1</v>
      </c>
      <c r="L914" s="38" t="str">
        <f>IF(Table1[[#This Row],[Weather_code]]=1,"Clear",IF(Table1[[#This Row],[Weather_code]]=2,"Cloudy",IF(Table1[[#This Row],[Weather_code]]=3,"Light Rain",IF(Table1[[#This Row],[Weather_code]]=4,"Heavy Rain"))))</f>
        <v>Clear</v>
      </c>
      <c r="M914" s="9">
        <v>0.12</v>
      </c>
      <c r="N914" s="11" t="str">
        <f t="shared" si="43"/>
        <v>Winter</v>
      </c>
      <c r="O914" s="11" t="str">
        <f t="shared" si="44"/>
        <v>Weekend</v>
      </c>
      <c r="P914" s="9">
        <v>0.1061</v>
      </c>
      <c r="Q914" s="7">
        <f>Table1[[#This Row],[A_Temperature]]*41</f>
        <v>4.3501000000000003</v>
      </c>
      <c r="R914" s="9">
        <v>0.42</v>
      </c>
      <c r="S914" s="9">
        <v>0.29849999999999999</v>
      </c>
      <c r="T914" s="9">
        <v>1</v>
      </c>
      <c r="U914" s="9">
        <v>34</v>
      </c>
      <c r="V914" s="19">
        <v>35</v>
      </c>
    </row>
    <row r="915" spans="1:22" s="13" customFormat="1" ht="30" customHeight="1">
      <c r="A915" s="17" t="s">
        <v>314</v>
      </c>
      <c r="B915" s="8">
        <v>40818</v>
      </c>
      <c r="C915" s="8" t="str">
        <f t="shared" si="42"/>
        <v>Sunday</v>
      </c>
      <c r="D915" s="9">
        <v>1</v>
      </c>
      <c r="E915" s="9">
        <v>0</v>
      </c>
      <c r="F915" s="9">
        <v>2</v>
      </c>
      <c r="G915" s="7">
        <v>11</v>
      </c>
      <c r="H915" s="9" t="b">
        <v>0</v>
      </c>
      <c r="I915" s="9">
        <v>4</v>
      </c>
      <c r="J915" s="38" t="str">
        <f>CHOOSE(Table1[[#This Row],[Weekday]]+1,"Sunday","Monday","Tuesday","Wednesday","Thursday","Friday","Saturday")</f>
        <v>Thursday</v>
      </c>
      <c r="K915" s="9">
        <v>1</v>
      </c>
      <c r="L915" s="38" t="str">
        <f>IF(Table1[[#This Row],[Weather_code]]=1,"Clear",IF(Table1[[#This Row],[Weather_code]]=2,"Cloudy",IF(Table1[[#This Row],[Weather_code]]=3,"Light Rain",IF(Table1[[#This Row],[Weather_code]]=4,"Heavy Rain"))))</f>
        <v>Clear</v>
      </c>
      <c r="M915" s="9">
        <v>0.14000000000000001</v>
      </c>
      <c r="N915" s="11" t="str">
        <f t="shared" si="43"/>
        <v>Winter</v>
      </c>
      <c r="O915" s="11" t="str">
        <f t="shared" si="44"/>
        <v>Weekend</v>
      </c>
      <c r="P915" s="9">
        <v>0.1212</v>
      </c>
      <c r="Q915" s="7">
        <f>Table1[[#This Row],[A_Temperature]]*41</f>
        <v>4.9691999999999998</v>
      </c>
      <c r="R915" s="9">
        <v>0.39</v>
      </c>
      <c r="S915" s="9">
        <v>0.35820000000000002</v>
      </c>
      <c r="T915" s="9">
        <v>1</v>
      </c>
      <c r="U915" s="9">
        <v>44</v>
      </c>
      <c r="V915" s="19">
        <v>45</v>
      </c>
    </row>
    <row r="916" spans="1:22" s="13" customFormat="1" ht="30" customHeight="1">
      <c r="A916" s="17" t="s">
        <v>315</v>
      </c>
      <c r="B916" s="8">
        <v>40818</v>
      </c>
      <c r="C916" s="8" t="str">
        <f t="shared" si="42"/>
        <v>Sunday</v>
      </c>
      <c r="D916" s="9">
        <v>1</v>
      </c>
      <c r="E916" s="9">
        <v>0</v>
      </c>
      <c r="F916" s="9">
        <v>2</v>
      </c>
      <c r="G916" s="7">
        <v>12</v>
      </c>
      <c r="H916" s="9" t="b">
        <v>0</v>
      </c>
      <c r="I916" s="9">
        <v>4</v>
      </c>
      <c r="J916" s="38" t="str">
        <f>CHOOSE(Table1[[#This Row],[Weekday]]+1,"Sunday","Monday","Tuesday","Wednesday","Thursday","Friday","Saturday")</f>
        <v>Thursday</v>
      </c>
      <c r="K916" s="9">
        <v>1</v>
      </c>
      <c r="L916" s="38" t="str">
        <f>IF(Table1[[#This Row],[Weather_code]]=1,"Clear",IF(Table1[[#This Row],[Weather_code]]=2,"Cloudy",IF(Table1[[#This Row],[Weather_code]]=3,"Light Rain",IF(Table1[[#This Row],[Weather_code]]=4,"Heavy Rain"))))</f>
        <v>Clear</v>
      </c>
      <c r="M916" s="9">
        <v>0.16</v>
      </c>
      <c r="N916" s="11" t="str">
        <f t="shared" si="43"/>
        <v>Winter</v>
      </c>
      <c r="O916" s="11" t="str">
        <f t="shared" si="44"/>
        <v>Weekend</v>
      </c>
      <c r="P916" s="9">
        <v>0.13639999999999999</v>
      </c>
      <c r="Q916" s="7">
        <f>Table1[[#This Row],[A_Temperature]]*41</f>
        <v>5.5923999999999996</v>
      </c>
      <c r="R916" s="9">
        <v>0.34</v>
      </c>
      <c r="S916" s="9">
        <v>0.3881</v>
      </c>
      <c r="T916" s="9">
        <v>4</v>
      </c>
      <c r="U916" s="9">
        <v>65</v>
      </c>
      <c r="V916" s="19">
        <v>69</v>
      </c>
    </row>
    <row r="917" spans="1:22" s="13" customFormat="1" ht="30" customHeight="1">
      <c r="A917" s="17" t="s">
        <v>316</v>
      </c>
      <c r="B917" s="8">
        <v>40818</v>
      </c>
      <c r="C917" s="8" t="str">
        <f t="shared" si="42"/>
        <v>Sunday</v>
      </c>
      <c r="D917" s="9">
        <v>1</v>
      </c>
      <c r="E917" s="9">
        <v>0</v>
      </c>
      <c r="F917" s="9">
        <v>2</v>
      </c>
      <c r="G917" s="7">
        <v>13</v>
      </c>
      <c r="H917" s="9" t="b">
        <v>0</v>
      </c>
      <c r="I917" s="9">
        <v>4</v>
      </c>
      <c r="J917" s="38" t="str">
        <f>CHOOSE(Table1[[#This Row],[Weekday]]+1,"Sunday","Monday","Tuesday","Wednesday","Thursday","Friday","Saturday")</f>
        <v>Thursday</v>
      </c>
      <c r="K917" s="9">
        <v>1</v>
      </c>
      <c r="L917" s="38" t="str">
        <f>IF(Table1[[#This Row],[Weather_code]]=1,"Clear",IF(Table1[[#This Row],[Weather_code]]=2,"Cloudy",IF(Table1[[#This Row],[Weather_code]]=3,"Light Rain",IF(Table1[[#This Row],[Weather_code]]=4,"Heavy Rain"))))</f>
        <v>Clear</v>
      </c>
      <c r="M917" s="9">
        <v>0.18</v>
      </c>
      <c r="N917" s="11" t="str">
        <f t="shared" si="43"/>
        <v>Winter</v>
      </c>
      <c r="O917" s="11" t="str">
        <f t="shared" si="44"/>
        <v>Weekend</v>
      </c>
      <c r="P917" s="9">
        <v>0.16669999999999999</v>
      </c>
      <c r="Q917" s="7">
        <f>Table1[[#This Row],[A_Temperature]]*41</f>
        <v>6.8346999999999998</v>
      </c>
      <c r="R917" s="9">
        <v>0.28999999999999998</v>
      </c>
      <c r="S917" s="9">
        <v>0.29849999999999999</v>
      </c>
      <c r="T917" s="9">
        <v>3</v>
      </c>
      <c r="U917" s="9">
        <v>59</v>
      </c>
      <c r="V917" s="19">
        <v>62</v>
      </c>
    </row>
    <row r="918" spans="1:22" s="13" customFormat="1" ht="30" customHeight="1">
      <c r="A918" s="17" t="s">
        <v>317</v>
      </c>
      <c r="B918" s="8">
        <v>40818</v>
      </c>
      <c r="C918" s="8" t="str">
        <f t="shared" si="42"/>
        <v>Sunday</v>
      </c>
      <c r="D918" s="9">
        <v>1</v>
      </c>
      <c r="E918" s="9">
        <v>0</v>
      </c>
      <c r="F918" s="9">
        <v>2</v>
      </c>
      <c r="G918" s="7">
        <v>14</v>
      </c>
      <c r="H918" s="9" t="b">
        <v>0</v>
      </c>
      <c r="I918" s="9">
        <v>4</v>
      </c>
      <c r="J918" s="38" t="str">
        <f>CHOOSE(Table1[[#This Row],[Weekday]]+1,"Sunday","Monday","Tuesday","Wednesday","Thursday","Friday","Saturday")</f>
        <v>Thursday</v>
      </c>
      <c r="K918" s="9">
        <v>1</v>
      </c>
      <c r="L918" s="38" t="str">
        <f>IF(Table1[[#This Row],[Weather_code]]=1,"Clear",IF(Table1[[#This Row],[Weather_code]]=2,"Cloudy",IF(Table1[[#This Row],[Weather_code]]=3,"Light Rain",IF(Table1[[#This Row],[Weather_code]]=4,"Heavy Rain"))))</f>
        <v>Clear</v>
      </c>
      <c r="M918" s="9">
        <v>0.2</v>
      </c>
      <c r="N918" s="11" t="str">
        <f t="shared" si="43"/>
        <v>Winter</v>
      </c>
      <c r="O918" s="11" t="str">
        <f t="shared" si="44"/>
        <v>Weekend</v>
      </c>
      <c r="P918" s="9">
        <v>0.18179999999999999</v>
      </c>
      <c r="Q918" s="7">
        <f>Table1[[#This Row],[A_Temperature]]*41</f>
        <v>7.4537999999999993</v>
      </c>
      <c r="R918" s="9">
        <v>0.27</v>
      </c>
      <c r="S918" s="9">
        <v>0.28360000000000002</v>
      </c>
      <c r="T918" s="9">
        <v>6</v>
      </c>
      <c r="U918" s="9">
        <v>42</v>
      </c>
      <c r="V918" s="19">
        <v>48</v>
      </c>
    </row>
    <row r="919" spans="1:22" s="13" customFormat="1" ht="30" customHeight="1">
      <c r="A919" s="17" t="s">
        <v>318</v>
      </c>
      <c r="B919" s="8">
        <v>40818</v>
      </c>
      <c r="C919" s="8" t="str">
        <f t="shared" si="42"/>
        <v>Sunday</v>
      </c>
      <c r="D919" s="9">
        <v>1</v>
      </c>
      <c r="E919" s="9">
        <v>0</v>
      </c>
      <c r="F919" s="9">
        <v>2</v>
      </c>
      <c r="G919" s="7">
        <v>15</v>
      </c>
      <c r="H919" s="9" t="b">
        <v>0</v>
      </c>
      <c r="I919" s="9">
        <v>4</v>
      </c>
      <c r="J919" s="38" t="str">
        <f>CHOOSE(Table1[[#This Row],[Weekday]]+1,"Sunday","Monday","Tuesday","Wednesday","Thursday","Friday","Saturday")</f>
        <v>Thursday</v>
      </c>
      <c r="K919" s="9">
        <v>1</v>
      </c>
      <c r="L919" s="38" t="str">
        <f>IF(Table1[[#This Row],[Weather_code]]=1,"Clear",IF(Table1[[#This Row],[Weather_code]]=2,"Cloudy",IF(Table1[[#This Row],[Weather_code]]=3,"Light Rain",IF(Table1[[#This Row],[Weather_code]]=4,"Heavy Rain"))))</f>
        <v>Clear</v>
      </c>
      <c r="M919" s="9">
        <v>0.2</v>
      </c>
      <c r="N919" s="11" t="str">
        <f t="shared" si="43"/>
        <v>Winter</v>
      </c>
      <c r="O919" s="11" t="str">
        <f t="shared" si="44"/>
        <v>Weekend</v>
      </c>
      <c r="P919" s="9">
        <v>0.19700000000000001</v>
      </c>
      <c r="Q919" s="7">
        <f>Table1[[#This Row],[A_Temperature]]*41</f>
        <v>8.077</v>
      </c>
      <c r="R919" s="9">
        <v>0.25</v>
      </c>
      <c r="S919" s="9">
        <v>0.25369999999999998</v>
      </c>
      <c r="T919" s="9">
        <v>0</v>
      </c>
      <c r="U919" s="9">
        <v>50</v>
      </c>
      <c r="V919" s="19">
        <v>50</v>
      </c>
    </row>
    <row r="920" spans="1:22" s="13" customFormat="1" ht="30" customHeight="1">
      <c r="A920" s="17" t="s">
        <v>319</v>
      </c>
      <c r="B920" s="8">
        <v>40818</v>
      </c>
      <c r="C920" s="8" t="str">
        <f t="shared" si="42"/>
        <v>Sunday</v>
      </c>
      <c r="D920" s="9">
        <v>1</v>
      </c>
      <c r="E920" s="9">
        <v>0</v>
      </c>
      <c r="F920" s="9">
        <v>2</v>
      </c>
      <c r="G920" s="7">
        <v>16</v>
      </c>
      <c r="H920" s="9" t="b">
        <v>0</v>
      </c>
      <c r="I920" s="9">
        <v>4</v>
      </c>
      <c r="J920" s="38" t="str">
        <f>CHOOSE(Table1[[#This Row],[Weekday]]+1,"Sunday","Monday","Tuesday","Wednesday","Thursday","Friday","Saturday")</f>
        <v>Thursday</v>
      </c>
      <c r="K920" s="9">
        <v>1</v>
      </c>
      <c r="L920" s="38" t="str">
        <f>IF(Table1[[#This Row],[Weather_code]]=1,"Clear",IF(Table1[[#This Row],[Weather_code]]=2,"Cloudy",IF(Table1[[#This Row],[Weather_code]]=3,"Light Rain",IF(Table1[[#This Row],[Weather_code]]=4,"Heavy Rain"))))</f>
        <v>Clear</v>
      </c>
      <c r="M920" s="9">
        <v>0.2</v>
      </c>
      <c r="N920" s="11" t="str">
        <f t="shared" si="43"/>
        <v>Winter</v>
      </c>
      <c r="O920" s="11" t="str">
        <f t="shared" si="44"/>
        <v>Weekend</v>
      </c>
      <c r="P920" s="9">
        <v>0.18179999999999999</v>
      </c>
      <c r="Q920" s="7">
        <f>Table1[[#This Row],[A_Temperature]]*41</f>
        <v>7.4537999999999993</v>
      </c>
      <c r="R920" s="9">
        <v>0.27</v>
      </c>
      <c r="S920" s="9">
        <v>0.29849999999999999</v>
      </c>
      <c r="T920" s="9">
        <v>4</v>
      </c>
      <c r="U920" s="9">
        <v>76</v>
      </c>
      <c r="V920" s="19">
        <v>80</v>
      </c>
    </row>
    <row r="921" spans="1:22" s="13" customFormat="1" ht="30" customHeight="1">
      <c r="A921" s="17" t="s">
        <v>320</v>
      </c>
      <c r="B921" s="8">
        <v>40818</v>
      </c>
      <c r="C921" s="8" t="str">
        <f t="shared" si="42"/>
        <v>Sunday</v>
      </c>
      <c r="D921" s="9">
        <v>1</v>
      </c>
      <c r="E921" s="9">
        <v>0</v>
      </c>
      <c r="F921" s="9">
        <v>2</v>
      </c>
      <c r="G921" s="7">
        <v>17</v>
      </c>
      <c r="H921" s="9" t="b">
        <v>0</v>
      </c>
      <c r="I921" s="9">
        <v>4</v>
      </c>
      <c r="J921" s="38" t="str">
        <f>CHOOSE(Table1[[#This Row],[Weekday]]+1,"Sunday","Monday","Tuesday","Wednesday","Thursday","Friday","Saturday")</f>
        <v>Thursday</v>
      </c>
      <c r="K921" s="9">
        <v>1</v>
      </c>
      <c r="L921" s="38" t="str">
        <f>IF(Table1[[#This Row],[Weather_code]]=1,"Clear",IF(Table1[[#This Row],[Weather_code]]=2,"Cloudy",IF(Table1[[#This Row],[Weather_code]]=3,"Light Rain",IF(Table1[[#This Row],[Weather_code]]=4,"Heavy Rain"))))</f>
        <v>Clear</v>
      </c>
      <c r="M921" s="9">
        <v>0.18</v>
      </c>
      <c r="N921" s="11" t="str">
        <f t="shared" si="43"/>
        <v>Winter</v>
      </c>
      <c r="O921" s="11" t="str">
        <f t="shared" si="44"/>
        <v>Weekend</v>
      </c>
      <c r="P921" s="9">
        <v>0.18179999999999999</v>
      </c>
      <c r="Q921" s="7">
        <f>Table1[[#This Row],[A_Temperature]]*41</f>
        <v>7.4537999999999993</v>
      </c>
      <c r="R921" s="9">
        <v>0.26</v>
      </c>
      <c r="S921" s="9">
        <v>0.19400000000000001</v>
      </c>
      <c r="T921" s="9">
        <v>6</v>
      </c>
      <c r="U921" s="9">
        <v>159</v>
      </c>
      <c r="V921" s="19">
        <v>165</v>
      </c>
    </row>
    <row r="922" spans="1:22" s="13" customFormat="1" ht="30" customHeight="1">
      <c r="A922" s="17" t="s">
        <v>321</v>
      </c>
      <c r="B922" s="8">
        <v>40818</v>
      </c>
      <c r="C922" s="8" t="str">
        <f t="shared" si="42"/>
        <v>Sunday</v>
      </c>
      <c r="D922" s="9">
        <v>1</v>
      </c>
      <c r="E922" s="9">
        <v>0</v>
      </c>
      <c r="F922" s="9">
        <v>2</v>
      </c>
      <c r="G922" s="7">
        <v>18</v>
      </c>
      <c r="H922" s="9" t="b">
        <v>0</v>
      </c>
      <c r="I922" s="9">
        <v>4</v>
      </c>
      <c r="J922" s="38" t="str">
        <f>CHOOSE(Table1[[#This Row],[Weekday]]+1,"Sunday","Monday","Tuesday","Wednesday","Thursday","Friday","Saturday")</f>
        <v>Thursday</v>
      </c>
      <c r="K922" s="9">
        <v>1</v>
      </c>
      <c r="L922" s="38" t="str">
        <f>IF(Table1[[#This Row],[Weather_code]]=1,"Clear",IF(Table1[[#This Row],[Weather_code]]=2,"Cloudy",IF(Table1[[#This Row],[Weather_code]]=3,"Light Rain",IF(Table1[[#This Row],[Weather_code]]=4,"Heavy Rain"))))</f>
        <v>Clear</v>
      </c>
      <c r="M922" s="9">
        <v>0.16</v>
      </c>
      <c r="N922" s="11" t="str">
        <f t="shared" si="43"/>
        <v>Winter</v>
      </c>
      <c r="O922" s="11" t="str">
        <f t="shared" si="44"/>
        <v>Weekend</v>
      </c>
      <c r="P922" s="9">
        <v>0.18179999999999999</v>
      </c>
      <c r="Q922" s="7">
        <f>Table1[[#This Row],[A_Temperature]]*41</f>
        <v>7.4537999999999993</v>
      </c>
      <c r="R922" s="9">
        <v>0.28000000000000003</v>
      </c>
      <c r="S922" s="9">
        <v>0.1343</v>
      </c>
      <c r="T922" s="9">
        <v>3</v>
      </c>
      <c r="U922" s="9">
        <v>157</v>
      </c>
      <c r="V922" s="19">
        <v>160</v>
      </c>
    </row>
    <row r="923" spans="1:22" s="13" customFormat="1" ht="30" customHeight="1">
      <c r="A923" s="17" t="s">
        <v>322</v>
      </c>
      <c r="B923" s="8">
        <v>40818</v>
      </c>
      <c r="C923" s="8" t="str">
        <f t="shared" si="42"/>
        <v>Sunday</v>
      </c>
      <c r="D923" s="9">
        <v>1</v>
      </c>
      <c r="E923" s="9">
        <v>0</v>
      </c>
      <c r="F923" s="9">
        <v>2</v>
      </c>
      <c r="G923" s="7">
        <v>19</v>
      </c>
      <c r="H923" s="9" t="b">
        <v>0</v>
      </c>
      <c r="I923" s="9">
        <v>4</v>
      </c>
      <c r="J923" s="38" t="str">
        <f>CHOOSE(Table1[[#This Row],[Weekday]]+1,"Sunday","Monday","Tuesday","Wednesday","Thursday","Friday","Saturday")</f>
        <v>Thursday</v>
      </c>
      <c r="K923" s="9">
        <v>1</v>
      </c>
      <c r="L923" s="38" t="str">
        <f>IF(Table1[[#This Row],[Weather_code]]=1,"Clear",IF(Table1[[#This Row],[Weather_code]]=2,"Cloudy",IF(Table1[[#This Row],[Weather_code]]=3,"Light Rain",IF(Table1[[#This Row],[Weather_code]]=4,"Heavy Rain"))))</f>
        <v>Clear</v>
      </c>
      <c r="M923" s="9">
        <v>0.14000000000000001</v>
      </c>
      <c r="N923" s="11" t="str">
        <f t="shared" si="43"/>
        <v>Winter</v>
      </c>
      <c r="O923" s="11" t="str">
        <f t="shared" si="44"/>
        <v>Weekend</v>
      </c>
      <c r="P923" s="9">
        <v>0.16669999999999999</v>
      </c>
      <c r="Q923" s="7">
        <f>Table1[[#This Row],[A_Temperature]]*41</f>
        <v>6.8346999999999998</v>
      </c>
      <c r="R923" s="9">
        <v>0.28000000000000003</v>
      </c>
      <c r="S923" s="9">
        <v>0.1045</v>
      </c>
      <c r="T923" s="9">
        <v>2</v>
      </c>
      <c r="U923" s="9">
        <v>110</v>
      </c>
      <c r="V923" s="19">
        <v>112</v>
      </c>
    </row>
    <row r="924" spans="1:22" s="13" customFormat="1" ht="30" customHeight="1">
      <c r="A924" s="17" t="s">
        <v>323</v>
      </c>
      <c r="B924" s="8">
        <v>40818</v>
      </c>
      <c r="C924" s="8" t="str">
        <f t="shared" si="42"/>
        <v>Sunday</v>
      </c>
      <c r="D924" s="9">
        <v>1</v>
      </c>
      <c r="E924" s="9">
        <v>0</v>
      </c>
      <c r="F924" s="9">
        <v>2</v>
      </c>
      <c r="G924" s="7">
        <v>20</v>
      </c>
      <c r="H924" s="9" t="b">
        <v>0</v>
      </c>
      <c r="I924" s="9">
        <v>4</v>
      </c>
      <c r="J924" s="38" t="str">
        <f>CHOOSE(Table1[[#This Row],[Weekday]]+1,"Sunday","Monday","Tuesday","Wednesday","Thursday","Friday","Saturday")</f>
        <v>Thursday</v>
      </c>
      <c r="K924" s="9">
        <v>1</v>
      </c>
      <c r="L924" s="38" t="str">
        <f>IF(Table1[[#This Row],[Weather_code]]=1,"Clear",IF(Table1[[#This Row],[Weather_code]]=2,"Cloudy",IF(Table1[[#This Row],[Weather_code]]=3,"Light Rain",IF(Table1[[#This Row],[Weather_code]]=4,"Heavy Rain"))))</f>
        <v>Clear</v>
      </c>
      <c r="M924" s="9">
        <v>0.14000000000000001</v>
      </c>
      <c r="N924" s="11" t="str">
        <f t="shared" si="43"/>
        <v>Winter</v>
      </c>
      <c r="O924" s="11" t="str">
        <f t="shared" si="44"/>
        <v>Weekend</v>
      </c>
      <c r="P924" s="9">
        <v>0.18179999999999999</v>
      </c>
      <c r="Q924" s="7">
        <f>Table1[[#This Row],[A_Temperature]]*41</f>
        <v>7.4537999999999993</v>
      </c>
      <c r="R924" s="9">
        <v>0.31</v>
      </c>
      <c r="S924" s="9">
        <v>8.9599999999999999E-2</v>
      </c>
      <c r="T924" s="9">
        <v>4</v>
      </c>
      <c r="U924" s="9">
        <v>93</v>
      </c>
      <c r="V924" s="19">
        <v>97</v>
      </c>
    </row>
    <row r="925" spans="1:22" s="13" customFormat="1" ht="30" customHeight="1">
      <c r="A925" s="17" t="s">
        <v>324</v>
      </c>
      <c r="B925" s="8">
        <v>40818</v>
      </c>
      <c r="C925" s="8" t="str">
        <f t="shared" ref="C925:C988" si="45">TEXT(B925,"DDDD")</f>
        <v>Sunday</v>
      </c>
      <c r="D925" s="9">
        <v>1</v>
      </c>
      <c r="E925" s="9">
        <v>0</v>
      </c>
      <c r="F925" s="9">
        <v>2</v>
      </c>
      <c r="G925" s="7">
        <v>21</v>
      </c>
      <c r="H925" s="9" t="b">
        <v>0</v>
      </c>
      <c r="I925" s="9">
        <v>4</v>
      </c>
      <c r="J925" s="38" t="str">
        <f>CHOOSE(Table1[[#This Row],[Weekday]]+1,"Sunday","Monday","Tuesday","Wednesday","Thursday","Friday","Saturday")</f>
        <v>Thursday</v>
      </c>
      <c r="K925" s="9">
        <v>1</v>
      </c>
      <c r="L925" s="38" t="str">
        <f>IF(Table1[[#This Row],[Weather_code]]=1,"Clear",IF(Table1[[#This Row],[Weather_code]]=2,"Cloudy",IF(Table1[[#This Row],[Weather_code]]=3,"Light Rain",IF(Table1[[#This Row],[Weather_code]]=4,"Heavy Rain"))))</f>
        <v>Clear</v>
      </c>
      <c r="M925" s="9">
        <v>0.14000000000000001</v>
      </c>
      <c r="N925" s="11" t="str">
        <f t="shared" si="43"/>
        <v>Winter</v>
      </c>
      <c r="O925" s="11" t="str">
        <f t="shared" si="44"/>
        <v>Weekend</v>
      </c>
      <c r="P925" s="9">
        <v>0.21210000000000001</v>
      </c>
      <c r="Q925" s="7">
        <f>Table1[[#This Row],[A_Temperature]]*41</f>
        <v>8.6961000000000013</v>
      </c>
      <c r="R925" s="9">
        <v>0.39</v>
      </c>
      <c r="S925" s="9">
        <v>0</v>
      </c>
      <c r="T925" s="9">
        <v>2</v>
      </c>
      <c r="U925" s="9">
        <v>70</v>
      </c>
      <c r="V925" s="19">
        <v>72</v>
      </c>
    </row>
    <row r="926" spans="1:22" s="13" customFormat="1" ht="30" customHeight="1">
      <c r="A926" s="17" t="s">
        <v>325</v>
      </c>
      <c r="B926" s="8">
        <v>40818</v>
      </c>
      <c r="C926" s="8" t="str">
        <f t="shared" si="45"/>
        <v>Sunday</v>
      </c>
      <c r="D926" s="9">
        <v>1</v>
      </c>
      <c r="E926" s="9">
        <v>0</v>
      </c>
      <c r="F926" s="9">
        <v>2</v>
      </c>
      <c r="G926" s="7">
        <v>22</v>
      </c>
      <c r="H926" s="9" t="b">
        <v>0</v>
      </c>
      <c r="I926" s="9">
        <v>4</v>
      </c>
      <c r="J926" s="38" t="str">
        <f>CHOOSE(Table1[[#This Row],[Weekday]]+1,"Sunday","Monday","Tuesday","Wednesday","Thursday","Friday","Saturday")</f>
        <v>Thursday</v>
      </c>
      <c r="K926" s="9">
        <v>1</v>
      </c>
      <c r="L926" s="38" t="str">
        <f>IF(Table1[[#This Row],[Weather_code]]=1,"Clear",IF(Table1[[#This Row],[Weather_code]]=2,"Cloudy",IF(Table1[[#This Row],[Weather_code]]=3,"Light Rain",IF(Table1[[#This Row],[Weather_code]]=4,"Heavy Rain"))))</f>
        <v>Clear</v>
      </c>
      <c r="M926" s="9">
        <v>0.12</v>
      </c>
      <c r="N926" s="11" t="str">
        <f t="shared" si="43"/>
        <v>Winter</v>
      </c>
      <c r="O926" s="11" t="str">
        <f t="shared" si="44"/>
        <v>Weekend</v>
      </c>
      <c r="P926" s="9">
        <v>0.19700000000000001</v>
      </c>
      <c r="Q926" s="7">
        <f>Table1[[#This Row],[A_Temperature]]*41</f>
        <v>8.077</v>
      </c>
      <c r="R926" s="9">
        <v>0.39</v>
      </c>
      <c r="S926" s="9">
        <v>0</v>
      </c>
      <c r="T926" s="9">
        <v>4</v>
      </c>
      <c r="U926" s="9">
        <v>47</v>
      </c>
      <c r="V926" s="19">
        <v>51</v>
      </c>
    </row>
    <row r="927" spans="1:22" s="13" customFormat="1" ht="30" customHeight="1">
      <c r="A927" s="17" t="s">
        <v>326</v>
      </c>
      <c r="B927" s="8">
        <v>40818</v>
      </c>
      <c r="C927" s="8" t="str">
        <f t="shared" si="45"/>
        <v>Sunday</v>
      </c>
      <c r="D927" s="9">
        <v>1</v>
      </c>
      <c r="E927" s="9">
        <v>0</v>
      </c>
      <c r="F927" s="9">
        <v>2</v>
      </c>
      <c r="G927" s="7">
        <v>23</v>
      </c>
      <c r="H927" s="9" t="b">
        <v>0</v>
      </c>
      <c r="I927" s="9">
        <v>4</v>
      </c>
      <c r="J927" s="38" t="str">
        <f>CHOOSE(Table1[[#This Row],[Weekday]]+1,"Sunday","Monday","Tuesday","Wednesday","Thursday","Friday","Saturday")</f>
        <v>Thursday</v>
      </c>
      <c r="K927" s="9">
        <v>1</v>
      </c>
      <c r="L927" s="38" t="str">
        <f>IF(Table1[[#This Row],[Weather_code]]=1,"Clear",IF(Table1[[#This Row],[Weather_code]]=2,"Cloudy",IF(Table1[[#This Row],[Weather_code]]=3,"Light Rain",IF(Table1[[#This Row],[Weather_code]]=4,"Heavy Rain"))))</f>
        <v>Clear</v>
      </c>
      <c r="M927" s="9">
        <v>0.12</v>
      </c>
      <c r="N927" s="11" t="str">
        <f t="shared" si="43"/>
        <v>Winter</v>
      </c>
      <c r="O927" s="11" t="str">
        <f t="shared" si="44"/>
        <v>Weekend</v>
      </c>
      <c r="P927" s="9">
        <v>0.1515</v>
      </c>
      <c r="Q927" s="7">
        <f>Table1[[#This Row],[A_Temperature]]*41</f>
        <v>6.2115</v>
      </c>
      <c r="R927" s="9">
        <v>0.42</v>
      </c>
      <c r="S927" s="9">
        <v>0.1045</v>
      </c>
      <c r="T927" s="9">
        <v>1</v>
      </c>
      <c r="U927" s="9">
        <v>33</v>
      </c>
      <c r="V927" s="19">
        <v>34</v>
      </c>
    </row>
    <row r="928" spans="1:22" s="13" customFormat="1" ht="30" customHeight="1">
      <c r="A928" s="17" t="s">
        <v>327</v>
      </c>
      <c r="B928" s="8">
        <v>40849</v>
      </c>
      <c r="C928" s="8" t="str">
        <f t="shared" si="45"/>
        <v>Wednesday</v>
      </c>
      <c r="D928" s="9">
        <v>1</v>
      </c>
      <c r="E928" s="9">
        <v>0</v>
      </c>
      <c r="F928" s="9">
        <v>2</v>
      </c>
      <c r="G928" s="7">
        <v>0</v>
      </c>
      <c r="H928" s="9" t="b">
        <v>0</v>
      </c>
      <c r="I928" s="9">
        <v>5</v>
      </c>
      <c r="J928" s="38" t="str">
        <f>CHOOSE(Table1[[#This Row],[Weekday]]+1,"Sunday","Monday","Tuesday","Wednesday","Thursday","Friday","Saturday")</f>
        <v>Friday</v>
      </c>
      <c r="K928" s="9">
        <v>1</v>
      </c>
      <c r="L928" s="38" t="str">
        <f>IF(Table1[[#This Row],[Weather_code]]=1,"Clear",IF(Table1[[#This Row],[Weather_code]]=2,"Cloudy",IF(Table1[[#This Row],[Weather_code]]=3,"Light Rain",IF(Table1[[#This Row],[Weather_code]]=4,"Heavy Rain"))))</f>
        <v>Clear</v>
      </c>
      <c r="M928" s="9">
        <v>0.1</v>
      </c>
      <c r="N928" s="11" t="str">
        <f t="shared" si="43"/>
        <v>Winter</v>
      </c>
      <c r="O928" s="11" t="str">
        <f t="shared" si="44"/>
        <v>Weekday</v>
      </c>
      <c r="P928" s="9">
        <v>0.13639999999999999</v>
      </c>
      <c r="Q928" s="7">
        <f>Table1[[#This Row],[A_Temperature]]*41</f>
        <v>5.5923999999999996</v>
      </c>
      <c r="R928" s="9">
        <v>0.49</v>
      </c>
      <c r="S928" s="9">
        <v>0.1045</v>
      </c>
      <c r="T928" s="9">
        <v>2</v>
      </c>
      <c r="U928" s="9">
        <v>12</v>
      </c>
      <c r="V928" s="19">
        <v>14</v>
      </c>
    </row>
    <row r="929" spans="1:22" s="13" customFormat="1" ht="30" customHeight="1">
      <c r="A929" s="17" t="s">
        <v>328</v>
      </c>
      <c r="B929" s="8">
        <v>40849</v>
      </c>
      <c r="C929" s="8" t="str">
        <f t="shared" si="45"/>
        <v>Wednesday</v>
      </c>
      <c r="D929" s="9">
        <v>1</v>
      </c>
      <c r="E929" s="9">
        <v>0</v>
      </c>
      <c r="F929" s="9">
        <v>2</v>
      </c>
      <c r="G929" s="7">
        <v>1</v>
      </c>
      <c r="H929" s="9" t="b">
        <v>0</v>
      </c>
      <c r="I929" s="9">
        <v>5</v>
      </c>
      <c r="J929" s="38" t="str">
        <f>CHOOSE(Table1[[#This Row],[Weekday]]+1,"Sunday","Monday","Tuesday","Wednesday","Thursday","Friday","Saturday")</f>
        <v>Friday</v>
      </c>
      <c r="K929" s="9">
        <v>1</v>
      </c>
      <c r="L929" s="38" t="str">
        <f>IF(Table1[[#This Row],[Weather_code]]=1,"Clear",IF(Table1[[#This Row],[Weather_code]]=2,"Cloudy",IF(Table1[[#This Row],[Weather_code]]=3,"Light Rain",IF(Table1[[#This Row],[Weather_code]]=4,"Heavy Rain"))))</f>
        <v>Clear</v>
      </c>
      <c r="M929" s="9">
        <v>0.1</v>
      </c>
      <c r="N929" s="11" t="str">
        <f t="shared" si="43"/>
        <v>Winter</v>
      </c>
      <c r="O929" s="11" t="str">
        <f t="shared" si="44"/>
        <v>Weekday</v>
      </c>
      <c r="P929" s="9">
        <v>0.13639999999999999</v>
      </c>
      <c r="Q929" s="7">
        <f>Table1[[#This Row],[A_Temperature]]*41</f>
        <v>5.5923999999999996</v>
      </c>
      <c r="R929" s="9">
        <v>0.54</v>
      </c>
      <c r="S929" s="9">
        <v>8.9599999999999999E-2</v>
      </c>
      <c r="T929" s="9">
        <v>1</v>
      </c>
      <c r="U929" s="9">
        <v>6</v>
      </c>
      <c r="V929" s="19">
        <v>7</v>
      </c>
    </row>
    <row r="930" spans="1:22" s="13" customFormat="1" ht="30" customHeight="1">
      <c r="A930" s="17" t="s">
        <v>329</v>
      </c>
      <c r="B930" s="8">
        <v>40849</v>
      </c>
      <c r="C930" s="8" t="str">
        <f t="shared" si="45"/>
        <v>Wednesday</v>
      </c>
      <c r="D930" s="9">
        <v>1</v>
      </c>
      <c r="E930" s="9">
        <v>0</v>
      </c>
      <c r="F930" s="9">
        <v>2</v>
      </c>
      <c r="G930" s="7">
        <v>2</v>
      </c>
      <c r="H930" s="9" t="b">
        <v>0</v>
      </c>
      <c r="I930" s="9">
        <v>5</v>
      </c>
      <c r="J930" s="38" t="str">
        <f>CHOOSE(Table1[[#This Row],[Weekday]]+1,"Sunday","Monday","Tuesday","Wednesday","Thursday","Friday","Saturday")</f>
        <v>Friday</v>
      </c>
      <c r="K930" s="9">
        <v>1</v>
      </c>
      <c r="L930" s="38" t="str">
        <f>IF(Table1[[#This Row],[Weather_code]]=1,"Clear",IF(Table1[[#This Row],[Weather_code]]=2,"Cloudy",IF(Table1[[#This Row],[Weather_code]]=3,"Light Rain",IF(Table1[[#This Row],[Weather_code]]=4,"Heavy Rain"))))</f>
        <v>Clear</v>
      </c>
      <c r="M930" s="9">
        <v>0.1</v>
      </c>
      <c r="N930" s="11" t="str">
        <f t="shared" si="43"/>
        <v>Winter</v>
      </c>
      <c r="O930" s="11" t="str">
        <f t="shared" si="44"/>
        <v>Weekday</v>
      </c>
      <c r="P930" s="9">
        <v>0.13639999999999999</v>
      </c>
      <c r="Q930" s="7">
        <f>Table1[[#This Row],[A_Temperature]]*41</f>
        <v>5.5923999999999996</v>
      </c>
      <c r="R930" s="9">
        <v>0.54</v>
      </c>
      <c r="S930" s="9">
        <v>8.9599999999999999E-2</v>
      </c>
      <c r="T930" s="9">
        <v>0</v>
      </c>
      <c r="U930" s="9">
        <v>3</v>
      </c>
      <c r="V930" s="19">
        <v>3</v>
      </c>
    </row>
    <row r="931" spans="1:22" s="13" customFormat="1" ht="30" customHeight="1">
      <c r="A931" s="17" t="s">
        <v>330</v>
      </c>
      <c r="B931" s="8">
        <v>40849</v>
      </c>
      <c r="C931" s="8" t="str">
        <f t="shared" si="45"/>
        <v>Wednesday</v>
      </c>
      <c r="D931" s="9">
        <v>1</v>
      </c>
      <c r="E931" s="9">
        <v>0</v>
      </c>
      <c r="F931" s="9">
        <v>2</v>
      </c>
      <c r="G931" s="7">
        <v>5</v>
      </c>
      <c r="H931" s="9" t="b">
        <v>0</v>
      </c>
      <c r="I931" s="9">
        <v>5</v>
      </c>
      <c r="J931" s="38" t="str">
        <f>CHOOSE(Table1[[#This Row],[Weekday]]+1,"Sunday","Monday","Tuesday","Wednesday","Thursday","Friday","Saturday")</f>
        <v>Friday</v>
      </c>
      <c r="K931" s="9">
        <v>1</v>
      </c>
      <c r="L931" s="38" t="str">
        <f>IF(Table1[[#This Row],[Weather_code]]=1,"Clear",IF(Table1[[#This Row],[Weather_code]]=2,"Cloudy",IF(Table1[[#This Row],[Weather_code]]=3,"Light Rain",IF(Table1[[#This Row],[Weather_code]]=4,"Heavy Rain"))))</f>
        <v>Clear</v>
      </c>
      <c r="M931" s="9">
        <v>0.08</v>
      </c>
      <c r="N931" s="11" t="str">
        <f t="shared" si="43"/>
        <v>Winter</v>
      </c>
      <c r="O931" s="11" t="str">
        <f t="shared" si="44"/>
        <v>Weekday</v>
      </c>
      <c r="P931" s="9">
        <v>0.1212</v>
      </c>
      <c r="Q931" s="7">
        <f>Table1[[#This Row],[A_Temperature]]*41</f>
        <v>4.9691999999999998</v>
      </c>
      <c r="R931" s="9">
        <v>0.63</v>
      </c>
      <c r="S931" s="9">
        <v>8.9599999999999999E-2</v>
      </c>
      <c r="T931" s="9">
        <v>0</v>
      </c>
      <c r="U931" s="9">
        <v>4</v>
      </c>
      <c r="V931" s="19">
        <v>4</v>
      </c>
    </row>
    <row r="932" spans="1:22" s="13" customFormat="1" ht="30" customHeight="1">
      <c r="A932" s="17" t="s">
        <v>331</v>
      </c>
      <c r="B932" s="8">
        <v>40849</v>
      </c>
      <c r="C932" s="8" t="str">
        <f t="shared" si="45"/>
        <v>Wednesday</v>
      </c>
      <c r="D932" s="9">
        <v>1</v>
      </c>
      <c r="E932" s="9">
        <v>0</v>
      </c>
      <c r="F932" s="9">
        <v>2</v>
      </c>
      <c r="G932" s="7">
        <v>6</v>
      </c>
      <c r="H932" s="9" t="b">
        <v>0</v>
      </c>
      <c r="I932" s="9">
        <v>5</v>
      </c>
      <c r="J932" s="38" t="str">
        <f>CHOOSE(Table1[[#This Row],[Weekday]]+1,"Sunday","Monday","Tuesday","Wednesday","Thursday","Friday","Saturday")</f>
        <v>Friday</v>
      </c>
      <c r="K932" s="9">
        <v>1</v>
      </c>
      <c r="L932" s="38" t="str">
        <f>IF(Table1[[#This Row],[Weather_code]]=1,"Clear",IF(Table1[[#This Row],[Weather_code]]=2,"Cloudy",IF(Table1[[#This Row],[Weather_code]]=3,"Light Rain",IF(Table1[[#This Row],[Weather_code]]=4,"Heavy Rain"))))</f>
        <v>Clear</v>
      </c>
      <c r="M932" s="9">
        <v>0.1</v>
      </c>
      <c r="N932" s="11" t="str">
        <f t="shared" si="43"/>
        <v>Winter</v>
      </c>
      <c r="O932" s="11" t="str">
        <f t="shared" si="44"/>
        <v>Weekday</v>
      </c>
      <c r="P932" s="9">
        <v>0.18179999999999999</v>
      </c>
      <c r="Q932" s="7">
        <f>Table1[[#This Row],[A_Temperature]]*41</f>
        <v>7.4537999999999993</v>
      </c>
      <c r="R932" s="9">
        <v>0.68</v>
      </c>
      <c r="S932" s="9">
        <v>0</v>
      </c>
      <c r="T932" s="9">
        <v>1</v>
      </c>
      <c r="U932" s="9">
        <v>23</v>
      </c>
      <c r="V932" s="19">
        <v>24</v>
      </c>
    </row>
    <row r="933" spans="1:22" s="13" customFormat="1" ht="30" customHeight="1">
      <c r="A933" s="17" t="s">
        <v>332</v>
      </c>
      <c r="B933" s="8">
        <v>40849</v>
      </c>
      <c r="C933" s="8" t="str">
        <f t="shared" si="45"/>
        <v>Wednesday</v>
      </c>
      <c r="D933" s="9">
        <v>1</v>
      </c>
      <c r="E933" s="9">
        <v>0</v>
      </c>
      <c r="F933" s="9">
        <v>2</v>
      </c>
      <c r="G933" s="7">
        <v>7</v>
      </c>
      <c r="H933" s="9" t="b">
        <v>0</v>
      </c>
      <c r="I933" s="9">
        <v>5</v>
      </c>
      <c r="J933" s="38" t="str">
        <f>CHOOSE(Table1[[#This Row],[Weekday]]+1,"Sunday","Monday","Tuesday","Wednesday","Thursday","Friday","Saturday")</f>
        <v>Friday</v>
      </c>
      <c r="K933" s="9">
        <v>1</v>
      </c>
      <c r="L933" s="38" t="str">
        <f>IF(Table1[[#This Row],[Weather_code]]=1,"Clear",IF(Table1[[#This Row],[Weather_code]]=2,"Cloudy",IF(Table1[[#This Row],[Weather_code]]=3,"Light Rain",IF(Table1[[#This Row],[Weather_code]]=4,"Heavy Rain"))))</f>
        <v>Clear</v>
      </c>
      <c r="M933" s="9">
        <v>0.08</v>
      </c>
      <c r="N933" s="11" t="str">
        <f t="shared" si="43"/>
        <v>Winter</v>
      </c>
      <c r="O933" s="11" t="str">
        <f t="shared" si="44"/>
        <v>Weekday</v>
      </c>
      <c r="P933" s="9">
        <v>0.16669999999999999</v>
      </c>
      <c r="Q933" s="7">
        <f>Table1[[#This Row],[A_Temperature]]*41</f>
        <v>6.8346999999999998</v>
      </c>
      <c r="R933" s="9">
        <v>0.73</v>
      </c>
      <c r="S933" s="9">
        <v>0</v>
      </c>
      <c r="T933" s="9">
        <v>1</v>
      </c>
      <c r="U933" s="9">
        <v>73</v>
      </c>
      <c r="V933" s="19">
        <v>74</v>
      </c>
    </row>
    <row r="934" spans="1:22" s="13" customFormat="1" ht="30" customHeight="1">
      <c r="A934" s="17" t="s">
        <v>333</v>
      </c>
      <c r="B934" s="8">
        <v>40849</v>
      </c>
      <c r="C934" s="8" t="str">
        <f t="shared" si="45"/>
        <v>Wednesday</v>
      </c>
      <c r="D934" s="9">
        <v>1</v>
      </c>
      <c r="E934" s="9">
        <v>0</v>
      </c>
      <c r="F934" s="9">
        <v>2</v>
      </c>
      <c r="G934" s="7">
        <v>8</v>
      </c>
      <c r="H934" s="9" t="b">
        <v>0</v>
      </c>
      <c r="I934" s="9">
        <v>5</v>
      </c>
      <c r="J934" s="38" t="str">
        <f>CHOOSE(Table1[[#This Row],[Weekday]]+1,"Sunday","Monday","Tuesday","Wednesday","Thursday","Friday","Saturday")</f>
        <v>Friday</v>
      </c>
      <c r="K934" s="9">
        <v>1</v>
      </c>
      <c r="L934" s="38" t="str">
        <f>IF(Table1[[#This Row],[Weather_code]]=1,"Clear",IF(Table1[[#This Row],[Weather_code]]=2,"Cloudy",IF(Table1[[#This Row],[Weather_code]]=3,"Light Rain",IF(Table1[[#This Row],[Weather_code]]=4,"Heavy Rain"))))</f>
        <v>Clear</v>
      </c>
      <c r="M934" s="9">
        <v>0.1</v>
      </c>
      <c r="N934" s="11" t="str">
        <f t="shared" si="43"/>
        <v>Winter</v>
      </c>
      <c r="O934" s="11" t="str">
        <f t="shared" si="44"/>
        <v>Weekday</v>
      </c>
      <c r="P934" s="9">
        <v>0.1212</v>
      </c>
      <c r="Q934" s="7">
        <f>Table1[[#This Row],[A_Temperature]]*41</f>
        <v>4.9691999999999998</v>
      </c>
      <c r="R934" s="9">
        <v>0.74</v>
      </c>
      <c r="S934" s="9">
        <v>0.16420000000000001</v>
      </c>
      <c r="T934" s="9">
        <v>4</v>
      </c>
      <c r="U934" s="9">
        <v>212</v>
      </c>
      <c r="V934" s="19">
        <v>216</v>
      </c>
    </row>
    <row r="935" spans="1:22" s="13" customFormat="1" ht="30" customHeight="1">
      <c r="A935" s="17" t="s">
        <v>334</v>
      </c>
      <c r="B935" s="8">
        <v>40849</v>
      </c>
      <c r="C935" s="8" t="str">
        <f t="shared" si="45"/>
        <v>Wednesday</v>
      </c>
      <c r="D935" s="9">
        <v>1</v>
      </c>
      <c r="E935" s="9">
        <v>0</v>
      </c>
      <c r="F935" s="9">
        <v>2</v>
      </c>
      <c r="G935" s="7">
        <v>9</v>
      </c>
      <c r="H935" s="9" t="b">
        <v>0</v>
      </c>
      <c r="I935" s="9">
        <v>5</v>
      </c>
      <c r="J935" s="38" t="str">
        <f>CHOOSE(Table1[[#This Row],[Weekday]]+1,"Sunday","Monday","Tuesday","Wednesday","Thursday","Friday","Saturday")</f>
        <v>Friday</v>
      </c>
      <c r="K935" s="9">
        <v>1</v>
      </c>
      <c r="L935" s="38" t="str">
        <f>IF(Table1[[#This Row],[Weather_code]]=1,"Clear",IF(Table1[[#This Row],[Weather_code]]=2,"Cloudy",IF(Table1[[#This Row],[Weather_code]]=3,"Light Rain",IF(Table1[[#This Row],[Weather_code]]=4,"Heavy Rain"))))</f>
        <v>Clear</v>
      </c>
      <c r="M935" s="9">
        <v>0.12</v>
      </c>
      <c r="N935" s="11" t="str">
        <f t="shared" ref="N935:N998" si="46">CHOOSE(D935,"Winter","Spring","Summer","Fall")</f>
        <v>Winter</v>
      </c>
      <c r="O935" s="11" t="str">
        <f t="shared" si="44"/>
        <v>Weekday</v>
      </c>
      <c r="P935" s="9">
        <v>0.1212</v>
      </c>
      <c r="Q935" s="7">
        <f>Table1[[#This Row],[A_Temperature]]*41</f>
        <v>4.9691999999999998</v>
      </c>
      <c r="R935" s="9">
        <v>0.74</v>
      </c>
      <c r="S935" s="9">
        <v>0.22389999999999999</v>
      </c>
      <c r="T935" s="9">
        <v>8</v>
      </c>
      <c r="U935" s="9">
        <v>132</v>
      </c>
      <c r="V935" s="19">
        <v>140</v>
      </c>
    </row>
    <row r="936" spans="1:22" s="13" customFormat="1" ht="30" customHeight="1">
      <c r="A936" s="17" t="s">
        <v>335</v>
      </c>
      <c r="B936" s="8">
        <v>40849</v>
      </c>
      <c r="C936" s="8" t="str">
        <f t="shared" si="45"/>
        <v>Wednesday</v>
      </c>
      <c r="D936" s="9">
        <v>1</v>
      </c>
      <c r="E936" s="9">
        <v>0</v>
      </c>
      <c r="F936" s="9">
        <v>2</v>
      </c>
      <c r="G936" s="7">
        <v>10</v>
      </c>
      <c r="H936" s="9" t="b">
        <v>0</v>
      </c>
      <c r="I936" s="9">
        <v>5</v>
      </c>
      <c r="J936" s="38" t="str">
        <f>CHOOSE(Table1[[#This Row],[Weekday]]+1,"Sunday","Monday","Tuesday","Wednesday","Thursday","Friday","Saturday")</f>
        <v>Friday</v>
      </c>
      <c r="K936" s="9">
        <v>1</v>
      </c>
      <c r="L936" s="38" t="str">
        <f>IF(Table1[[#This Row],[Weather_code]]=1,"Clear",IF(Table1[[#This Row],[Weather_code]]=2,"Cloudy",IF(Table1[[#This Row],[Weather_code]]=3,"Light Rain",IF(Table1[[#This Row],[Weather_code]]=4,"Heavy Rain"))))</f>
        <v>Clear</v>
      </c>
      <c r="M936" s="9">
        <v>0.14000000000000001</v>
      </c>
      <c r="N936" s="11" t="str">
        <f t="shared" si="46"/>
        <v>Winter</v>
      </c>
      <c r="O936" s="11" t="str">
        <f t="shared" si="44"/>
        <v>Weekday</v>
      </c>
      <c r="P936" s="9">
        <v>0.13639999999999999</v>
      </c>
      <c r="Q936" s="7">
        <f>Table1[[#This Row],[A_Temperature]]*41</f>
        <v>5.5923999999999996</v>
      </c>
      <c r="R936" s="9">
        <v>0.69</v>
      </c>
      <c r="S936" s="9">
        <v>0.19400000000000001</v>
      </c>
      <c r="T936" s="9">
        <v>5</v>
      </c>
      <c r="U936" s="9">
        <v>39</v>
      </c>
      <c r="V936" s="19">
        <v>44</v>
      </c>
    </row>
    <row r="937" spans="1:22" s="13" customFormat="1" ht="30" customHeight="1">
      <c r="A937" s="17" t="s">
        <v>336</v>
      </c>
      <c r="B937" s="8">
        <v>40849</v>
      </c>
      <c r="C937" s="8" t="str">
        <f t="shared" si="45"/>
        <v>Wednesday</v>
      </c>
      <c r="D937" s="9">
        <v>1</v>
      </c>
      <c r="E937" s="9">
        <v>0</v>
      </c>
      <c r="F937" s="9">
        <v>2</v>
      </c>
      <c r="G937" s="7">
        <v>11</v>
      </c>
      <c r="H937" s="9" t="b">
        <v>0</v>
      </c>
      <c r="I937" s="9">
        <v>5</v>
      </c>
      <c r="J937" s="38" t="str">
        <f>CHOOSE(Table1[[#This Row],[Weekday]]+1,"Sunday","Monday","Tuesday","Wednesday","Thursday","Friday","Saturday")</f>
        <v>Friday</v>
      </c>
      <c r="K937" s="9">
        <v>1</v>
      </c>
      <c r="L937" s="38" t="str">
        <f>IF(Table1[[#This Row],[Weather_code]]=1,"Clear",IF(Table1[[#This Row],[Weather_code]]=2,"Cloudy",IF(Table1[[#This Row],[Weather_code]]=3,"Light Rain",IF(Table1[[#This Row],[Weather_code]]=4,"Heavy Rain"))))</f>
        <v>Clear</v>
      </c>
      <c r="M937" s="9">
        <v>0.22</v>
      </c>
      <c r="N937" s="11" t="str">
        <f t="shared" si="46"/>
        <v>Winter</v>
      </c>
      <c r="O937" s="11" t="str">
        <f t="shared" si="44"/>
        <v>Weekday</v>
      </c>
      <c r="P937" s="9">
        <v>0.2273</v>
      </c>
      <c r="Q937" s="7">
        <f>Table1[[#This Row],[A_Temperature]]*41</f>
        <v>9.3193000000000001</v>
      </c>
      <c r="R937" s="9">
        <v>0.47</v>
      </c>
      <c r="S937" s="9">
        <v>0.1343</v>
      </c>
      <c r="T937" s="9">
        <v>12</v>
      </c>
      <c r="U937" s="9">
        <v>52</v>
      </c>
      <c r="V937" s="19">
        <v>64</v>
      </c>
    </row>
    <row r="938" spans="1:22" s="13" customFormat="1" ht="30" customHeight="1">
      <c r="A938" s="17" t="s">
        <v>337</v>
      </c>
      <c r="B938" s="8">
        <v>40849</v>
      </c>
      <c r="C938" s="8" t="str">
        <f t="shared" si="45"/>
        <v>Wednesday</v>
      </c>
      <c r="D938" s="9">
        <v>1</v>
      </c>
      <c r="E938" s="9">
        <v>0</v>
      </c>
      <c r="F938" s="9">
        <v>2</v>
      </c>
      <c r="G938" s="7">
        <v>12</v>
      </c>
      <c r="H938" s="9" t="b">
        <v>0</v>
      </c>
      <c r="I938" s="9">
        <v>5</v>
      </c>
      <c r="J938" s="38" t="str">
        <f>CHOOSE(Table1[[#This Row],[Weekday]]+1,"Sunday","Monday","Tuesday","Wednesday","Thursday","Friday","Saturday")</f>
        <v>Friday</v>
      </c>
      <c r="K938" s="9">
        <v>1</v>
      </c>
      <c r="L938" s="38" t="str">
        <f>IF(Table1[[#This Row],[Weather_code]]=1,"Clear",IF(Table1[[#This Row],[Weather_code]]=2,"Cloudy",IF(Table1[[#This Row],[Weather_code]]=3,"Light Rain",IF(Table1[[#This Row],[Weather_code]]=4,"Heavy Rain"))))</f>
        <v>Clear</v>
      </c>
      <c r="M938" s="9">
        <v>0.22</v>
      </c>
      <c r="N938" s="11" t="str">
        <f t="shared" si="46"/>
        <v>Winter</v>
      </c>
      <c r="O938" s="11" t="str">
        <f t="shared" si="44"/>
        <v>Weekday</v>
      </c>
      <c r="P938" s="9">
        <v>0.2273</v>
      </c>
      <c r="Q938" s="7">
        <f>Table1[[#This Row],[A_Temperature]]*41</f>
        <v>9.3193000000000001</v>
      </c>
      <c r="R938" s="9">
        <v>0.47</v>
      </c>
      <c r="S938" s="9">
        <v>0.1343</v>
      </c>
      <c r="T938" s="9">
        <v>7</v>
      </c>
      <c r="U938" s="9">
        <v>64</v>
      </c>
      <c r="V938" s="19">
        <v>71</v>
      </c>
    </row>
    <row r="939" spans="1:22" s="13" customFormat="1" ht="30" customHeight="1">
      <c r="A939" s="17" t="s">
        <v>338</v>
      </c>
      <c r="B939" s="8">
        <v>40849</v>
      </c>
      <c r="C939" s="8" t="str">
        <f t="shared" si="45"/>
        <v>Wednesday</v>
      </c>
      <c r="D939" s="9">
        <v>1</v>
      </c>
      <c r="E939" s="9">
        <v>0</v>
      </c>
      <c r="F939" s="9">
        <v>2</v>
      </c>
      <c r="G939" s="7">
        <v>13</v>
      </c>
      <c r="H939" s="9" t="b">
        <v>0</v>
      </c>
      <c r="I939" s="9">
        <v>5</v>
      </c>
      <c r="J939" s="38" t="str">
        <f>CHOOSE(Table1[[#This Row],[Weekday]]+1,"Sunday","Monday","Tuesday","Wednesday","Thursday","Friday","Saturday")</f>
        <v>Friday</v>
      </c>
      <c r="K939" s="9">
        <v>1</v>
      </c>
      <c r="L939" s="38" t="str">
        <f>IF(Table1[[#This Row],[Weather_code]]=1,"Clear",IF(Table1[[#This Row],[Weather_code]]=2,"Cloudy",IF(Table1[[#This Row],[Weather_code]]=3,"Light Rain",IF(Table1[[#This Row],[Weather_code]]=4,"Heavy Rain"))))</f>
        <v>Clear</v>
      </c>
      <c r="M939" s="9">
        <v>0.24</v>
      </c>
      <c r="N939" s="11" t="str">
        <f t="shared" si="46"/>
        <v>Winter</v>
      </c>
      <c r="O939" s="11" t="str">
        <f t="shared" si="44"/>
        <v>Weekday</v>
      </c>
      <c r="P939" s="9">
        <v>0.2273</v>
      </c>
      <c r="Q939" s="7">
        <f>Table1[[#This Row],[A_Temperature]]*41</f>
        <v>9.3193000000000001</v>
      </c>
      <c r="R939" s="9">
        <v>0.35</v>
      </c>
      <c r="S939" s="9">
        <v>0.19400000000000001</v>
      </c>
      <c r="T939" s="9">
        <v>21</v>
      </c>
      <c r="U939" s="9">
        <v>89</v>
      </c>
      <c r="V939" s="19">
        <v>110</v>
      </c>
    </row>
    <row r="940" spans="1:22" s="13" customFormat="1" ht="30" customHeight="1">
      <c r="A940" s="17" t="s">
        <v>339</v>
      </c>
      <c r="B940" s="8">
        <v>40849</v>
      </c>
      <c r="C940" s="8" t="str">
        <f t="shared" si="45"/>
        <v>Wednesday</v>
      </c>
      <c r="D940" s="9">
        <v>1</v>
      </c>
      <c r="E940" s="9">
        <v>0</v>
      </c>
      <c r="F940" s="9">
        <v>2</v>
      </c>
      <c r="G940" s="7">
        <v>14</v>
      </c>
      <c r="H940" s="9" t="b">
        <v>0</v>
      </c>
      <c r="I940" s="9">
        <v>5</v>
      </c>
      <c r="J940" s="38" t="str">
        <f>CHOOSE(Table1[[#This Row],[Weekday]]+1,"Sunday","Monday","Tuesday","Wednesday","Thursday","Friday","Saturday")</f>
        <v>Friday</v>
      </c>
      <c r="K940" s="9">
        <v>1</v>
      </c>
      <c r="L940" s="38" t="str">
        <f>IF(Table1[[#This Row],[Weather_code]]=1,"Clear",IF(Table1[[#This Row],[Weather_code]]=2,"Cloudy",IF(Table1[[#This Row],[Weather_code]]=3,"Light Rain",IF(Table1[[#This Row],[Weather_code]]=4,"Heavy Rain"))))</f>
        <v>Clear</v>
      </c>
      <c r="M940" s="9">
        <v>0.3</v>
      </c>
      <c r="N940" s="11" t="str">
        <f t="shared" si="46"/>
        <v>Winter</v>
      </c>
      <c r="O940" s="11" t="str">
        <f t="shared" si="44"/>
        <v>Weekday</v>
      </c>
      <c r="P940" s="9">
        <v>0.28789999999999999</v>
      </c>
      <c r="Q940" s="7">
        <f>Table1[[#This Row],[A_Temperature]]*41</f>
        <v>11.803899999999999</v>
      </c>
      <c r="R940" s="9">
        <v>0.26</v>
      </c>
      <c r="S940" s="9">
        <v>0.25369999999999998</v>
      </c>
      <c r="T940" s="9">
        <v>17</v>
      </c>
      <c r="U940" s="9">
        <v>67</v>
      </c>
      <c r="V940" s="19">
        <v>84</v>
      </c>
    </row>
    <row r="941" spans="1:22" s="13" customFormat="1" ht="30" customHeight="1">
      <c r="A941" s="17" t="s">
        <v>340</v>
      </c>
      <c r="B941" s="8">
        <v>40849</v>
      </c>
      <c r="C941" s="8" t="str">
        <f t="shared" si="45"/>
        <v>Wednesday</v>
      </c>
      <c r="D941" s="9">
        <v>1</v>
      </c>
      <c r="E941" s="9">
        <v>0</v>
      </c>
      <c r="F941" s="9">
        <v>2</v>
      </c>
      <c r="G941" s="7">
        <v>15</v>
      </c>
      <c r="H941" s="9" t="b">
        <v>0</v>
      </c>
      <c r="I941" s="9">
        <v>5</v>
      </c>
      <c r="J941" s="38" t="str">
        <f>CHOOSE(Table1[[#This Row],[Weekday]]+1,"Sunday","Monday","Tuesday","Wednesday","Thursday","Friday","Saturday")</f>
        <v>Friday</v>
      </c>
      <c r="K941" s="9">
        <v>1</v>
      </c>
      <c r="L941" s="38" t="str">
        <f>IF(Table1[[#This Row],[Weather_code]]=1,"Clear",IF(Table1[[#This Row],[Weather_code]]=2,"Cloudy",IF(Table1[[#This Row],[Weather_code]]=3,"Light Rain",IF(Table1[[#This Row],[Weather_code]]=4,"Heavy Rain"))))</f>
        <v>Clear</v>
      </c>
      <c r="M941" s="9">
        <v>0.32</v>
      </c>
      <c r="N941" s="11" t="str">
        <f t="shared" si="46"/>
        <v>Winter</v>
      </c>
      <c r="O941" s="11" t="str">
        <f t="shared" si="44"/>
        <v>Weekday</v>
      </c>
      <c r="P941" s="9">
        <v>0.31819999999999998</v>
      </c>
      <c r="Q941" s="7">
        <f>Table1[[#This Row],[A_Temperature]]*41</f>
        <v>13.046199999999999</v>
      </c>
      <c r="R941" s="9">
        <v>0.21</v>
      </c>
      <c r="S941" s="9">
        <v>0.16420000000000001</v>
      </c>
      <c r="T941" s="9">
        <v>12</v>
      </c>
      <c r="U941" s="9">
        <v>62</v>
      </c>
      <c r="V941" s="19">
        <v>74</v>
      </c>
    </row>
    <row r="942" spans="1:22" s="13" customFormat="1" ht="30" customHeight="1">
      <c r="A942" s="17" t="s">
        <v>341</v>
      </c>
      <c r="B942" s="8">
        <v>40849</v>
      </c>
      <c r="C942" s="8" t="str">
        <f t="shared" si="45"/>
        <v>Wednesday</v>
      </c>
      <c r="D942" s="9">
        <v>1</v>
      </c>
      <c r="E942" s="9">
        <v>0</v>
      </c>
      <c r="F942" s="9">
        <v>2</v>
      </c>
      <c r="G942" s="7">
        <v>16</v>
      </c>
      <c r="H942" s="9" t="b">
        <v>0</v>
      </c>
      <c r="I942" s="9">
        <v>5</v>
      </c>
      <c r="J942" s="38" t="str">
        <f>CHOOSE(Table1[[#This Row],[Weekday]]+1,"Sunday","Monday","Tuesday","Wednesday","Thursday","Friday","Saturday")</f>
        <v>Friday</v>
      </c>
      <c r="K942" s="9">
        <v>1</v>
      </c>
      <c r="L942" s="38" t="str">
        <f>IF(Table1[[#This Row],[Weather_code]]=1,"Clear",IF(Table1[[#This Row],[Weather_code]]=2,"Cloudy",IF(Table1[[#This Row],[Weather_code]]=3,"Light Rain",IF(Table1[[#This Row],[Weather_code]]=4,"Heavy Rain"))))</f>
        <v>Clear</v>
      </c>
      <c r="M942" s="9">
        <v>0.3</v>
      </c>
      <c r="N942" s="11" t="str">
        <f t="shared" si="46"/>
        <v>Winter</v>
      </c>
      <c r="O942" s="11" t="str">
        <f t="shared" si="44"/>
        <v>Weekday</v>
      </c>
      <c r="P942" s="9">
        <v>0.28789999999999999</v>
      </c>
      <c r="Q942" s="7">
        <f>Table1[[#This Row],[A_Temperature]]*41</f>
        <v>11.803899999999999</v>
      </c>
      <c r="R942" s="9">
        <v>0.28000000000000003</v>
      </c>
      <c r="S942" s="9">
        <v>0.19400000000000001</v>
      </c>
      <c r="T942" s="9">
        <v>14</v>
      </c>
      <c r="U942" s="9">
        <v>111</v>
      </c>
      <c r="V942" s="19">
        <v>125</v>
      </c>
    </row>
    <row r="943" spans="1:22" s="13" customFormat="1" ht="30" customHeight="1">
      <c r="A943" s="17" t="s">
        <v>342</v>
      </c>
      <c r="B943" s="8">
        <v>40849</v>
      </c>
      <c r="C943" s="8" t="str">
        <f t="shared" si="45"/>
        <v>Wednesday</v>
      </c>
      <c r="D943" s="9">
        <v>1</v>
      </c>
      <c r="E943" s="9">
        <v>0</v>
      </c>
      <c r="F943" s="9">
        <v>2</v>
      </c>
      <c r="G943" s="7">
        <v>17</v>
      </c>
      <c r="H943" s="9" t="b">
        <v>0</v>
      </c>
      <c r="I943" s="9">
        <v>5</v>
      </c>
      <c r="J943" s="38" t="str">
        <f>CHOOSE(Table1[[#This Row],[Weekday]]+1,"Sunday","Monday","Tuesday","Wednesday","Thursday","Friday","Saturday")</f>
        <v>Friday</v>
      </c>
      <c r="K943" s="9">
        <v>1</v>
      </c>
      <c r="L943" s="38" t="str">
        <f>IF(Table1[[#This Row],[Weather_code]]=1,"Clear",IF(Table1[[#This Row],[Weather_code]]=2,"Cloudy",IF(Table1[[#This Row],[Weather_code]]=3,"Light Rain",IF(Table1[[#This Row],[Weather_code]]=4,"Heavy Rain"))))</f>
        <v>Clear</v>
      </c>
      <c r="M943" s="9">
        <v>0.3</v>
      </c>
      <c r="N943" s="11" t="str">
        <f t="shared" si="46"/>
        <v>Winter</v>
      </c>
      <c r="O943" s="11" t="str">
        <f t="shared" si="44"/>
        <v>Weekday</v>
      </c>
      <c r="P943" s="9">
        <v>0.33329999999999999</v>
      </c>
      <c r="Q943" s="7">
        <f>Table1[[#This Row],[A_Temperature]]*41</f>
        <v>13.6653</v>
      </c>
      <c r="R943" s="9">
        <v>0.24</v>
      </c>
      <c r="S943" s="9">
        <v>0</v>
      </c>
      <c r="T943" s="9">
        <v>18</v>
      </c>
      <c r="U943" s="9">
        <v>193</v>
      </c>
      <c r="V943" s="19">
        <v>211</v>
      </c>
    </row>
    <row r="944" spans="1:22" s="13" customFormat="1" ht="30" customHeight="1">
      <c r="A944" s="17" t="s">
        <v>343</v>
      </c>
      <c r="B944" s="8">
        <v>40849</v>
      </c>
      <c r="C944" s="8" t="str">
        <f t="shared" si="45"/>
        <v>Wednesday</v>
      </c>
      <c r="D944" s="9">
        <v>1</v>
      </c>
      <c r="E944" s="9">
        <v>0</v>
      </c>
      <c r="F944" s="9">
        <v>2</v>
      </c>
      <c r="G944" s="7">
        <v>18</v>
      </c>
      <c r="H944" s="9" t="b">
        <v>0</v>
      </c>
      <c r="I944" s="9">
        <v>5</v>
      </c>
      <c r="J944" s="38" t="str">
        <f>CHOOSE(Table1[[#This Row],[Weekday]]+1,"Sunday","Monday","Tuesday","Wednesday","Thursday","Friday","Saturday")</f>
        <v>Friday</v>
      </c>
      <c r="K944" s="9">
        <v>1</v>
      </c>
      <c r="L944" s="38" t="str">
        <f>IF(Table1[[#This Row],[Weather_code]]=1,"Clear",IF(Table1[[#This Row],[Weather_code]]=2,"Cloudy",IF(Table1[[#This Row],[Weather_code]]=3,"Light Rain",IF(Table1[[#This Row],[Weather_code]]=4,"Heavy Rain"))))</f>
        <v>Clear</v>
      </c>
      <c r="M944" s="9">
        <v>0.28000000000000003</v>
      </c>
      <c r="N944" s="11" t="str">
        <f t="shared" si="46"/>
        <v>Winter</v>
      </c>
      <c r="O944" s="11" t="str">
        <f t="shared" si="44"/>
        <v>Weekday</v>
      </c>
      <c r="P944" s="9">
        <v>0.31819999999999998</v>
      </c>
      <c r="Q944" s="7">
        <f>Table1[[#This Row],[A_Temperature]]*41</f>
        <v>13.046199999999999</v>
      </c>
      <c r="R944" s="9">
        <v>0.28000000000000003</v>
      </c>
      <c r="S944" s="9">
        <v>0</v>
      </c>
      <c r="T944" s="9">
        <v>9</v>
      </c>
      <c r="U944" s="9">
        <v>165</v>
      </c>
      <c r="V944" s="19">
        <v>174</v>
      </c>
    </row>
    <row r="945" spans="1:22" s="13" customFormat="1" ht="30" customHeight="1">
      <c r="A945" s="17" t="s">
        <v>344</v>
      </c>
      <c r="B945" s="8">
        <v>40849</v>
      </c>
      <c r="C945" s="8" t="str">
        <f t="shared" si="45"/>
        <v>Wednesday</v>
      </c>
      <c r="D945" s="9">
        <v>1</v>
      </c>
      <c r="E945" s="9">
        <v>0</v>
      </c>
      <c r="F945" s="9">
        <v>2</v>
      </c>
      <c r="G945" s="7">
        <v>19</v>
      </c>
      <c r="H945" s="9" t="b">
        <v>0</v>
      </c>
      <c r="I945" s="9">
        <v>5</v>
      </c>
      <c r="J945" s="38" t="str">
        <f>CHOOSE(Table1[[#This Row],[Weekday]]+1,"Sunday","Monday","Tuesday","Wednesday","Thursday","Friday","Saturday")</f>
        <v>Friday</v>
      </c>
      <c r="K945" s="9">
        <v>1</v>
      </c>
      <c r="L945" s="38" t="str">
        <f>IF(Table1[[#This Row],[Weather_code]]=1,"Clear",IF(Table1[[#This Row],[Weather_code]]=2,"Cloudy",IF(Table1[[#This Row],[Weather_code]]=3,"Light Rain",IF(Table1[[#This Row],[Weather_code]]=4,"Heavy Rain"))))</f>
        <v>Clear</v>
      </c>
      <c r="M945" s="9">
        <v>0.26</v>
      </c>
      <c r="N945" s="11" t="str">
        <f t="shared" si="46"/>
        <v>Winter</v>
      </c>
      <c r="O945" s="11" t="str">
        <f t="shared" si="44"/>
        <v>Weekday</v>
      </c>
      <c r="P945" s="9">
        <v>0.30299999999999999</v>
      </c>
      <c r="Q945" s="7">
        <f>Table1[[#This Row],[A_Temperature]]*41</f>
        <v>12.423</v>
      </c>
      <c r="R945" s="9">
        <v>0.33</v>
      </c>
      <c r="S945" s="9">
        <v>0</v>
      </c>
      <c r="T945" s="9">
        <v>7</v>
      </c>
      <c r="U945" s="9">
        <v>94</v>
      </c>
      <c r="V945" s="19">
        <v>101</v>
      </c>
    </row>
    <row r="946" spans="1:22" s="13" customFormat="1" ht="30" customHeight="1">
      <c r="A946" s="17" t="s">
        <v>345</v>
      </c>
      <c r="B946" s="8">
        <v>40849</v>
      </c>
      <c r="C946" s="8" t="str">
        <f t="shared" si="45"/>
        <v>Wednesday</v>
      </c>
      <c r="D946" s="9">
        <v>1</v>
      </c>
      <c r="E946" s="9">
        <v>0</v>
      </c>
      <c r="F946" s="9">
        <v>2</v>
      </c>
      <c r="G946" s="7">
        <v>20</v>
      </c>
      <c r="H946" s="9" t="b">
        <v>0</v>
      </c>
      <c r="I946" s="9">
        <v>5</v>
      </c>
      <c r="J946" s="38" t="str">
        <f>CHOOSE(Table1[[#This Row],[Weekday]]+1,"Sunday","Monday","Tuesday","Wednesday","Thursday","Friday","Saturday")</f>
        <v>Friday</v>
      </c>
      <c r="K946" s="9">
        <v>1</v>
      </c>
      <c r="L946" s="38" t="str">
        <f>IF(Table1[[#This Row],[Weather_code]]=1,"Clear",IF(Table1[[#This Row],[Weather_code]]=2,"Cloudy",IF(Table1[[#This Row],[Weather_code]]=3,"Light Rain",IF(Table1[[#This Row],[Weather_code]]=4,"Heavy Rain"))))</f>
        <v>Clear</v>
      </c>
      <c r="M946" s="9">
        <v>0.22</v>
      </c>
      <c r="N946" s="11" t="str">
        <f t="shared" si="46"/>
        <v>Winter</v>
      </c>
      <c r="O946" s="11" t="str">
        <f t="shared" si="44"/>
        <v>Weekday</v>
      </c>
      <c r="P946" s="9">
        <v>0.2273</v>
      </c>
      <c r="Q946" s="7">
        <f>Table1[[#This Row],[A_Temperature]]*41</f>
        <v>9.3193000000000001</v>
      </c>
      <c r="R946" s="9">
        <v>0.55000000000000004</v>
      </c>
      <c r="S946" s="9">
        <v>0.1343</v>
      </c>
      <c r="T946" s="9">
        <v>2</v>
      </c>
      <c r="U946" s="9">
        <v>61</v>
      </c>
      <c r="V946" s="19">
        <v>63</v>
      </c>
    </row>
    <row r="947" spans="1:22" s="13" customFormat="1" ht="30" customHeight="1">
      <c r="A947" s="17" t="s">
        <v>346</v>
      </c>
      <c r="B947" s="8">
        <v>40849</v>
      </c>
      <c r="C947" s="8" t="str">
        <f t="shared" si="45"/>
        <v>Wednesday</v>
      </c>
      <c r="D947" s="9">
        <v>1</v>
      </c>
      <c r="E947" s="9">
        <v>0</v>
      </c>
      <c r="F947" s="9">
        <v>2</v>
      </c>
      <c r="G947" s="7">
        <v>21</v>
      </c>
      <c r="H947" s="9" t="b">
        <v>0</v>
      </c>
      <c r="I947" s="9">
        <v>5</v>
      </c>
      <c r="J947" s="38" t="str">
        <f>CHOOSE(Table1[[#This Row],[Weekday]]+1,"Sunday","Monday","Tuesday","Wednesday","Thursday","Friday","Saturday")</f>
        <v>Friday</v>
      </c>
      <c r="K947" s="9">
        <v>1</v>
      </c>
      <c r="L947" s="38" t="str">
        <f>IF(Table1[[#This Row],[Weather_code]]=1,"Clear",IF(Table1[[#This Row],[Weather_code]]=2,"Cloudy",IF(Table1[[#This Row],[Weather_code]]=3,"Light Rain",IF(Table1[[#This Row],[Weather_code]]=4,"Heavy Rain"))))</f>
        <v>Clear</v>
      </c>
      <c r="M947" s="9">
        <v>0.2</v>
      </c>
      <c r="N947" s="11" t="str">
        <f t="shared" si="46"/>
        <v>Winter</v>
      </c>
      <c r="O947" s="11" t="str">
        <f t="shared" si="44"/>
        <v>Weekday</v>
      </c>
      <c r="P947" s="9">
        <v>0.21210000000000001</v>
      </c>
      <c r="Q947" s="7">
        <f>Table1[[#This Row],[A_Temperature]]*41</f>
        <v>8.6961000000000013</v>
      </c>
      <c r="R947" s="9">
        <v>0.59</v>
      </c>
      <c r="S947" s="9">
        <v>0.1343</v>
      </c>
      <c r="T947" s="9">
        <v>1</v>
      </c>
      <c r="U947" s="9">
        <v>46</v>
      </c>
      <c r="V947" s="19">
        <v>47</v>
      </c>
    </row>
    <row r="948" spans="1:22" s="13" customFormat="1" ht="30" customHeight="1">
      <c r="A948" s="17" t="s">
        <v>347</v>
      </c>
      <c r="B948" s="8">
        <v>40849</v>
      </c>
      <c r="C948" s="8" t="str">
        <f t="shared" si="45"/>
        <v>Wednesday</v>
      </c>
      <c r="D948" s="9">
        <v>1</v>
      </c>
      <c r="E948" s="9">
        <v>0</v>
      </c>
      <c r="F948" s="9">
        <v>2</v>
      </c>
      <c r="G948" s="7">
        <v>22</v>
      </c>
      <c r="H948" s="9" t="b">
        <v>0</v>
      </c>
      <c r="I948" s="9">
        <v>5</v>
      </c>
      <c r="J948" s="38" t="str">
        <f>CHOOSE(Table1[[#This Row],[Weekday]]+1,"Sunday","Monday","Tuesday","Wednesday","Thursday","Friday","Saturday")</f>
        <v>Friday</v>
      </c>
      <c r="K948" s="9">
        <v>1</v>
      </c>
      <c r="L948" s="38" t="str">
        <f>IF(Table1[[#This Row],[Weather_code]]=1,"Clear",IF(Table1[[#This Row],[Weather_code]]=2,"Cloudy",IF(Table1[[#This Row],[Weather_code]]=3,"Light Rain",IF(Table1[[#This Row],[Weather_code]]=4,"Heavy Rain"))))</f>
        <v>Clear</v>
      </c>
      <c r="M948" s="9">
        <v>0.2</v>
      </c>
      <c r="N948" s="11" t="str">
        <f t="shared" si="46"/>
        <v>Winter</v>
      </c>
      <c r="O948" s="11" t="str">
        <f t="shared" si="44"/>
        <v>Weekday</v>
      </c>
      <c r="P948" s="9">
        <v>0.2273</v>
      </c>
      <c r="Q948" s="7">
        <f>Table1[[#This Row],[A_Temperature]]*41</f>
        <v>9.3193000000000001</v>
      </c>
      <c r="R948" s="9">
        <v>0.64</v>
      </c>
      <c r="S948" s="9">
        <v>8.9599999999999999E-2</v>
      </c>
      <c r="T948" s="9">
        <v>2</v>
      </c>
      <c r="U948" s="9">
        <v>41</v>
      </c>
      <c r="V948" s="19">
        <v>43</v>
      </c>
    </row>
    <row r="949" spans="1:22" s="13" customFormat="1" ht="30" customHeight="1">
      <c r="A949" s="17" t="s">
        <v>348</v>
      </c>
      <c r="B949" s="8">
        <v>40849</v>
      </c>
      <c r="C949" s="8" t="str">
        <f t="shared" si="45"/>
        <v>Wednesday</v>
      </c>
      <c r="D949" s="9">
        <v>1</v>
      </c>
      <c r="E949" s="9">
        <v>0</v>
      </c>
      <c r="F949" s="9">
        <v>2</v>
      </c>
      <c r="G949" s="7">
        <v>23</v>
      </c>
      <c r="H949" s="9" t="b">
        <v>0</v>
      </c>
      <c r="I949" s="9">
        <v>5</v>
      </c>
      <c r="J949" s="38" t="str">
        <f>CHOOSE(Table1[[#This Row],[Weekday]]+1,"Sunday","Monday","Tuesday","Wednesday","Thursday","Friday","Saturday")</f>
        <v>Friday</v>
      </c>
      <c r="K949" s="9">
        <v>1</v>
      </c>
      <c r="L949" s="38" t="str">
        <f>IF(Table1[[#This Row],[Weather_code]]=1,"Clear",IF(Table1[[#This Row],[Weather_code]]=2,"Cloudy",IF(Table1[[#This Row],[Weather_code]]=3,"Light Rain",IF(Table1[[#This Row],[Weather_code]]=4,"Heavy Rain"))))</f>
        <v>Clear</v>
      </c>
      <c r="M949" s="9">
        <v>0.18</v>
      </c>
      <c r="N949" s="11" t="str">
        <f t="shared" si="46"/>
        <v>Winter</v>
      </c>
      <c r="O949" s="11" t="str">
        <f t="shared" si="44"/>
        <v>Weekday</v>
      </c>
      <c r="P949" s="9">
        <v>0.2424</v>
      </c>
      <c r="Q949" s="7">
        <f>Table1[[#This Row],[A_Temperature]]*41</f>
        <v>9.9383999999999997</v>
      </c>
      <c r="R949" s="9">
        <v>0.69</v>
      </c>
      <c r="S949" s="9">
        <v>0</v>
      </c>
      <c r="T949" s="9">
        <v>5</v>
      </c>
      <c r="U949" s="9">
        <v>48</v>
      </c>
      <c r="V949" s="19">
        <v>53</v>
      </c>
    </row>
    <row r="950" spans="1:22" s="13" customFormat="1" ht="30" customHeight="1">
      <c r="A950" s="17" t="s">
        <v>349</v>
      </c>
      <c r="B950" s="8">
        <v>40879</v>
      </c>
      <c r="C950" s="8" t="str">
        <f t="shared" si="45"/>
        <v>Friday</v>
      </c>
      <c r="D950" s="9">
        <v>1</v>
      </c>
      <c r="E950" s="9">
        <v>0</v>
      </c>
      <c r="F950" s="9">
        <v>2</v>
      </c>
      <c r="G950" s="7">
        <v>0</v>
      </c>
      <c r="H950" s="9" t="b">
        <v>0</v>
      </c>
      <c r="I950" s="9">
        <v>6</v>
      </c>
      <c r="J950" s="38" t="str">
        <f>CHOOSE(Table1[[#This Row],[Weekday]]+1,"Sunday","Monday","Tuesday","Wednesday","Thursday","Friday","Saturday")</f>
        <v>Saturday</v>
      </c>
      <c r="K950" s="9">
        <v>1</v>
      </c>
      <c r="L950" s="38" t="str">
        <f>IF(Table1[[#This Row],[Weather_code]]=1,"Clear",IF(Table1[[#This Row],[Weather_code]]=2,"Cloudy",IF(Table1[[#This Row],[Weather_code]]=3,"Light Rain",IF(Table1[[#This Row],[Weather_code]]=4,"Heavy Rain"))))</f>
        <v>Clear</v>
      </c>
      <c r="M950" s="9">
        <v>0.16</v>
      </c>
      <c r="N950" s="11" t="str">
        <f t="shared" si="46"/>
        <v>Winter</v>
      </c>
      <c r="O950" s="11" t="str">
        <f t="shared" si="44"/>
        <v>Weekday</v>
      </c>
      <c r="P950" s="9">
        <v>0.19700000000000001</v>
      </c>
      <c r="Q950" s="7">
        <f>Table1[[#This Row],[A_Temperature]]*41</f>
        <v>8.077</v>
      </c>
      <c r="R950" s="9">
        <v>0.69</v>
      </c>
      <c r="S950" s="9">
        <v>8.9599999999999999E-2</v>
      </c>
      <c r="T950" s="9">
        <v>3</v>
      </c>
      <c r="U950" s="9">
        <v>27</v>
      </c>
      <c r="V950" s="19">
        <v>30</v>
      </c>
    </row>
    <row r="951" spans="1:22" s="13" customFormat="1" ht="30" customHeight="1">
      <c r="A951" s="17" t="s">
        <v>350</v>
      </c>
      <c r="B951" s="8">
        <v>40879</v>
      </c>
      <c r="C951" s="8" t="str">
        <f t="shared" si="45"/>
        <v>Friday</v>
      </c>
      <c r="D951" s="9">
        <v>1</v>
      </c>
      <c r="E951" s="9">
        <v>0</v>
      </c>
      <c r="F951" s="9">
        <v>2</v>
      </c>
      <c r="G951" s="7">
        <v>1</v>
      </c>
      <c r="H951" s="9" t="b">
        <v>0</v>
      </c>
      <c r="I951" s="9">
        <v>6</v>
      </c>
      <c r="J951" s="38" t="str">
        <f>CHOOSE(Table1[[#This Row],[Weekday]]+1,"Sunday","Monday","Tuesday","Wednesday","Thursday","Friday","Saturday")</f>
        <v>Saturday</v>
      </c>
      <c r="K951" s="9">
        <v>1</v>
      </c>
      <c r="L951" s="38" t="str">
        <f>IF(Table1[[#This Row],[Weather_code]]=1,"Clear",IF(Table1[[#This Row],[Weather_code]]=2,"Cloudy",IF(Table1[[#This Row],[Weather_code]]=3,"Light Rain",IF(Table1[[#This Row],[Weather_code]]=4,"Heavy Rain"))))</f>
        <v>Clear</v>
      </c>
      <c r="M951" s="9">
        <v>0.14000000000000001</v>
      </c>
      <c r="N951" s="11" t="str">
        <f t="shared" si="46"/>
        <v>Winter</v>
      </c>
      <c r="O951" s="11" t="str">
        <f t="shared" si="44"/>
        <v>Weekday</v>
      </c>
      <c r="P951" s="9">
        <v>0.21210000000000001</v>
      </c>
      <c r="Q951" s="7">
        <f>Table1[[#This Row],[A_Temperature]]*41</f>
        <v>8.6961000000000013</v>
      </c>
      <c r="R951" s="9">
        <v>0.86</v>
      </c>
      <c r="S951" s="9">
        <v>0</v>
      </c>
      <c r="T951" s="9">
        <v>2</v>
      </c>
      <c r="U951" s="9">
        <v>22</v>
      </c>
      <c r="V951" s="19">
        <v>24</v>
      </c>
    </row>
    <row r="952" spans="1:22" s="13" customFormat="1" ht="30" customHeight="1">
      <c r="A952" s="17" t="s">
        <v>351</v>
      </c>
      <c r="B952" s="8">
        <v>40879</v>
      </c>
      <c r="C952" s="8" t="str">
        <f t="shared" si="45"/>
        <v>Friday</v>
      </c>
      <c r="D952" s="9">
        <v>1</v>
      </c>
      <c r="E952" s="9">
        <v>0</v>
      </c>
      <c r="F952" s="9">
        <v>2</v>
      </c>
      <c r="G952" s="7">
        <v>2</v>
      </c>
      <c r="H952" s="9" t="b">
        <v>0</v>
      </c>
      <c r="I952" s="9">
        <v>6</v>
      </c>
      <c r="J952" s="38" t="str">
        <f>CHOOSE(Table1[[#This Row],[Weekday]]+1,"Sunday","Monday","Tuesday","Wednesday","Thursday","Friday","Saturday")</f>
        <v>Saturday</v>
      </c>
      <c r="K952" s="9">
        <v>1</v>
      </c>
      <c r="L952" s="38" t="str">
        <f>IF(Table1[[#This Row],[Weather_code]]=1,"Clear",IF(Table1[[#This Row],[Weather_code]]=2,"Cloudy",IF(Table1[[#This Row],[Weather_code]]=3,"Light Rain",IF(Table1[[#This Row],[Weather_code]]=4,"Heavy Rain"))))</f>
        <v>Clear</v>
      </c>
      <c r="M952" s="9">
        <v>0.14000000000000001</v>
      </c>
      <c r="N952" s="11" t="str">
        <f t="shared" si="46"/>
        <v>Winter</v>
      </c>
      <c r="O952" s="11" t="str">
        <f t="shared" si="44"/>
        <v>Weekday</v>
      </c>
      <c r="P952" s="9">
        <v>0.21210000000000001</v>
      </c>
      <c r="Q952" s="7">
        <f>Table1[[#This Row],[A_Temperature]]*41</f>
        <v>8.6961000000000013</v>
      </c>
      <c r="R952" s="9">
        <v>0.8</v>
      </c>
      <c r="S952" s="9">
        <v>0</v>
      </c>
      <c r="T952" s="9">
        <v>2</v>
      </c>
      <c r="U952" s="9">
        <v>13</v>
      </c>
      <c r="V952" s="19">
        <v>15</v>
      </c>
    </row>
    <row r="953" spans="1:22" s="13" customFormat="1" ht="30" customHeight="1">
      <c r="A953" s="17" t="s">
        <v>352</v>
      </c>
      <c r="B953" s="8">
        <v>40879</v>
      </c>
      <c r="C953" s="8" t="str">
        <f t="shared" si="45"/>
        <v>Friday</v>
      </c>
      <c r="D953" s="9">
        <v>1</v>
      </c>
      <c r="E953" s="9">
        <v>0</v>
      </c>
      <c r="F953" s="9">
        <v>2</v>
      </c>
      <c r="G953" s="7">
        <v>3</v>
      </c>
      <c r="H953" s="9" t="b">
        <v>0</v>
      </c>
      <c r="I953" s="9">
        <v>6</v>
      </c>
      <c r="J953" s="38" t="str">
        <f>CHOOSE(Table1[[#This Row],[Weekday]]+1,"Sunday","Monday","Tuesday","Wednesday","Thursday","Friday","Saturday")</f>
        <v>Saturday</v>
      </c>
      <c r="K953" s="9">
        <v>1</v>
      </c>
      <c r="L953" s="38" t="str">
        <f>IF(Table1[[#This Row],[Weather_code]]=1,"Clear",IF(Table1[[#This Row],[Weather_code]]=2,"Cloudy",IF(Table1[[#This Row],[Weather_code]]=3,"Light Rain",IF(Table1[[#This Row],[Weather_code]]=4,"Heavy Rain"))))</f>
        <v>Clear</v>
      </c>
      <c r="M953" s="9">
        <v>0.12</v>
      </c>
      <c r="N953" s="11" t="str">
        <f t="shared" si="46"/>
        <v>Winter</v>
      </c>
      <c r="O953" s="11" t="str">
        <f t="shared" si="44"/>
        <v>Weekday</v>
      </c>
      <c r="P953" s="9">
        <v>0.19700000000000001</v>
      </c>
      <c r="Q953" s="7">
        <f>Table1[[#This Row],[A_Temperature]]*41</f>
        <v>8.077</v>
      </c>
      <c r="R953" s="9">
        <v>0.8</v>
      </c>
      <c r="S953" s="9">
        <v>0</v>
      </c>
      <c r="T953" s="9">
        <v>3</v>
      </c>
      <c r="U953" s="9">
        <v>7</v>
      </c>
      <c r="V953" s="19">
        <v>10</v>
      </c>
    </row>
    <row r="954" spans="1:22" s="13" customFormat="1" ht="30" customHeight="1">
      <c r="A954" s="17" t="s">
        <v>353</v>
      </c>
      <c r="B954" s="8">
        <v>40879</v>
      </c>
      <c r="C954" s="8" t="str">
        <f t="shared" si="45"/>
        <v>Friday</v>
      </c>
      <c r="D954" s="9">
        <v>1</v>
      </c>
      <c r="E954" s="9">
        <v>0</v>
      </c>
      <c r="F954" s="9">
        <v>2</v>
      </c>
      <c r="G954" s="7">
        <v>4</v>
      </c>
      <c r="H954" s="9" t="b">
        <v>0</v>
      </c>
      <c r="I954" s="9">
        <v>6</v>
      </c>
      <c r="J954" s="38" t="str">
        <f>CHOOSE(Table1[[#This Row],[Weekday]]+1,"Sunday","Monday","Tuesday","Wednesday","Thursday","Friday","Saturday")</f>
        <v>Saturday</v>
      </c>
      <c r="K954" s="9">
        <v>1</v>
      </c>
      <c r="L954" s="38" t="str">
        <f>IF(Table1[[#This Row],[Weather_code]]=1,"Clear",IF(Table1[[#This Row],[Weather_code]]=2,"Cloudy",IF(Table1[[#This Row],[Weather_code]]=3,"Light Rain",IF(Table1[[#This Row],[Weather_code]]=4,"Heavy Rain"))))</f>
        <v>Clear</v>
      </c>
      <c r="M954" s="9">
        <v>0.12</v>
      </c>
      <c r="N954" s="11" t="str">
        <f t="shared" si="46"/>
        <v>Winter</v>
      </c>
      <c r="O954" s="11" t="str">
        <f t="shared" si="44"/>
        <v>Weekday</v>
      </c>
      <c r="P954" s="9">
        <v>0.16669999999999999</v>
      </c>
      <c r="Q954" s="7">
        <f>Table1[[#This Row],[A_Temperature]]*41</f>
        <v>6.8346999999999998</v>
      </c>
      <c r="R954" s="9">
        <v>0.74</v>
      </c>
      <c r="S954" s="9">
        <v>8.9599999999999999E-2</v>
      </c>
      <c r="T954" s="9">
        <v>0</v>
      </c>
      <c r="U954" s="9">
        <v>4</v>
      </c>
      <c r="V954" s="19">
        <v>4</v>
      </c>
    </row>
    <row r="955" spans="1:22" s="13" customFormat="1" ht="30" customHeight="1">
      <c r="A955" s="17" t="s">
        <v>354</v>
      </c>
      <c r="B955" s="8">
        <v>40879</v>
      </c>
      <c r="C955" s="8" t="str">
        <f t="shared" si="45"/>
        <v>Friday</v>
      </c>
      <c r="D955" s="9">
        <v>1</v>
      </c>
      <c r="E955" s="9">
        <v>0</v>
      </c>
      <c r="F955" s="9">
        <v>2</v>
      </c>
      <c r="G955" s="7">
        <v>5</v>
      </c>
      <c r="H955" s="9" t="b">
        <v>0</v>
      </c>
      <c r="I955" s="9">
        <v>6</v>
      </c>
      <c r="J955" s="38" t="str">
        <f>CHOOSE(Table1[[#This Row],[Weekday]]+1,"Sunday","Monday","Tuesday","Wednesday","Thursday","Friday","Saturday")</f>
        <v>Saturday</v>
      </c>
      <c r="K955" s="9">
        <v>1</v>
      </c>
      <c r="L955" s="38" t="str">
        <f>IF(Table1[[#This Row],[Weather_code]]=1,"Clear",IF(Table1[[#This Row],[Weather_code]]=2,"Cloudy",IF(Table1[[#This Row],[Weather_code]]=3,"Light Rain",IF(Table1[[#This Row],[Weather_code]]=4,"Heavy Rain"))))</f>
        <v>Clear</v>
      </c>
      <c r="M955" s="9">
        <v>0.12</v>
      </c>
      <c r="N955" s="11" t="str">
        <f t="shared" si="46"/>
        <v>Winter</v>
      </c>
      <c r="O955" s="11" t="str">
        <f t="shared" si="44"/>
        <v>Weekday</v>
      </c>
      <c r="P955" s="9">
        <v>0.16669999999999999</v>
      </c>
      <c r="Q955" s="7">
        <f>Table1[[#This Row],[A_Temperature]]*41</f>
        <v>6.8346999999999998</v>
      </c>
      <c r="R955" s="9">
        <v>0.74</v>
      </c>
      <c r="S955" s="9">
        <v>8.9599999999999999E-2</v>
      </c>
      <c r="T955" s="9">
        <v>0</v>
      </c>
      <c r="U955" s="9">
        <v>1</v>
      </c>
      <c r="V955" s="19">
        <v>1</v>
      </c>
    </row>
    <row r="956" spans="1:22" s="13" customFormat="1" ht="30" customHeight="1">
      <c r="A956" s="17" t="s">
        <v>355</v>
      </c>
      <c r="B956" s="8">
        <v>40879</v>
      </c>
      <c r="C956" s="8" t="str">
        <f t="shared" si="45"/>
        <v>Friday</v>
      </c>
      <c r="D956" s="9">
        <v>1</v>
      </c>
      <c r="E956" s="9">
        <v>0</v>
      </c>
      <c r="F956" s="9">
        <v>2</v>
      </c>
      <c r="G956" s="7">
        <v>6</v>
      </c>
      <c r="H956" s="9" t="b">
        <v>0</v>
      </c>
      <c r="I956" s="9">
        <v>6</v>
      </c>
      <c r="J956" s="38" t="str">
        <f>CHOOSE(Table1[[#This Row],[Weekday]]+1,"Sunday","Monday","Tuesday","Wednesday","Thursday","Friday","Saturday")</f>
        <v>Saturday</v>
      </c>
      <c r="K956" s="9">
        <v>1</v>
      </c>
      <c r="L956" s="38" t="str">
        <f>IF(Table1[[#This Row],[Weather_code]]=1,"Clear",IF(Table1[[#This Row],[Weather_code]]=2,"Cloudy",IF(Table1[[#This Row],[Weather_code]]=3,"Light Rain",IF(Table1[[#This Row],[Weather_code]]=4,"Heavy Rain"))))</f>
        <v>Clear</v>
      </c>
      <c r="M956" s="9">
        <v>0.12</v>
      </c>
      <c r="N956" s="11" t="str">
        <f t="shared" si="46"/>
        <v>Winter</v>
      </c>
      <c r="O956" s="11" t="str">
        <f t="shared" si="44"/>
        <v>Weekday</v>
      </c>
      <c r="P956" s="9">
        <v>0.13639999999999999</v>
      </c>
      <c r="Q956" s="7">
        <f>Table1[[#This Row],[A_Temperature]]*41</f>
        <v>5.5923999999999996</v>
      </c>
      <c r="R956" s="9">
        <v>0.93</v>
      </c>
      <c r="S956" s="9">
        <v>0.19400000000000001</v>
      </c>
      <c r="T956" s="9">
        <v>1</v>
      </c>
      <c r="U956" s="9">
        <v>1</v>
      </c>
      <c r="V956" s="19">
        <v>2</v>
      </c>
    </row>
    <row r="957" spans="1:22" s="13" customFormat="1" ht="30" customHeight="1">
      <c r="A957" s="17" t="s">
        <v>356</v>
      </c>
      <c r="B957" s="8">
        <v>40879</v>
      </c>
      <c r="C957" s="8" t="str">
        <f t="shared" si="45"/>
        <v>Friday</v>
      </c>
      <c r="D957" s="9">
        <v>1</v>
      </c>
      <c r="E957" s="9">
        <v>0</v>
      </c>
      <c r="F957" s="9">
        <v>2</v>
      </c>
      <c r="G957" s="7">
        <v>7</v>
      </c>
      <c r="H957" s="9" t="b">
        <v>0</v>
      </c>
      <c r="I957" s="9">
        <v>6</v>
      </c>
      <c r="J957" s="38" t="str">
        <f>CHOOSE(Table1[[#This Row],[Weekday]]+1,"Sunday","Monday","Tuesday","Wednesday","Thursday","Friday","Saturday")</f>
        <v>Saturday</v>
      </c>
      <c r="K957" s="9">
        <v>1</v>
      </c>
      <c r="L957" s="38" t="str">
        <f>IF(Table1[[#This Row],[Weather_code]]=1,"Clear",IF(Table1[[#This Row],[Weather_code]]=2,"Cloudy",IF(Table1[[#This Row],[Weather_code]]=3,"Light Rain",IF(Table1[[#This Row],[Weather_code]]=4,"Heavy Rain"))))</f>
        <v>Clear</v>
      </c>
      <c r="M957" s="9">
        <v>0.12</v>
      </c>
      <c r="N957" s="11" t="str">
        <f t="shared" si="46"/>
        <v>Winter</v>
      </c>
      <c r="O957" s="11" t="str">
        <f t="shared" si="44"/>
        <v>Weekday</v>
      </c>
      <c r="P957" s="9">
        <v>0.1515</v>
      </c>
      <c r="Q957" s="7">
        <f>Table1[[#This Row],[A_Temperature]]*41</f>
        <v>6.2115</v>
      </c>
      <c r="R957" s="9">
        <v>0.8</v>
      </c>
      <c r="S957" s="9">
        <v>0.1045</v>
      </c>
      <c r="T957" s="9">
        <v>2</v>
      </c>
      <c r="U957" s="9">
        <v>9</v>
      </c>
      <c r="V957" s="19">
        <v>11</v>
      </c>
    </row>
    <row r="958" spans="1:22" s="13" customFormat="1" ht="30" customHeight="1">
      <c r="A958" s="17" t="s">
        <v>357</v>
      </c>
      <c r="B958" s="8">
        <v>40879</v>
      </c>
      <c r="C958" s="8" t="str">
        <f t="shared" si="45"/>
        <v>Friday</v>
      </c>
      <c r="D958" s="9">
        <v>1</v>
      </c>
      <c r="E958" s="9">
        <v>0</v>
      </c>
      <c r="F958" s="9">
        <v>2</v>
      </c>
      <c r="G958" s="7">
        <v>8</v>
      </c>
      <c r="H958" s="9" t="b">
        <v>0</v>
      </c>
      <c r="I958" s="9">
        <v>6</v>
      </c>
      <c r="J958" s="38" t="str">
        <f>CHOOSE(Table1[[#This Row],[Weekday]]+1,"Sunday","Monday","Tuesday","Wednesday","Thursday","Friday","Saturday")</f>
        <v>Saturday</v>
      </c>
      <c r="K958" s="9">
        <v>1</v>
      </c>
      <c r="L958" s="38" t="str">
        <f>IF(Table1[[#This Row],[Weather_code]]=1,"Clear",IF(Table1[[#This Row],[Weather_code]]=2,"Cloudy",IF(Table1[[#This Row],[Weather_code]]=3,"Light Rain",IF(Table1[[#This Row],[Weather_code]]=4,"Heavy Rain"))))</f>
        <v>Clear</v>
      </c>
      <c r="M958" s="9">
        <v>0.14000000000000001</v>
      </c>
      <c r="N958" s="11" t="str">
        <f t="shared" si="46"/>
        <v>Winter</v>
      </c>
      <c r="O958" s="11" t="str">
        <f t="shared" si="44"/>
        <v>Weekday</v>
      </c>
      <c r="P958" s="9">
        <v>0.1515</v>
      </c>
      <c r="Q958" s="7">
        <f>Table1[[#This Row],[A_Temperature]]*41</f>
        <v>6.2115</v>
      </c>
      <c r="R958" s="9">
        <v>0.86</v>
      </c>
      <c r="S958" s="9">
        <v>0.1343</v>
      </c>
      <c r="T958" s="9">
        <v>2</v>
      </c>
      <c r="U958" s="9">
        <v>28</v>
      </c>
      <c r="V958" s="19">
        <v>30</v>
      </c>
    </row>
    <row r="959" spans="1:22" s="13" customFormat="1" ht="30" customHeight="1">
      <c r="A959" s="17" t="s">
        <v>358</v>
      </c>
      <c r="B959" s="8">
        <v>40879</v>
      </c>
      <c r="C959" s="8" t="str">
        <f t="shared" si="45"/>
        <v>Friday</v>
      </c>
      <c r="D959" s="9">
        <v>1</v>
      </c>
      <c r="E959" s="9">
        <v>0</v>
      </c>
      <c r="F959" s="9">
        <v>2</v>
      </c>
      <c r="G959" s="7">
        <v>9</v>
      </c>
      <c r="H959" s="9" t="b">
        <v>0</v>
      </c>
      <c r="I959" s="9">
        <v>6</v>
      </c>
      <c r="J959" s="38" t="str">
        <f>CHOOSE(Table1[[#This Row],[Weekday]]+1,"Sunday","Monday","Tuesday","Wednesday","Thursday","Friday","Saturday")</f>
        <v>Saturday</v>
      </c>
      <c r="K959" s="9">
        <v>1</v>
      </c>
      <c r="L959" s="38" t="str">
        <f>IF(Table1[[#This Row],[Weather_code]]=1,"Clear",IF(Table1[[#This Row],[Weather_code]]=2,"Cloudy",IF(Table1[[#This Row],[Weather_code]]=3,"Light Rain",IF(Table1[[#This Row],[Weather_code]]=4,"Heavy Rain"))))</f>
        <v>Clear</v>
      </c>
      <c r="M959" s="9">
        <v>0.16</v>
      </c>
      <c r="N959" s="11" t="str">
        <f t="shared" si="46"/>
        <v>Winter</v>
      </c>
      <c r="O959" s="11" t="str">
        <f t="shared" si="44"/>
        <v>Weekday</v>
      </c>
      <c r="P959" s="9">
        <v>0.18179999999999999</v>
      </c>
      <c r="Q959" s="7">
        <f>Table1[[#This Row],[A_Temperature]]*41</f>
        <v>7.4537999999999993</v>
      </c>
      <c r="R959" s="9">
        <v>0.64</v>
      </c>
      <c r="S959" s="9">
        <v>0.1343</v>
      </c>
      <c r="T959" s="9">
        <v>5</v>
      </c>
      <c r="U959" s="9">
        <v>38</v>
      </c>
      <c r="V959" s="19">
        <v>43</v>
      </c>
    </row>
    <row r="960" spans="1:22" s="13" customFormat="1" ht="30" customHeight="1">
      <c r="A960" s="17" t="s">
        <v>359</v>
      </c>
      <c r="B960" s="8">
        <v>40879</v>
      </c>
      <c r="C960" s="8" t="str">
        <f t="shared" si="45"/>
        <v>Friday</v>
      </c>
      <c r="D960" s="9">
        <v>1</v>
      </c>
      <c r="E960" s="9">
        <v>0</v>
      </c>
      <c r="F960" s="9">
        <v>2</v>
      </c>
      <c r="G960" s="7">
        <v>10</v>
      </c>
      <c r="H960" s="9" t="b">
        <v>0</v>
      </c>
      <c r="I960" s="9">
        <v>6</v>
      </c>
      <c r="J960" s="38" t="str">
        <f>CHOOSE(Table1[[#This Row],[Weekday]]+1,"Sunday","Monday","Tuesday","Wednesday","Thursday","Friday","Saturday")</f>
        <v>Saturday</v>
      </c>
      <c r="K960" s="9">
        <v>1</v>
      </c>
      <c r="L960" s="38" t="str">
        <f>IF(Table1[[#This Row],[Weather_code]]=1,"Clear",IF(Table1[[#This Row],[Weather_code]]=2,"Cloudy",IF(Table1[[#This Row],[Weather_code]]=3,"Light Rain",IF(Table1[[#This Row],[Weather_code]]=4,"Heavy Rain"))))</f>
        <v>Clear</v>
      </c>
      <c r="M960" s="9">
        <v>0.22</v>
      </c>
      <c r="N960" s="11" t="str">
        <f t="shared" si="46"/>
        <v>Winter</v>
      </c>
      <c r="O960" s="11" t="str">
        <f t="shared" si="44"/>
        <v>Weekday</v>
      </c>
      <c r="P960" s="9">
        <v>0.21210000000000001</v>
      </c>
      <c r="Q960" s="7">
        <f>Table1[[#This Row],[A_Temperature]]*41</f>
        <v>8.6961000000000013</v>
      </c>
      <c r="R960" s="9">
        <v>0.41</v>
      </c>
      <c r="S960" s="9">
        <v>0.25369999999999998</v>
      </c>
      <c r="T960" s="9">
        <v>13</v>
      </c>
      <c r="U960" s="9">
        <v>71</v>
      </c>
      <c r="V960" s="19">
        <v>84</v>
      </c>
    </row>
    <row r="961" spans="1:22" s="13" customFormat="1" ht="30" customHeight="1">
      <c r="A961" s="17" t="s">
        <v>360</v>
      </c>
      <c r="B961" s="8">
        <v>40879</v>
      </c>
      <c r="C961" s="8" t="str">
        <f t="shared" si="45"/>
        <v>Friday</v>
      </c>
      <c r="D961" s="9">
        <v>1</v>
      </c>
      <c r="E961" s="9">
        <v>0</v>
      </c>
      <c r="F961" s="9">
        <v>2</v>
      </c>
      <c r="G961" s="7">
        <v>11</v>
      </c>
      <c r="H961" s="9" t="b">
        <v>0</v>
      </c>
      <c r="I961" s="9">
        <v>6</v>
      </c>
      <c r="J961" s="38" t="str">
        <f>CHOOSE(Table1[[#This Row],[Weekday]]+1,"Sunday","Monday","Tuesday","Wednesday","Thursday","Friday","Saturday")</f>
        <v>Saturday</v>
      </c>
      <c r="K961" s="9">
        <v>1</v>
      </c>
      <c r="L961" s="38" t="str">
        <f>IF(Table1[[#This Row],[Weather_code]]=1,"Clear",IF(Table1[[#This Row],[Weather_code]]=2,"Cloudy",IF(Table1[[#This Row],[Weather_code]]=3,"Light Rain",IF(Table1[[#This Row],[Weather_code]]=4,"Heavy Rain"))))</f>
        <v>Clear</v>
      </c>
      <c r="M961" s="9">
        <v>0.3</v>
      </c>
      <c r="N961" s="11" t="str">
        <f t="shared" si="46"/>
        <v>Winter</v>
      </c>
      <c r="O961" s="11" t="str">
        <f t="shared" si="44"/>
        <v>Weekday</v>
      </c>
      <c r="P961" s="9">
        <v>0.2727</v>
      </c>
      <c r="Q961" s="7">
        <f>Table1[[#This Row],[A_Temperature]]*41</f>
        <v>11.1807</v>
      </c>
      <c r="R961" s="9">
        <v>0.28000000000000003</v>
      </c>
      <c r="S961" s="9">
        <v>0.32840000000000003</v>
      </c>
      <c r="T961" s="9">
        <v>30</v>
      </c>
      <c r="U961" s="9">
        <v>84</v>
      </c>
      <c r="V961" s="19">
        <v>114</v>
      </c>
    </row>
    <row r="962" spans="1:22" s="13" customFormat="1" ht="30" customHeight="1">
      <c r="A962" s="17" t="s">
        <v>361</v>
      </c>
      <c r="B962" s="8">
        <v>40879</v>
      </c>
      <c r="C962" s="8" t="str">
        <f t="shared" si="45"/>
        <v>Friday</v>
      </c>
      <c r="D962" s="9">
        <v>1</v>
      </c>
      <c r="E962" s="9">
        <v>0</v>
      </c>
      <c r="F962" s="9">
        <v>2</v>
      </c>
      <c r="G962" s="7">
        <v>12</v>
      </c>
      <c r="H962" s="9" t="b">
        <v>0</v>
      </c>
      <c r="I962" s="9">
        <v>6</v>
      </c>
      <c r="J962" s="38" t="str">
        <f>CHOOSE(Table1[[#This Row],[Weekday]]+1,"Sunday","Monday","Tuesday","Wednesday","Thursday","Friday","Saturday")</f>
        <v>Saturday</v>
      </c>
      <c r="K962" s="9">
        <v>1</v>
      </c>
      <c r="L962" s="38" t="str">
        <f>IF(Table1[[#This Row],[Weather_code]]=1,"Clear",IF(Table1[[#This Row],[Weather_code]]=2,"Cloudy",IF(Table1[[#This Row],[Weather_code]]=3,"Light Rain",IF(Table1[[#This Row],[Weather_code]]=4,"Heavy Rain"))))</f>
        <v>Clear</v>
      </c>
      <c r="M962" s="9">
        <v>0.3</v>
      </c>
      <c r="N962" s="11" t="str">
        <f t="shared" si="46"/>
        <v>Winter</v>
      </c>
      <c r="O962" s="11" t="str">
        <f t="shared" si="44"/>
        <v>Weekday</v>
      </c>
      <c r="P962" s="9">
        <v>0.2727</v>
      </c>
      <c r="Q962" s="7">
        <f>Table1[[#This Row],[A_Temperature]]*41</f>
        <v>11.1807</v>
      </c>
      <c r="R962" s="9">
        <v>0.39</v>
      </c>
      <c r="S962" s="9">
        <v>0.4627</v>
      </c>
      <c r="T962" s="9">
        <v>27</v>
      </c>
      <c r="U962" s="9">
        <v>93</v>
      </c>
      <c r="V962" s="19">
        <v>120</v>
      </c>
    </row>
    <row r="963" spans="1:22" s="13" customFormat="1" ht="30" customHeight="1">
      <c r="A963" s="17" t="s">
        <v>362</v>
      </c>
      <c r="B963" s="8">
        <v>40879</v>
      </c>
      <c r="C963" s="8" t="str">
        <f t="shared" si="45"/>
        <v>Friday</v>
      </c>
      <c r="D963" s="9">
        <v>1</v>
      </c>
      <c r="E963" s="9">
        <v>0</v>
      </c>
      <c r="F963" s="9">
        <v>2</v>
      </c>
      <c r="G963" s="7">
        <v>13</v>
      </c>
      <c r="H963" s="9" t="b">
        <v>0</v>
      </c>
      <c r="I963" s="9">
        <v>6</v>
      </c>
      <c r="J963" s="38" t="str">
        <f>CHOOSE(Table1[[#This Row],[Weekday]]+1,"Sunday","Monday","Tuesday","Wednesday","Thursday","Friday","Saturday")</f>
        <v>Saturday</v>
      </c>
      <c r="K963" s="9">
        <v>1</v>
      </c>
      <c r="L963" s="38" t="str">
        <f>IF(Table1[[#This Row],[Weather_code]]=1,"Clear",IF(Table1[[#This Row],[Weather_code]]=2,"Cloudy",IF(Table1[[#This Row],[Weather_code]]=3,"Light Rain",IF(Table1[[#This Row],[Weather_code]]=4,"Heavy Rain"))))</f>
        <v>Clear</v>
      </c>
      <c r="M963" s="9">
        <v>0.3</v>
      </c>
      <c r="N963" s="11" t="str">
        <f t="shared" si="46"/>
        <v>Winter</v>
      </c>
      <c r="O963" s="11" t="str">
        <f t="shared" si="44"/>
        <v>Weekday</v>
      </c>
      <c r="P963" s="9">
        <v>0.2727</v>
      </c>
      <c r="Q963" s="7">
        <f>Table1[[#This Row],[A_Temperature]]*41</f>
        <v>11.1807</v>
      </c>
      <c r="R963" s="9">
        <v>0.39</v>
      </c>
      <c r="S963" s="9">
        <v>0.41789999999999999</v>
      </c>
      <c r="T963" s="9">
        <v>32</v>
      </c>
      <c r="U963" s="9">
        <v>103</v>
      </c>
      <c r="V963" s="19">
        <v>135</v>
      </c>
    </row>
    <row r="964" spans="1:22" s="13" customFormat="1" ht="30" customHeight="1">
      <c r="A964" s="17" t="s">
        <v>363</v>
      </c>
      <c r="B964" s="8">
        <v>40879</v>
      </c>
      <c r="C964" s="8" t="str">
        <f t="shared" si="45"/>
        <v>Friday</v>
      </c>
      <c r="D964" s="9">
        <v>1</v>
      </c>
      <c r="E964" s="9">
        <v>0</v>
      </c>
      <c r="F964" s="9">
        <v>2</v>
      </c>
      <c r="G964" s="7">
        <v>14</v>
      </c>
      <c r="H964" s="9" t="b">
        <v>0</v>
      </c>
      <c r="I964" s="9">
        <v>6</v>
      </c>
      <c r="J964" s="38" t="str">
        <f>CHOOSE(Table1[[#This Row],[Weekday]]+1,"Sunday","Monday","Tuesday","Wednesday","Thursday","Friday","Saturday")</f>
        <v>Saturday</v>
      </c>
      <c r="K964" s="9">
        <v>1</v>
      </c>
      <c r="L964" s="38" t="str">
        <f>IF(Table1[[#This Row],[Weather_code]]=1,"Clear",IF(Table1[[#This Row],[Weather_code]]=2,"Cloudy",IF(Table1[[#This Row],[Weather_code]]=3,"Light Rain",IF(Table1[[#This Row],[Weather_code]]=4,"Heavy Rain"))))</f>
        <v>Clear</v>
      </c>
      <c r="M964" s="9">
        <v>0.34</v>
      </c>
      <c r="N964" s="11" t="str">
        <f t="shared" si="46"/>
        <v>Winter</v>
      </c>
      <c r="O964" s="11" t="str">
        <f t="shared" si="44"/>
        <v>Weekday</v>
      </c>
      <c r="P964" s="9">
        <v>0.31819999999999998</v>
      </c>
      <c r="Q964" s="7">
        <f>Table1[[#This Row],[A_Temperature]]*41</f>
        <v>13.046199999999999</v>
      </c>
      <c r="R964" s="9">
        <v>0.31</v>
      </c>
      <c r="S964" s="9">
        <v>0.28360000000000002</v>
      </c>
      <c r="T964" s="9">
        <v>30</v>
      </c>
      <c r="U964" s="9">
        <v>90</v>
      </c>
      <c r="V964" s="19">
        <v>120</v>
      </c>
    </row>
    <row r="965" spans="1:22" s="13" customFormat="1" ht="30" customHeight="1">
      <c r="A965" s="17" t="s">
        <v>364</v>
      </c>
      <c r="B965" s="8">
        <v>40879</v>
      </c>
      <c r="C965" s="8" t="str">
        <f t="shared" si="45"/>
        <v>Friday</v>
      </c>
      <c r="D965" s="9">
        <v>1</v>
      </c>
      <c r="E965" s="9">
        <v>0</v>
      </c>
      <c r="F965" s="9">
        <v>2</v>
      </c>
      <c r="G965" s="7">
        <v>15</v>
      </c>
      <c r="H965" s="9" t="b">
        <v>0</v>
      </c>
      <c r="I965" s="9">
        <v>6</v>
      </c>
      <c r="J965" s="38" t="str">
        <f>CHOOSE(Table1[[#This Row],[Weekday]]+1,"Sunday","Monday","Tuesday","Wednesday","Thursday","Friday","Saturday")</f>
        <v>Saturday</v>
      </c>
      <c r="K965" s="9">
        <v>1</v>
      </c>
      <c r="L965" s="38" t="str">
        <f>IF(Table1[[#This Row],[Weather_code]]=1,"Clear",IF(Table1[[#This Row],[Weather_code]]=2,"Cloudy",IF(Table1[[#This Row],[Weather_code]]=3,"Light Rain",IF(Table1[[#This Row],[Weather_code]]=4,"Heavy Rain"))))</f>
        <v>Clear</v>
      </c>
      <c r="M965" s="9">
        <v>0.34</v>
      </c>
      <c r="N965" s="11" t="str">
        <f t="shared" si="46"/>
        <v>Winter</v>
      </c>
      <c r="O965" s="11" t="str">
        <f t="shared" si="44"/>
        <v>Weekday</v>
      </c>
      <c r="P965" s="9">
        <v>0.30299999999999999</v>
      </c>
      <c r="Q965" s="7">
        <f>Table1[[#This Row],[A_Temperature]]*41</f>
        <v>12.423</v>
      </c>
      <c r="R965" s="9">
        <v>0.28999999999999998</v>
      </c>
      <c r="S965" s="9">
        <v>0.41789999999999999</v>
      </c>
      <c r="T965" s="9">
        <v>47</v>
      </c>
      <c r="U965" s="9">
        <v>127</v>
      </c>
      <c r="V965" s="19">
        <v>174</v>
      </c>
    </row>
    <row r="966" spans="1:22" s="13" customFormat="1" ht="30" customHeight="1">
      <c r="A966" s="17" t="s">
        <v>365</v>
      </c>
      <c r="B966" s="8">
        <v>40879</v>
      </c>
      <c r="C966" s="8" t="str">
        <f t="shared" si="45"/>
        <v>Friday</v>
      </c>
      <c r="D966" s="9">
        <v>1</v>
      </c>
      <c r="E966" s="9">
        <v>0</v>
      </c>
      <c r="F966" s="9">
        <v>2</v>
      </c>
      <c r="G966" s="7">
        <v>16</v>
      </c>
      <c r="H966" s="9" t="b">
        <v>0</v>
      </c>
      <c r="I966" s="9">
        <v>6</v>
      </c>
      <c r="J966" s="38" t="str">
        <f>CHOOSE(Table1[[#This Row],[Weekday]]+1,"Sunday","Monday","Tuesday","Wednesday","Thursday","Friday","Saturday")</f>
        <v>Saturday</v>
      </c>
      <c r="K966" s="9">
        <v>1</v>
      </c>
      <c r="L966" s="38" t="str">
        <f>IF(Table1[[#This Row],[Weather_code]]=1,"Clear",IF(Table1[[#This Row],[Weather_code]]=2,"Cloudy",IF(Table1[[#This Row],[Weather_code]]=3,"Light Rain",IF(Table1[[#This Row],[Weather_code]]=4,"Heavy Rain"))))</f>
        <v>Clear</v>
      </c>
      <c r="M966" s="9">
        <v>0.34</v>
      </c>
      <c r="N966" s="11" t="str">
        <f t="shared" si="46"/>
        <v>Winter</v>
      </c>
      <c r="O966" s="11" t="str">
        <f t="shared" ref="O966:O1004" si="47">IF(OR(WEEKDAY(B966,2)=6,WEEKDAY(B966,2)=7),"Weekend","Weekday")</f>
        <v>Weekday</v>
      </c>
      <c r="P966" s="9">
        <v>0.30299999999999999</v>
      </c>
      <c r="Q966" s="7">
        <f>Table1[[#This Row],[A_Temperature]]*41</f>
        <v>12.423</v>
      </c>
      <c r="R966" s="9">
        <v>0.28999999999999998</v>
      </c>
      <c r="S966" s="9">
        <v>0.41789999999999999</v>
      </c>
      <c r="T966" s="9">
        <v>42</v>
      </c>
      <c r="U966" s="9">
        <v>103</v>
      </c>
      <c r="V966" s="19">
        <v>145</v>
      </c>
    </row>
    <row r="967" spans="1:22" s="13" customFormat="1" ht="30" customHeight="1">
      <c r="A967" s="17" t="s">
        <v>366</v>
      </c>
      <c r="B967" s="8">
        <v>40879</v>
      </c>
      <c r="C967" s="8" t="str">
        <f t="shared" si="45"/>
        <v>Friday</v>
      </c>
      <c r="D967" s="9">
        <v>1</v>
      </c>
      <c r="E967" s="9">
        <v>0</v>
      </c>
      <c r="F967" s="9">
        <v>2</v>
      </c>
      <c r="G967" s="7">
        <v>17</v>
      </c>
      <c r="H967" s="9" t="b">
        <v>0</v>
      </c>
      <c r="I967" s="9">
        <v>6</v>
      </c>
      <c r="J967" s="38" t="str">
        <f>CHOOSE(Table1[[#This Row],[Weekday]]+1,"Sunday","Monday","Tuesday","Wednesday","Thursday","Friday","Saturday")</f>
        <v>Saturday</v>
      </c>
      <c r="K967" s="9">
        <v>1</v>
      </c>
      <c r="L967" s="38" t="str">
        <f>IF(Table1[[#This Row],[Weather_code]]=1,"Clear",IF(Table1[[#This Row],[Weather_code]]=2,"Cloudy",IF(Table1[[#This Row],[Weather_code]]=3,"Light Rain",IF(Table1[[#This Row],[Weather_code]]=4,"Heavy Rain"))))</f>
        <v>Clear</v>
      </c>
      <c r="M967" s="9">
        <v>0.32</v>
      </c>
      <c r="N967" s="11" t="str">
        <f t="shared" si="46"/>
        <v>Winter</v>
      </c>
      <c r="O967" s="11" t="str">
        <f t="shared" si="47"/>
        <v>Weekday</v>
      </c>
      <c r="P967" s="9">
        <v>0.28789999999999999</v>
      </c>
      <c r="Q967" s="7">
        <f>Table1[[#This Row],[A_Temperature]]*41</f>
        <v>11.803899999999999</v>
      </c>
      <c r="R967" s="9">
        <v>0.31</v>
      </c>
      <c r="S967" s="9">
        <v>0.52239999999999998</v>
      </c>
      <c r="T967" s="9">
        <v>24</v>
      </c>
      <c r="U967" s="9">
        <v>113</v>
      </c>
      <c r="V967" s="19">
        <v>137</v>
      </c>
    </row>
    <row r="968" spans="1:22" s="13" customFormat="1" ht="30" customHeight="1">
      <c r="A968" s="17" t="s">
        <v>367</v>
      </c>
      <c r="B968" s="8">
        <v>40879</v>
      </c>
      <c r="C968" s="8" t="str">
        <f t="shared" si="45"/>
        <v>Friday</v>
      </c>
      <c r="D968" s="9">
        <v>1</v>
      </c>
      <c r="E968" s="9">
        <v>0</v>
      </c>
      <c r="F968" s="9">
        <v>2</v>
      </c>
      <c r="G968" s="7">
        <v>18</v>
      </c>
      <c r="H968" s="9" t="b">
        <v>0</v>
      </c>
      <c r="I968" s="9">
        <v>6</v>
      </c>
      <c r="J968" s="38" t="str">
        <f>CHOOSE(Table1[[#This Row],[Weekday]]+1,"Sunday","Monday","Tuesday","Wednesday","Thursday","Friday","Saturday")</f>
        <v>Saturday</v>
      </c>
      <c r="K968" s="9">
        <v>1</v>
      </c>
      <c r="L968" s="38" t="str">
        <f>IF(Table1[[#This Row],[Weather_code]]=1,"Clear",IF(Table1[[#This Row],[Weather_code]]=2,"Cloudy",IF(Table1[[#This Row],[Weather_code]]=3,"Light Rain",IF(Table1[[#This Row],[Weather_code]]=4,"Heavy Rain"))))</f>
        <v>Clear</v>
      </c>
      <c r="M968" s="9">
        <v>0.28000000000000003</v>
      </c>
      <c r="N968" s="11" t="str">
        <f t="shared" si="46"/>
        <v>Winter</v>
      </c>
      <c r="O968" s="11" t="str">
        <f t="shared" si="47"/>
        <v>Weekday</v>
      </c>
      <c r="P968" s="9">
        <v>0.2576</v>
      </c>
      <c r="Q968" s="7">
        <f>Table1[[#This Row],[A_Temperature]]*41</f>
        <v>10.5616</v>
      </c>
      <c r="R968" s="9">
        <v>0.38</v>
      </c>
      <c r="S968" s="9">
        <v>0.32840000000000003</v>
      </c>
      <c r="T968" s="9">
        <v>4</v>
      </c>
      <c r="U968" s="9">
        <v>60</v>
      </c>
      <c r="V968" s="19">
        <v>64</v>
      </c>
    </row>
    <row r="969" spans="1:22" s="13" customFormat="1" ht="30" customHeight="1">
      <c r="A969" s="17" t="s">
        <v>368</v>
      </c>
      <c r="B969" s="8">
        <v>40879</v>
      </c>
      <c r="C969" s="8" t="str">
        <f t="shared" si="45"/>
        <v>Friday</v>
      </c>
      <c r="D969" s="9">
        <v>1</v>
      </c>
      <c r="E969" s="9">
        <v>0</v>
      </c>
      <c r="F969" s="9">
        <v>2</v>
      </c>
      <c r="G969" s="7">
        <v>19</v>
      </c>
      <c r="H969" s="9" t="b">
        <v>0</v>
      </c>
      <c r="I969" s="9">
        <v>6</v>
      </c>
      <c r="J969" s="38" t="str">
        <f>CHOOSE(Table1[[#This Row],[Weekday]]+1,"Sunday","Monday","Tuesday","Wednesday","Thursday","Friday","Saturday")</f>
        <v>Saturday</v>
      </c>
      <c r="K969" s="9">
        <v>1</v>
      </c>
      <c r="L969" s="38" t="str">
        <f>IF(Table1[[#This Row],[Weather_code]]=1,"Clear",IF(Table1[[#This Row],[Weather_code]]=2,"Cloudy",IF(Table1[[#This Row],[Weather_code]]=3,"Light Rain",IF(Table1[[#This Row],[Weather_code]]=4,"Heavy Rain"))))</f>
        <v>Clear</v>
      </c>
      <c r="M969" s="9">
        <v>0.28000000000000003</v>
      </c>
      <c r="N969" s="11" t="str">
        <f t="shared" si="46"/>
        <v>Winter</v>
      </c>
      <c r="O969" s="11" t="str">
        <f t="shared" si="47"/>
        <v>Weekday</v>
      </c>
      <c r="P969" s="9">
        <v>0.2727</v>
      </c>
      <c r="Q969" s="7">
        <f>Table1[[#This Row],[A_Temperature]]*41</f>
        <v>11.1807</v>
      </c>
      <c r="R969" s="9">
        <v>0.38</v>
      </c>
      <c r="S969" s="9">
        <v>0.16420000000000001</v>
      </c>
      <c r="T969" s="9">
        <v>2</v>
      </c>
      <c r="U969" s="9">
        <v>39</v>
      </c>
      <c r="V969" s="19">
        <v>41</v>
      </c>
    </row>
    <row r="970" spans="1:22" s="13" customFormat="1" ht="30" customHeight="1">
      <c r="A970" s="17" t="s">
        <v>369</v>
      </c>
      <c r="B970" s="8">
        <v>40879</v>
      </c>
      <c r="C970" s="8" t="str">
        <f t="shared" si="45"/>
        <v>Friday</v>
      </c>
      <c r="D970" s="9">
        <v>1</v>
      </c>
      <c r="E970" s="9">
        <v>0</v>
      </c>
      <c r="F970" s="9">
        <v>2</v>
      </c>
      <c r="G970" s="7">
        <v>20</v>
      </c>
      <c r="H970" s="9" t="b">
        <v>0</v>
      </c>
      <c r="I970" s="9">
        <v>6</v>
      </c>
      <c r="J970" s="38" t="str">
        <f>CHOOSE(Table1[[#This Row],[Weekday]]+1,"Sunday","Monday","Tuesday","Wednesday","Thursday","Friday","Saturday")</f>
        <v>Saturday</v>
      </c>
      <c r="K970" s="9">
        <v>1</v>
      </c>
      <c r="L970" s="38" t="str">
        <f>IF(Table1[[#This Row],[Weather_code]]=1,"Clear",IF(Table1[[#This Row],[Weather_code]]=2,"Cloudy",IF(Table1[[#This Row],[Weather_code]]=3,"Light Rain",IF(Table1[[#This Row],[Weather_code]]=4,"Heavy Rain"))))</f>
        <v>Clear</v>
      </c>
      <c r="M970" s="9">
        <v>0.26</v>
      </c>
      <c r="N970" s="11" t="str">
        <f t="shared" si="46"/>
        <v>Winter</v>
      </c>
      <c r="O970" s="11" t="str">
        <f t="shared" si="47"/>
        <v>Weekday</v>
      </c>
      <c r="P970" s="9">
        <v>0.2576</v>
      </c>
      <c r="Q970" s="7">
        <f>Table1[[#This Row],[A_Temperature]]*41</f>
        <v>10.5616</v>
      </c>
      <c r="R970" s="9">
        <v>0.41</v>
      </c>
      <c r="S970" s="9">
        <v>0.22389999999999999</v>
      </c>
      <c r="T970" s="9">
        <v>1</v>
      </c>
      <c r="U970" s="9">
        <v>39</v>
      </c>
      <c r="V970" s="19">
        <v>40</v>
      </c>
    </row>
    <row r="971" spans="1:22" s="13" customFormat="1" ht="30" customHeight="1">
      <c r="A971" s="17" t="s">
        <v>370</v>
      </c>
      <c r="B971" s="8">
        <v>40879</v>
      </c>
      <c r="C971" s="8" t="str">
        <f t="shared" si="45"/>
        <v>Friday</v>
      </c>
      <c r="D971" s="9">
        <v>1</v>
      </c>
      <c r="E971" s="9">
        <v>0</v>
      </c>
      <c r="F971" s="9">
        <v>2</v>
      </c>
      <c r="G971" s="7">
        <v>21</v>
      </c>
      <c r="H971" s="9" t="b">
        <v>0</v>
      </c>
      <c r="I971" s="9">
        <v>6</v>
      </c>
      <c r="J971" s="38" t="str">
        <f>CHOOSE(Table1[[#This Row],[Weekday]]+1,"Sunday","Monday","Tuesday","Wednesday","Thursday","Friday","Saturday")</f>
        <v>Saturday</v>
      </c>
      <c r="K971" s="9">
        <v>1</v>
      </c>
      <c r="L971" s="38" t="str">
        <f>IF(Table1[[#This Row],[Weather_code]]=1,"Clear",IF(Table1[[#This Row],[Weather_code]]=2,"Cloudy",IF(Table1[[#This Row],[Weather_code]]=3,"Light Rain",IF(Table1[[#This Row],[Weather_code]]=4,"Heavy Rain"))))</f>
        <v>Clear</v>
      </c>
      <c r="M971" s="9">
        <v>0.26</v>
      </c>
      <c r="N971" s="11" t="str">
        <f t="shared" si="46"/>
        <v>Winter</v>
      </c>
      <c r="O971" s="11" t="str">
        <f t="shared" si="47"/>
        <v>Weekday</v>
      </c>
      <c r="P971" s="9">
        <v>0.30299999999999999</v>
      </c>
      <c r="Q971" s="7">
        <f>Table1[[#This Row],[A_Temperature]]*41</f>
        <v>12.423</v>
      </c>
      <c r="R971" s="9">
        <v>0.41</v>
      </c>
      <c r="S971" s="9">
        <v>0</v>
      </c>
      <c r="T971" s="9">
        <v>9</v>
      </c>
      <c r="U971" s="9">
        <v>42</v>
      </c>
      <c r="V971" s="19">
        <v>51</v>
      </c>
    </row>
    <row r="972" spans="1:22" s="13" customFormat="1" ht="30" customHeight="1">
      <c r="A972" s="17" t="s">
        <v>371</v>
      </c>
      <c r="B972" s="8">
        <v>40879</v>
      </c>
      <c r="C972" s="8" t="str">
        <f t="shared" si="45"/>
        <v>Friday</v>
      </c>
      <c r="D972" s="9">
        <v>1</v>
      </c>
      <c r="E972" s="9">
        <v>0</v>
      </c>
      <c r="F972" s="9">
        <v>2</v>
      </c>
      <c r="G972" s="7">
        <v>22</v>
      </c>
      <c r="H972" s="9" t="b">
        <v>0</v>
      </c>
      <c r="I972" s="9">
        <v>6</v>
      </c>
      <c r="J972" s="38" t="str">
        <f>CHOOSE(Table1[[#This Row],[Weekday]]+1,"Sunday","Monday","Tuesday","Wednesday","Thursday","Friday","Saturday")</f>
        <v>Saturday</v>
      </c>
      <c r="K972" s="9">
        <v>1</v>
      </c>
      <c r="L972" s="38" t="str">
        <f>IF(Table1[[#This Row],[Weather_code]]=1,"Clear",IF(Table1[[#This Row],[Weather_code]]=2,"Cloudy",IF(Table1[[#This Row],[Weather_code]]=3,"Light Rain",IF(Table1[[#This Row],[Weather_code]]=4,"Heavy Rain"))))</f>
        <v>Clear</v>
      </c>
      <c r="M972" s="9">
        <v>0.24</v>
      </c>
      <c r="N972" s="11" t="str">
        <f t="shared" si="46"/>
        <v>Winter</v>
      </c>
      <c r="O972" s="11" t="str">
        <f t="shared" si="47"/>
        <v>Weekday</v>
      </c>
      <c r="P972" s="9">
        <v>0.2576</v>
      </c>
      <c r="Q972" s="7">
        <f>Table1[[#This Row],[A_Temperature]]*41</f>
        <v>10.5616</v>
      </c>
      <c r="R972" s="9">
        <v>0.44</v>
      </c>
      <c r="S972" s="9">
        <v>8.9599999999999999E-2</v>
      </c>
      <c r="T972" s="9">
        <v>6</v>
      </c>
      <c r="U972" s="9">
        <v>39</v>
      </c>
      <c r="V972" s="19">
        <v>45</v>
      </c>
    </row>
    <row r="973" spans="1:22" s="13" customFormat="1" ht="30" customHeight="1">
      <c r="A973" s="17" t="s">
        <v>372</v>
      </c>
      <c r="B973" s="8">
        <v>40879</v>
      </c>
      <c r="C973" s="8" t="str">
        <f t="shared" si="45"/>
        <v>Friday</v>
      </c>
      <c r="D973" s="9">
        <v>1</v>
      </c>
      <c r="E973" s="9">
        <v>0</v>
      </c>
      <c r="F973" s="9">
        <v>2</v>
      </c>
      <c r="G973" s="7">
        <v>23</v>
      </c>
      <c r="H973" s="9" t="b">
        <v>0</v>
      </c>
      <c r="I973" s="9">
        <v>6</v>
      </c>
      <c r="J973" s="38" t="str">
        <f>CHOOSE(Table1[[#This Row],[Weekday]]+1,"Sunday","Monday","Tuesday","Wednesday","Thursday","Friday","Saturday")</f>
        <v>Saturday</v>
      </c>
      <c r="K973" s="9">
        <v>1</v>
      </c>
      <c r="L973" s="38" t="str">
        <f>IF(Table1[[#This Row],[Weather_code]]=1,"Clear",IF(Table1[[#This Row],[Weather_code]]=2,"Cloudy",IF(Table1[[#This Row],[Weather_code]]=3,"Light Rain",IF(Table1[[#This Row],[Weather_code]]=4,"Heavy Rain"))))</f>
        <v>Clear</v>
      </c>
      <c r="M973" s="9">
        <v>0.22</v>
      </c>
      <c r="N973" s="11" t="str">
        <f t="shared" si="46"/>
        <v>Winter</v>
      </c>
      <c r="O973" s="11" t="str">
        <f t="shared" si="47"/>
        <v>Weekday</v>
      </c>
      <c r="P973" s="9">
        <v>0.2273</v>
      </c>
      <c r="Q973" s="7">
        <f>Table1[[#This Row],[A_Temperature]]*41</f>
        <v>9.3193000000000001</v>
      </c>
      <c r="R973" s="9">
        <v>0.51</v>
      </c>
      <c r="S973" s="9">
        <v>0.1343</v>
      </c>
      <c r="T973" s="9">
        <v>1</v>
      </c>
      <c r="U973" s="9">
        <v>31</v>
      </c>
      <c r="V973" s="19">
        <v>32</v>
      </c>
    </row>
    <row r="974" spans="1:22" s="13" customFormat="1" ht="30" customHeight="1">
      <c r="A974" s="17" t="s">
        <v>373</v>
      </c>
      <c r="B974" s="8">
        <v>40587</v>
      </c>
      <c r="C974" s="8" t="str">
        <f t="shared" si="45"/>
        <v>Sunday</v>
      </c>
      <c r="D974" s="9">
        <v>1</v>
      </c>
      <c r="E974" s="9">
        <v>0</v>
      </c>
      <c r="F974" s="9">
        <v>2</v>
      </c>
      <c r="G974" s="7">
        <v>0</v>
      </c>
      <c r="H974" s="9" t="b">
        <v>0</v>
      </c>
      <c r="I974" s="9">
        <v>0</v>
      </c>
      <c r="J974" s="38" t="str">
        <f>CHOOSE(Table1[[#This Row],[Weekday]]+1,"Sunday","Monday","Tuesday","Wednesday","Thursday","Friday","Saturday")</f>
        <v>Sunday</v>
      </c>
      <c r="K974" s="9">
        <v>1</v>
      </c>
      <c r="L974" s="38" t="str">
        <f>IF(Table1[[#This Row],[Weather_code]]=1,"Clear",IF(Table1[[#This Row],[Weather_code]]=2,"Cloudy",IF(Table1[[#This Row],[Weather_code]]=3,"Light Rain",IF(Table1[[#This Row],[Weather_code]]=4,"Heavy Rain"))))</f>
        <v>Clear</v>
      </c>
      <c r="M974" s="9">
        <v>0.2</v>
      </c>
      <c r="N974" s="11" t="str">
        <f t="shared" si="46"/>
        <v>Winter</v>
      </c>
      <c r="O974" s="11" t="str">
        <f t="shared" si="47"/>
        <v>Weekend</v>
      </c>
      <c r="P974" s="9">
        <v>0.2273</v>
      </c>
      <c r="Q974" s="7">
        <f>Table1[[#This Row],[A_Temperature]]*41</f>
        <v>9.3193000000000001</v>
      </c>
      <c r="R974" s="9">
        <v>0.64</v>
      </c>
      <c r="S974" s="9">
        <v>0.1045</v>
      </c>
      <c r="T974" s="9">
        <v>5</v>
      </c>
      <c r="U974" s="9">
        <v>34</v>
      </c>
      <c r="V974" s="19">
        <v>39</v>
      </c>
    </row>
    <row r="975" spans="1:22" s="13" customFormat="1" ht="30" customHeight="1">
      <c r="A975" s="17" t="s">
        <v>374</v>
      </c>
      <c r="B975" s="8">
        <v>40587</v>
      </c>
      <c r="C975" s="8" t="str">
        <f t="shared" si="45"/>
        <v>Sunday</v>
      </c>
      <c r="D975" s="9">
        <v>1</v>
      </c>
      <c r="E975" s="9">
        <v>0</v>
      </c>
      <c r="F975" s="9">
        <v>2</v>
      </c>
      <c r="G975" s="7">
        <v>1</v>
      </c>
      <c r="H975" s="9" t="b">
        <v>0</v>
      </c>
      <c r="I975" s="9">
        <v>0</v>
      </c>
      <c r="J975" s="38" t="str">
        <f>CHOOSE(Table1[[#This Row],[Weekday]]+1,"Sunday","Monday","Tuesday","Wednesday","Thursday","Friday","Saturday")</f>
        <v>Sunday</v>
      </c>
      <c r="K975" s="9">
        <v>1</v>
      </c>
      <c r="L975" s="38" t="str">
        <f>IF(Table1[[#This Row],[Weather_code]]=1,"Clear",IF(Table1[[#This Row],[Weather_code]]=2,"Cloudy",IF(Table1[[#This Row],[Weather_code]]=3,"Light Rain",IF(Table1[[#This Row],[Weather_code]]=4,"Heavy Rain"))))</f>
        <v>Clear</v>
      </c>
      <c r="M975" s="9">
        <v>0.2</v>
      </c>
      <c r="N975" s="11" t="str">
        <f t="shared" si="46"/>
        <v>Winter</v>
      </c>
      <c r="O975" s="11" t="str">
        <f t="shared" si="47"/>
        <v>Weekend</v>
      </c>
      <c r="P975" s="9">
        <v>0.2273</v>
      </c>
      <c r="Q975" s="7">
        <f>Table1[[#This Row],[A_Temperature]]*41</f>
        <v>9.3193000000000001</v>
      </c>
      <c r="R975" s="9">
        <v>0.59</v>
      </c>
      <c r="S975" s="9">
        <v>8.9599999999999999E-2</v>
      </c>
      <c r="T975" s="9">
        <v>1</v>
      </c>
      <c r="U975" s="9">
        <v>23</v>
      </c>
      <c r="V975" s="19">
        <v>24</v>
      </c>
    </row>
    <row r="976" spans="1:22" s="13" customFormat="1" ht="30" customHeight="1">
      <c r="A976" s="17" t="s">
        <v>375</v>
      </c>
      <c r="B976" s="8">
        <v>40587</v>
      </c>
      <c r="C976" s="8" t="str">
        <f t="shared" si="45"/>
        <v>Sunday</v>
      </c>
      <c r="D976" s="9">
        <v>1</v>
      </c>
      <c r="E976" s="9">
        <v>0</v>
      </c>
      <c r="F976" s="9">
        <v>2</v>
      </c>
      <c r="G976" s="7">
        <v>2</v>
      </c>
      <c r="H976" s="9" t="b">
        <v>0</v>
      </c>
      <c r="I976" s="9">
        <v>0</v>
      </c>
      <c r="J976" s="38" t="str">
        <f>CHOOSE(Table1[[#This Row],[Weekday]]+1,"Sunday","Monday","Tuesday","Wednesday","Thursday","Friday","Saturday")</f>
        <v>Sunday</v>
      </c>
      <c r="K976" s="9">
        <v>2</v>
      </c>
      <c r="L976" s="38" t="str">
        <f>IF(Table1[[#This Row],[Weather_code]]=1,"Clear",IF(Table1[[#This Row],[Weather_code]]=2,"Cloudy",IF(Table1[[#This Row],[Weather_code]]=3,"Light Rain",IF(Table1[[#This Row],[Weather_code]]=4,"Heavy Rain"))))</f>
        <v>Cloudy</v>
      </c>
      <c r="M976" s="9">
        <v>0.2</v>
      </c>
      <c r="N976" s="11" t="str">
        <f t="shared" si="46"/>
        <v>Winter</v>
      </c>
      <c r="O976" s="11" t="str">
        <f t="shared" si="47"/>
        <v>Weekend</v>
      </c>
      <c r="P976" s="9">
        <v>0.2273</v>
      </c>
      <c r="Q976" s="7">
        <f>Table1[[#This Row],[A_Temperature]]*41</f>
        <v>9.3193000000000001</v>
      </c>
      <c r="R976" s="9">
        <v>0.75</v>
      </c>
      <c r="S976" s="9">
        <v>8.9599999999999999E-2</v>
      </c>
      <c r="T976" s="9">
        <v>1</v>
      </c>
      <c r="U976" s="9">
        <v>19</v>
      </c>
      <c r="V976" s="19">
        <v>20</v>
      </c>
    </row>
    <row r="977" spans="1:22" s="13" customFormat="1" ht="30" customHeight="1">
      <c r="A977" s="17" t="s">
        <v>376</v>
      </c>
      <c r="B977" s="8">
        <v>40587</v>
      </c>
      <c r="C977" s="8" t="str">
        <f t="shared" si="45"/>
        <v>Sunday</v>
      </c>
      <c r="D977" s="9">
        <v>1</v>
      </c>
      <c r="E977" s="9">
        <v>0</v>
      </c>
      <c r="F977" s="9">
        <v>2</v>
      </c>
      <c r="G977" s="7">
        <v>3</v>
      </c>
      <c r="H977" s="9" t="b">
        <v>0</v>
      </c>
      <c r="I977" s="9">
        <v>0</v>
      </c>
      <c r="J977" s="38" t="str">
        <f>CHOOSE(Table1[[#This Row],[Weekday]]+1,"Sunday","Monday","Tuesday","Wednesday","Thursday","Friday","Saturday")</f>
        <v>Sunday</v>
      </c>
      <c r="K977" s="9">
        <v>2</v>
      </c>
      <c r="L977" s="38" t="str">
        <f>IF(Table1[[#This Row],[Weather_code]]=1,"Clear",IF(Table1[[#This Row],[Weather_code]]=2,"Cloudy",IF(Table1[[#This Row],[Weather_code]]=3,"Light Rain",IF(Table1[[#This Row],[Weather_code]]=4,"Heavy Rain"))))</f>
        <v>Cloudy</v>
      </c>
      <c r="M977" s="9">
        <v>0.2</v>
      </c>
      <c r="N977" s="11" t="str">
        <f t="shared" si="46"/>
        <v>Winter</v>
      </c>
      <c r="O977" s="11" t="str">
        <f t="shared" si="47"/>
        <v>Weekend</v>
      </c>
      <c r="P977" s="9">
        <v>0.2273</v>
      </c>
      <c r="Q977" s="7">
        <f>Table1[[#This Row],[A_Temperature]]*41</f>
        <v>9.3193000000000001</v>
      </c>
      <c r="R977" s="9">
        <v>0.69</v>
      </c>
      <c r="S977" s="9">
        <v>0.1045</v>
      </c>
      <c r="T977" s="9">
        <v>4</v>
      </c>
      <c r="U977" s="9">
        <v>8</v>
      </c>
      <c r="V977" s="19">
        <v>12</v>
      </c>
    </row>
    <row r="978" spans="1:22" s="13" customFormat="1" ht="30" customHeight="1">
      <c r="A978" s="17" t="s">
        <v>377</v>
      </c>
      <c r="B978" s="8">
        <v>40587</v>
      </c>
      <c r="C978" s="8" t="str">
        <f t="shared" si="45"/>
        <v>Sunday</v>
      </c>
      <c r="D978" s="9">
        <v>1</v>
      </c>
      <c r="E978" s="9">
        <v>0</v>
      </c>
      <c r="F978" s="9">
        <v>2</v>
      </c>
      <c r="G978" s="7">
        <v>4</v>
      </c>
      <c r="H978" s="9" t="b">
        <v>0</v>
      </c>
      <c r="I978" s="9">
        <v>0</v>
      </c>
      <c r="J978" s="38" t="str">
        <f>CHOOSE(Table1[[#This Row],[Weekday]]+1,"Sunday","Monday","Tuesday","Wednesday","Thursday","Friday","Saturday")</f>
        <v>Sunday</v>
      </c>
      <c r="K978" s="9">
        <v>2</v>
      </c>
      <c r="L978" s="38" t="str">
        <f>IF(Table1[[#This Row],[Weather_code]]=1,"Clear",IF(Table1[[#This Row],[Weather_code]]=2,"Cloudy",IF(Table1[[#This Row],[Weather_code]]=3,"Light Rain",IF(Table1[[#This Row],[Weather_code]]=4,"Heavy Rain"))))</f>
        <v>Cloudy</v>
      </c>
      <c r="M978" s="9">
        <v>0.2</v>
      </c>
      <c r="N978" s="11" t="str">
        <f t="shared" si="46"/>
        <v>Winter</v>
      </c>
      <c r="O978" s="11" t="str">
        <f t="shared" si="47"/>
        <v>Weekend</v>
      </c>
      <c r="P978" s="9">
        <v>0.21210000000000001</v>
      </c>
      <c r="Q978" s="7">
        <f>Table1[[#This Row],[A_Temperature]]*41</f>
        <v>8.6961000000000013</v>
      </c>
      <c r="R978" s="9">
        <v>0.69</v>
      </c>
      <c r="S978" s="9">
        <v>0.16420000000000001</v>
      </c>
      <c r="T978" s="9">
        <v>0</v>
      </c>
      <c r="U978" s="9">
        <v>2</v>
      </c>
      <c r="V978" s="19">
        <v>2</v>
      </c>
    </row>
    <row r="979" spans="1:22" s="13" customFormat="1" ht="30" customHeight="1">
      <c r="A979" s="17" t="s">
        <v>378</v>
      </c>
      <c r="B979" s="8">
        <v>40587</v>
      </c>
      <c r="C979" s="8" t="str">
        <f t="shared" si="45"/>
        <v>Sunday</v>
      </c>
      <c r="D979" s="9">
        <v>1</v>
      </c>
      <c r="E979" s="9">
        <v>0</v>
      </c>
      <c r="F979" s="9">
        <v>2</v>
      </c>
      <c r="G979" s="7">
        <v>6</v>
      </c>
      <c r="H979" s="9" t="b">
        <v>0</v>
      </c>
      <c r="I979" s="9">
        <v>0</v>
      </c>
      <c r="J979" s="38" t="str">
        <f>CHOOSE(Table1[[#This Row],[Weekday]]+1,"Sunday","Monday","Tuesday","Wednesday","Thursday","Friday","Saturday")</f>
        <v>Sunday</v>
      </c>
      <c r="K979" s="9">
        <v>2</v>
      </c>
      <c r="L979" s="38" t="str">
        <f>IF(Table1[[#This Row],[Weather_code]]=1,"Clear",IF(Table1[[#This Row],[Weather_code]]=2,"Cloudy",IF(Table1[[#This Row],[Weather_code]]=3,"Light Rain",IF(Table1[[#This Row],[Weather_code]]=4,"Heavy Rain"))))</f>
        <v>Cloudy</v>
      </c>
      <c r="M979" s="9">
        <v>0.2</v>
      </c>
      <c r="N979" s="11" t="str">
        <f t="shared" si="46"/>
        <v>Winter</v>
      </c>
      <c r="O979" s="11" t="str">
        <f t="shared" si="47"/>
        <v>Weekend</v>
      </c>
      <c r="P979" s="9">
        <v>0.21210000000000001</v>
      </c>
      <c r="Q979" s="7">
        <f>Table1[[#This Row],[A_Temperature]]*41</f>
        <v>8.6961000000000013</v>
      </c>
      <c r="R979" s="9">
        <v>0.69</v>
      </c>
      <c r="S979" s="9">
        <v>0.1343</v>
      </c>
      <c r="T979" s="9">
        <v>2</v>
      </c>
      <c r="U979" s="9">
        <v>3</v>
      </c>
      <c r="V979" s="19">
        <v>5</v>
      </c>
    </row>
    <row r="980" spans="1:22" s="13" customFormat="1" ht="30" customHeight="1">
      <c r="A980" s="17" t="s">
        <v>379</v>
      </c>
      <c r="B980" s="8">
        <v>40587</v>
      </c>
      <c r="C980" s="8" t="str">
        <f t="shared" si="45"/>
        <v>Sunday</v>
      </c>
      <c r="D980" s="9">
        <v>1</v>
      </c>
      <c r="E980" s="9">
        <v>0</v>
      </c>
      <c r="F980" s="9">
        <v>2</v>
      </c>
      <c r="G980" s="7">
        <v>7</v>
      </c>
      <c r="H980" s="9" t="b">
        <v>0</v>
      </c>
      <c r="I980" s="9">
        <v>0</v>
      </c>
      <c r="J980" s="38" t="str">
        <f>CHOOSE(Table1[[#This Row],[Weekday]]+1,"Sunday","Monday","Tuesday","Wednesday","Thursday","Friday","Saturday")</f>
        <v>Sunday</v>
      </c>
      <c r="K980" s="9">
        <v>2</v>
      </c>
      <c r="L980" s="38" t="str">
        <f>IF(Table1[[#This Row],[Weather_code]]=1,"Clear",IF(Table1[[#This Row],[Weather_code]]=2,"Cloudy",IF(Table1[[#This Row],[Weather_code]]=3,"Light Rain",IF(Table1[[#This Row],[Weather_code]]=4,"Heavy Rain"))))</f>
        <v>Cloudy</v>
      </c>
      <c r="M980" s="9">
        <v>0.22</v>
      </c>
      <c r="N980" s="11" t="str">
        <f t="shared" si="46"/>
        <v>Winter</v>
      </c>
      <c r="O980" s="11" t="str">
        <f t="shared" si="47"/>
        <v>Weekend</v>
      </c>
      <c r="P980" s="9">
        <v>0.2727</v>
      </c>
      <c r="Q980" s="7">
        <f>Table1[[#This Row],[A_Temperature]]*41</f>
        <v>11.1807</v>
      </c>
      <c r="R980" s="9">
        <v>0.55000000000000004</v>
      </c>
      <c r="S980" s="9">
        <v>0</v>
      </c>
      <c r="T980" s="9">
        <v>0</v>
      </c>
      <c r="U980" s="9">
        <v>3</v>
      </c>
      <c r="V980" s="19">
        <v>3</v>
      </c>
    </row>
    <row r="981" spans="1:22" s="13" customFormat="1" ht="30" customHeight="1">
      <c r="A981" s="17" t="s">
        <v>380</v>
      </c>
      <c r="B981" s="8">
        <v>40587</v>
      </c>
      <c r="C981" s="8" t="str">
        <f t="shared" si="45"/>
        <v>Sunday</v>
      </c>
      <c r="D981" s="9">
        <v>1</v>
      </c>
      <c r="E981" s="9">
        <v>0</v>
      </c>
      <c r="F981" s="9">
        <v>2</v>
      </c>
      <c r="G981" s="7">
        <v>8</v>
      </c>
      <c r="H981" s="9" t="b">
        <v>0</v>
      </c>
      <c r="I981" s="9">
        <v>0</v>
      </c>
      <c r="J981" s="38" t="str">
        <f>CHOOSE(Table1[[#This Row],[Weekday]]+1,"Sunday","Monday","Tuesday","Wednesday","Thursday","Friday","Saturday")</f>
        <v>Sunday</v>
      </c>
      <c r="K981" s="9">
        <v>2</v>
      </c>
      <c r="L981" s="38" t="str">
        <f>IF(Table1[[#This Row],[Weather_code]]=1,"Clear",IF(Table1[[#This Row],[Weather_code]]=2,"Cloudy",IF(Table1[[#This Row],[Weather_code]]=3,"Light Rain",IF(Table1[[#This Row],[Weather_code]]=4,"Heavy Rain"))))</f>
        <v>Cloudy</v>
      </c>
      <c r="M981" s="9">
        <v>0.22</v>
      </c>
      <c r="N981" s="11" t="str">
        <f t="shared" si="46"/>
        <v>Winter</v>
      </c>
      <c r="O981" s="11" t="str">
        <f t="shared" si="47"/>
        <v>Weekend</v>
      </c>
      <c r="P981" s="9">
        <v>0.2273</v>
      </c>
      <c r="Q981" s="7">
        <f>Table1[[#This Row],[A_Temperature]]*41</f>
        <v>9.3193000000000001</v>
      </c>
      <c r="R981" s="9">
        <v>0.64</v>
      </c>
      <c r="S981" s="9">
        <v>0.19400000000000001</v>
      </c>
      <c r="T981" s="9">
        <v>1</v>
      </c>
      <c r="U981" s="9">
        <v>11</v>
      </c>
      <c r="V981" s="19">
        <v>12</v>
      </c>
    </row>
    <row r="982" spans="1:22" s="13" customFormat="1" ht="30" customHeight="1">
      <c r="A982" s="17" t="s">
        <v>381</v>
      </c>
      <c r="B982" s="8">
        <v>40587</v>
      </c>
      <c r="C982" s="8" t="str">
        <f t="shared" si="45"/>
        <v>Sunday</v>
      </c>
      <c r="D982" s="9">
        <v>1</v>
      </c>
      <c r="E982" s="9">
        <v>0</v>
      </c>
      <c r="F982" s="9">
        <v>2</v>
      </c>
      <c r="G982" s="7">
        <v>9</v>
      </c>
      <c r="H982" s="9" t="b">
        <v>0</v>
      </c>
      <c r="I982" s="9">
        <v>0</v>
      </c>
      <c r="J982" s="38" t="str">
        <f>CHOOSE(Table1[[#This Row],[Weekday]]+1,"Sunday","Monday","Tuesday","Wednesday","Thursday","Friday","Saturday")</f>
        <v>Sunday</v>
      </c>
      <c r="K982" s="9">
        <v>2</v>
      </c>
      <c r="L982" s="38" t="str">
        <f>IF(Table1[[#This Row],[Weather_code]]=1,"Clear",IF(Table1[[#This Row],[Weather_code]]=2,"Cloudy",IF(Table1[[#This Row],[Weather_code]]=3,"Light Rain",IF(Table1[[#This Row],[Weather_code]]=4,"Heavy Rain"))))</f>
        <v>Cloudy</v>
      </c>
      <c r="M982" s="9">
        <v>0.24</v>
      </c>
      <c r="N982" s="11" t="str">
        <f t="shared" si="46"/>
        <v>Winter</v>
      </c>
      <c r="O982" s="11" t="str">
        <f t="shared" si="47"/>
        <v>Weekend</v>
      </c>
      <c r="P982" s="9">
        <v>0.2273</v>
      </c>
      <c r="Q982" s="7">
        <f>Table1[[#This Row],[A_Temperature]]*41</f>
        <v>9.3193000000000001</v>
      </c>
      <c r="R982" s="9">
        <v>0.6</v>
      </c>
      <c r="S982" s="9">
        <v>0.22389999999999999</v>
      </c>
      <c r="T982" s="9">
        <v>12</v>
      </c>
      <c r="U982" s="9">
        <v>35</v>
      </c>
      <c r="V982" s="19">
        <v>47</v>
      </c>
    </row>
    <row r="983" spans="1:22" s="13" customFormat="1" ht="30" customHeight="1">
      <c r="A983" s="17" t="s">
        <v>382</v>
      </c>
      <c r="B983" s="8">
        <v>40587</v>
      </c>
      <c r="C983" s="8" t="str">
        <f t="shared" si="45"/>
        <v>Sunday</v>
      </c>
      <c r="D983" s="9">
        <v>1</v>
      </c>
      <c r="E983" s="9">
        <v>0</v>
      </c>
      <c r="F983" s="9">
        <v>2</v>
      </c>
      <c r="G983" s="7">
        <v>10</v>
      </c>
      <c r="H983" s="9" t="b">
        <v>0</v>
      </c>
      <c r="I983" s="9">
        <v>0</v>
      </c>
      <c r="J983" s="38" t="str">
        <f>CHOOSE(Table1[[#This Row],[Weekday]]+1,"Sunday","Monday","Tuesday","Wednesday","Thursday","Friday","Saturday")</f>
        <v>Sunday</v>
      </c>
      <c r="K983" s="9">
        <v>1</v>
      </c>
      <c r="L983" s="38" t="str">
        <f>IF(Table1[[#This Row],[Weather_code]]=1,"Clear",IF(Table1[[#This Row],[Weather_code]]=2,"Cloudy",IF(Table1[[#This Row],[Weather_code]]=3,"Light Rain",IF(Table1[[#This Row],[Weather_code]]=4,"Heavy Rain"))))</f>
        <v>Clear</v>
      </c>
      <c r="M983" s="9">
        <v>0.3</v>
      </c>
      <c r="N983" s="11" t="str">
        <f t="shared" si="46"/>
        <v>Winter</v>
      </c>
      <c r="O983" s="11" t="str">
        <f t="shared" si="47"/>
        <v>Weekend</v>
      </c>
      <c r="P983" s="9">
        <v>0.2727</v>
      </c>
      <c r="Q983" s="7">
        <f>Table1[[#This Row],[A_Temperature]]*41</f>
        <v>11.1807</v>
      </c>
      <c r="R983" s="9">
        <v>0.45</v>
      </c>
      <c r="S983" s="9">
        <v>0.32840000000000003</v>
      </c>
      <c r="T983" s="9">
        <v>19</v>
      </c>
      <c r="U983" s="9">
        <v>86</v>
      </c>
      <c r="V983" s="19">
        <v>105</v>
      </c>
    </row>
    <row r="984" spans="1:22" s="13" customFormat="1" ht="30" customHeight="1">
      <c r="A984" s="17" t="s">
        <v>383</v>
      </c>
      <c r="B984" s="8">
        <v>40587</v>
      </c>
      <c r="C984" s="8" t="str">
        <f t="shared" si="45"/>
        <v>Sunday</v>
      </c>
      <c r="D984" s="9">
        <v>1</v>
      </c>
      <c r="E984" s="9">
        <v>0</v>
      </c>
      <c r="F984" s="9">
        <v>2</v>
      </c>
      <c r="G984" s="7">
        <v>11</v>
      </c>
      <c r="H984" s="9" t="b">
        <v>0</v>
      </c>
      <c r="I984" s="9">
        <v>0</v>
      </c>
      <c r="J984" s="38" t="str">
        <f>CHOOSE(Table1[[#This Row],[Weekday]]+1,"Sunday","Monday","Tuesday","Wednesday","Thursday","Friday","Saturday")</f>
        <v>Sunday</v>
      </c>
      <c r="K984" s="9">
        <v>1</v>
      </c>
      <c r="L984" s="38" t="str">
        <f>IF(Table1[[#This Row],[Weather_code]]=1,"Clear",IF(Table1[[#This Row],[Weather_code]]=2,"Cloudy",IF(Table1[[#This Row],[Weather_code]]=3,"Light Rain",IF(Table1[[#This Row],[Weather_code]]=4,"Heavy Rain"))))</f>
        <v>Clear</v>
      </c>
      <c r="M984" s="9">
        <v>0.32</v>
      </c>
      <c r="N984" s="11" t="str">
        <f t="shared" si="46"/>
        <v>Winter</v>
      </c>
      <c r="O984" s="11" t="str">
        <f t="shared" si="47"/>
        <v>Weekend</v>
      </c>
      <c r="P984" s="9">
        <v>0.28789999999999999</v>
      </c>
      <c r="Q984" s="7">
        <f>Table1[[#This Row],[A_Temperature]]*41</f>
        <v>11.803899999999999</v>
      </c>
      <c r="R984" s="9">
        <v>0.39</v>
      </c>
      <c r="S984" s="9">
        <v>0.44779999999999998</v>
      </c>
      <c r="T984" s="9">
        <v>26</v>
      </c>
      <c r="U984" s="9">
        <v>86</v>
      </c>
      <c r="V984" s="19">
        <v>112</v>
      </c>
    </row>
    <row r="985" spans="1:22" s="13" customFormat="1" ht="30" customHeight="1">
      <c r="A985" s="17" t="s">
        <v>384</v>
      </c>
      <c r="B985" s="8">
        <v>40587</v>
      </c>
      <c r="C985" s="8" t="str">
        <f t="shared" si="45"/>
        <v>Sunday</v>
      </c>
      <c r="D985" s="9">
        <v>1</v>
      </c>
      <c r="E985" s="9">
        <v>0</v>
      </c>
      <c r="F985" s="9">
        <v>2</v>
      </c>
      <c r="G985" s="7">
        <v>12</v>
      </c>
      <c r="H985" s="9" t="b">
        <v>0</v>
      </c>
      <c r="I985" s="9">
        <v>0</v>
      </c>
      <c r="J985" s="38" t="str">
        <f>CHOOSE(Table1[[#This Row],[Weekday]]+1,"Sunday","Monday","Tuesday","Wednesday","Thursday","Friday","Saturday")</f>
        <v>Sunday</v>
      </c>
      <c r="K985" s="9">
        <v>1</v>
      </c>
      <c r="L985" s="38" t="str">
        <f>IF(Table1[[#This Row],[Weather_code]]=1,"Clear",IF(Table1[[#This Row],[Weather_code]]=2,"Cloudy",IF(Table1[[#This Row],[Weather_code]]=3,"Light Rain",IF(Table1[[#This Row],[Weather_code]]=4,"Heavy Rain"))))</f>
        <v>Clear</v>
      </c>
      <c r="M985" s="9">
        <v>0.36</v>
      </c>
      <c r="N985" s="11" t="str">
        <f t="shared" si="46"/>
        <v>Winter</v>
      </c>
      <c r="O985" s="11" t="str">
        <f t="shared" si="47"/>
        <v>Weekend</v>
      </c>
      <c r="P985" s="9">
        <v>0.31819999999999998</v>
      </c>
      <c r="Q985" s="7">
        <f>Table1[[#This Row],[A_Temperature]]*41</f>
        <v>13.046199999999999</v>
      </c>
      <c r="R985" s="9">
        <v>0.32</v>
      </c>
      <c r="S985" s="9">
        <v>0.4627</v>
      </c>
      <c r="T985" s="9">
        <v>58</v>
      </c>
      <c r="U985" s="9">
        <v>94</v>
      </c>
      <c r="V985" s="19">
        <v>152</v>
      </c>
    </row>
    <row r="986" spans="1:22" s="13" customFormat="1" ht="30" customHeight="1">
      <c r="A986" s="17" t="s">
        <v>385</v>
      </c>
      <c r="B986" s="8">
        <v>40587</v>
      </c>
      <c r="C986" s="8" t="str">
        <f t="shared" si="45"/>
        <v>Sunday</v>
      </c>
      <c r="D986" s="9">
        <v>1</v>
      </c>
      <c r="E986" s="9">
        <v>0</v>
      </c>
      <c r="F986" s="9">
        <v>2</v>
      </c>
      <c r="G986" s="7">
        <v>13</v>
      </c>
      <c r="H986" s="9" t="b">
        <v>0</v>
      </c>
      <c r="I986" s="9">
        <v>0</v>
      </c>
      <c r="J986" s="38" t="str">
        <f>CHOOSE(Table1[[#This Row],[Weekday]]+1,"Sunday","Monday","Tuesday","Wednesday","Thursday","Friday","Saturday")</f>
        <v>Sunday</v>
      </c>
      <c r="K986" s="9">
        <v>1</v>
      </c>
      <c r="L986" s="38" t="str">
        <f>IF(Table1[[#This Row],[Weather_code]]=1,"Clear",IF(Table1[[#This Row],[Weather_code]]=2,"Cloudy",IF(Table1[[#This Row],[Weather_code]]=3,"Light Rain",IF(Table1[[#This Row],[Weather_code]]=4,"Heavy Rain"))))</f>
        <v>Clear</v>
      </c>
      <c r="M986" s="9">
        <v>0.38</v>
      </c>
      <c r="N986" s="11" t="str">
        <f t="shared" si="46"/>
        <v>Winter</v>
      </c>
      <c r="O986" s="11" t="str">
        <f t="shared" si="47"/>
        <v>Weekend</v>
      </c>
      <c r="P986" s="9">
        <v>0.39389999999999997</v>
      </c>
      <c r="Q986" s="7">
        <f>Table1[[#This Row],[A_Temperature]]*41</f>
        <v>16.149899999999999</v>
      </c>
      <c r="R986" s="9">
        <v>0.28999999999999998</v>
      </c>
      <c r="S986" s="9">
        <v>0.35820000000000002</v>
      </c>
      <c r="T986" s="9">
        <v>62</v>
      </c>
      <c r="U986" s="9">
        <v>92</v>
      </c>
      <c r="V986" s="19">
        <v>154</v>
      </c>
    </row>
    <row r="987" spans="1:22" s="13" customFormat="1" ht="30" customHeight="1">
      <c r="A987" s="17" t="s">
        <v>386</v>
      </c>
      <c r="B987" s="8">
        <v>40587</v>
      </c>
      <c r="C987" s="8" t="str">
        <f t="shared" si="45"/>
        <v>Sunday</v>
      </c>
      <c r="D987" s="9">
        <v>1</v>
      </c>
      <c r="E987" s="9">
        <v>0</v>
      </c>
      <c r="F987" s="9">
        <v>2</v>
      </c>
      <c r="G987" s="7">
        <v>14</v>
      </c>
      <c r="H987" s="9" t="b">
        <v>0</v>
      </c>
      <c r="I987" s="9">
        <v>0</v>
      </c>
      <c r="J987" s="38" t="str">
        <f>CHOOSE(Table1[[#This Row],[Weekday]]+1,"Sunday","Monday","Tuesday","Wednesday","Thursday","Friday","Saturday")</f>
        <v>Sunday</v>
      </c>
      <c r="K987" s="9">
        <v>2</v>
      </c>
      <c r="L987" s="38" t="str">
        <f>IF(Table1[[#This Row],[Weather_code]]=1,"Clear",IF(Table1[[#This Row],[Weather_code]]=2,"Cloudy",IF(Table1[[#This Row],[Weather_code]]=3,"Light Rain",IF(Table1[[#This Row],[Weather_code]]=4,"Heavy Rain"))))</f>
        <v>Cloudy</v>
      </c>
      <c r="M987" s="9">
        <v>0.4</v>
      </c>
      <c r="N987" s="11" t="str">
        <f t="shared" si="46"/>
        <v>Winter</v>
      </c>
      <c r="O987" s="11" t="str">
        <f t="shared" si="47"/>
        <v>Weekend</v>
      </c>
      <c r="P987" s="9">
        <v>0.40910000000000002</v>
      </c>
      <c r="Q987" s="7">
        <f>Table1[[#This Row],[A_Temperature]]*41</f>
        <v>16.773099999999999</v>
      </c>
      <c r="R987" s="9">
        <v>0.3</v>
      </c>
      <c r="S987" s="9">
        <v>0.41789999999999999</v>
      </c>
      <c r="T987" s="9">
        <v>51</v>
      </c>
      <c r="U987" s="9">
        <v>110</v>
      </c>
      <c r="V987" s="19">
        <v>161</v>
      </c>
    </row>
    <row r="988" spans="1:22" s="13" customFormat="1" ht="30" customHeight="1">
      <c r="A988" s="17" t="s">
        <v>387</v>
      </c>
      <c r="B988" s="8">
        <v>40587</v>
      </c>
      <c r="C988" s="8" t="str">
        <f t="shared" si="45"/>
        <v>Sunday</v>
      </c>
      <c r="D988" s="9">
        <v>1</v>
      </c>
      <c r="E988" s="9">
        <v>0</v>
      </c>
      <c r="F988" s="9">
        <v>2</v>
      </c>
      <c r="G988" s="7">
        <v>15</v>
      </c>
      <c r="H988" s="9" t="b">
        <v>0</v>
      </c>
      <c r="I988" s="9">
        <v>0</v>
      </c>
      <c r="J988" s="38" t="str">
        <f>CHOOSE(Table1[[#This Row],[Weekday]]+1,"Sunday","Monday","Tuesday","Wednesday","Thursday","Friday","Saturday")</f>
        <v>Sunday</v>
      </c>
      <c r="K988" s="9">
        <v>2</v>
      </c>
      <c r="L988" s="38" t="str">
        <f>IF(Table1[[#This Row],[Weather_code]]=1,"Clear",IF(Table1[[#This Row],[Weather_code]]=2,"Cloudy",IF(Table1[[#This Row],[Weather_code]]=3,"Light Rain",IF(Table1[[#This Row],[Weather_code]]=4,"Heavy Rain"))))</f>
        <v>Cloudy</v>
      </c>
      <c r="M988" s="9">
        <v>0.4</v>
      </c>
      <c r="N988" s="11" t="str">
        <f t="shared" si="46"/>
        <v>Winter</v>
      </c>
      <c r="O988" s="11" t="str">
        <f t="shared" si="47"/>
        <v>Weekend</v>
      </c>
      <c r="P988" s="9">
        <v>0.40910000000000002</v>
      </c>
      <c r="Q988" s="7">
        <f>Table1[[#This Row],[A_Temperature]]*41</f>
        <v>16.773099999999999</v>
      </c>
      <c r="R988" s="9">
        <v>0.3</v>
      </c>
      <c r="S988" s="9">
        <v>0.29849999999999999</v>
      </c>
      <c r="T988" s="9">
        <v>40</v>
      </c>
      <c r="U988" s="9">
        <v>122</v>
      </c>
      <c r="V988" s="19">
        <v>162</v>
      </c>
    </row>
    <row r="989" spans="1:22" s="13" customFormat="1" ht="30" customHeight="1">
      <c r="A989" s="17" t="s">
        <v>388</v>
      </c>
      <c r="B989" s="8">
        <v>40587</v>
      </c>
      <c r="C989" s="8" t="str">
        <f t="shared" ref="C989:C1004" si="48">TEXT(B989,"DDDD")</f>
        <v>Sunday</v>
      </c>
      <c r="D989" s="9">
        <v>1</v>
      </c>
      <c r="E989" s="9">
        <v>0</v>
      </c>
      <c r="F989" s="9">
        <v>2</v>
      </c>
      <c r="G989" s="7">
        <v>16</v>
      </c>
      <c r="H989" s="9" t="b">
        <v>0</v>
      </c>
      <c r="I989" s="9">
        <v>0</v>
      </c>
      <c r="J989" s="38" t="str">
        <f>CHOOSE(Table1[[#This Row],[Weekday]]+1,"Sunday","Monday","Tuesday","Wednesday","Thursday","Friday","Saturday")</f>
        <v>Sunday</v>
      </c>
      <c r="K989" s="9">
        <v>2</v>
      </c>
      <c r="L989" s="38" t="str">
        <f>IF(Table1[[#This Row],[Weather_code]]=1,"Clear",IF(Table1[[#This Row],[Weather_code]]=2,"Cloudy",IF(Table1[[#This Row],[Weather_code]]=3,"Light Rain",IF(Table1[[#This Row],[Weather_code]]=4,"Heavy Rain"))))</f>
        <v>Cloudy</v>
      </c>
      <c r="M989" s="9">
        <v>0.42</v>
      </c>
      <c r="N989" s="11" t="str">
        <f t="shared" si="46"/>
        <v>Winter</v>
      </c>
      <c r="O989" s="11" t="str">
        <f t="shared" si="47"/>
        <v>Weekend</v>
      </c>
      <c r="P989" s="9">
        <v>0.42420000000000002</v>
      </c>
      <c r="Q989" s="7">
        <f>Table1[[#This Row],[A_Temperature]]*41</f>
        <v>17.392200000000003</v>
      </c>
      <c r="R989" s="9">
        <v>0.28000000000000003</v>
      </c>
      <c r="S989" s="9">
        <v>0.32840000000000003</v>
      </c>
      <c r="T989" s="9">
        <v>28</v>
      </c>
      <c r="U989" s="9">
        <v>106</v>
      </c>
      <c r="V989" s="19">
        <v>134</v>
      </c>
    </row>
    <row r="990" spans="1:22" s="13" customFormat="1" ht="30" customHeight="1">
      <c r="A990" s="17" t="s">
        <v>389</v>
      </c>
      <c r="B990" s="8">
        <v>40587</v>
      </c>
      <c r="C990" s="8" t="str">
        <f t="shared" si="48"/>
        <v>Sunday</v>
      </c>
      <c r="D990" s="9">
        <v>1</v>
      </c>
      <c r="E990" s="9">
        <v>0</v>
      </c>
      <c r="F990" s="9">
        <v>2</v>
      </c>
      <c r="G990" s="7">
        <v>17</v>
      </c>
      <c r="H990" s="9" t="b">
        <v>0</v>
      </c>
      <c r="I990" s="9">
        <v>0</v>
      </c>
      <c r="J990" s="38" t="str">
        <f>CHOOSE(Table1[[#This Row],[Weekday]]+1,"Sunday","Monday","Tuesday","Wednesday","Thursday","Friday","Saturday")</f>
        <v>Sunday</v>
      </c>
      <c r="K990" s="9">
        <v>1</v>
      </c>
      <c r="L990" s="38" t="str">
        <f>IF(Table1[[#This Row],[Weather_code]]=1,"Clear",IF(Table1[[#This Row],[Weather_code]]=2,"Cloudy",IF(Table1[[#This Row],[Weather_code]]=3,"Light Rain",IF(Table1[[#This Row],[Weather_code]]=4,"Heavy Rain"))))</f>
        <v>Clear</v>
      </c>
      <c r="M990" s="9">
        <v>0.42</v>
      </c>
      <c r="N990" s="11" t="str">
        <f t="shared" si="46"/>
        <v>Winter</v>
      </c>
      <c r="O990" s="11" t="str">
        <f t="shared" si="47"/>
        <v>Weekend</v>
      </c>
      <c r="P990" s="9">
        <v>0.42420000000000002</v>
      </c>
      <c r="Q990" s="7">
        <f>Table1[[#This Row],[A_Temperature]]*41</f>
        <v>17.392200000000003</v>
      </c>
      <c r="R990" s="9">
        <v>0.28000000000000003</v>
      </c>
      <c r="S990" s="9">
        <v>0.32840000000000003</v>
      </c>
      <c r="T990" s="9">
        <v>30</v>
      </c>
      <c r="U990" s="9">
        <v>95</v>
      </c>
      <c r="V990" s="19">
        <v>125</v>
      </c>
    </row>
    <row r="991" spans="1:22" s="13" customFormat="1" ht="30" customHeight="1">
      <c r="A991" s="17" t="s">
        <v>390</v>
      </c>
      <c r="B991" s="8">
        <v>40587</v>
      </c>
      <c r="C991" s="8" t="str">
        <f t="shared" si="48"/>
        <v>Sunday</v>
      </c>
      <c r="D991" s="9">
        <v>1</v>
      </c>
      <c r="E991" s="9">
        <v>0</v>
      </c>
      <c r="F991" s="9">
        <v>2</v>
      </c>
      <c r="G991" s="7">
        <v>18</v>
      </c>
      <c r="H991" s="9" t="b">
        <v>0</v>
      </c>
      <c r="I991" s="9">
        <v>0</v>
      </c>
      <c r="J991" s="38" t="str">
        <f>CHOOSE(Table1[[#This Row],[Weekday]]+1,"Sunday","Monday","Tuesday","Wednesday","Thursday","Friday","Saturday")</f>
        <v>Sunday</v>
      </c>
      <c r="K991" s="9">
        <v>1</v>
      </c>
      <c r="L991" s="38" t="str">
        <f>IF(Table1[[#This Row],[Weather_code]]=1,"Clear",IF(Table1[[#This Row],[Weather_code]]=2,"Cloudy",IF(Table1[[#This Row],[Weather_code]]=3,"Light Rain",IF(Table1[[#This Row],[Weather_code]]=4,"Heavy Rain"))))</f>
        <v>Clear</v>
      </c>
      <c r="M991" s="9">
        <v>0.4</v>
      </c>
      <c r="N991" s="11" t="str">
        <f t="shared" si="46"/>
        <v>Winter</v>
      </c>
      <c r="O991" s="11" t="str">
        <f t="shared" si="47"/>
        <v>Weekend</v>
      </c>
      <c r="P991" s="9">
        <v>0.40910000000000002</v>
      </c>
      <c r="Q991" s="7">
        <f>Table1[[#This Row],[A_Temperature]]*41</f>
        <v>16.773099999999999</v>
      </c>
      <c r="R991" s="9">
        <v>0.32</v>
      </c>
      <c r="S991" s="9">
        <v>0.29849999999999999</v>
      </c>
      <c r="T991" s="9">
        <v>17</v>
      </c>
      <c r="U991" s="9">
        <v>78</v>
      </c>
      <c r="V991" s="19">
        <v>95</v>
      </c>
    </row>
    <row r="992" spans="1:22" s="13" customFormat="1" ht="30" customHeight="1">
      <c r="A992" s="17" t="s">
        <v>391</v>
      </c>
      <c r="B992" s="8">
        <v>40587</v>
      </c>
      <c r="C992" s="8" t="str">
        <f t="shared" si="48"/>
        <v>Sunday</v>
      </c>
      <c r="D992" s="9">
        <v>1</v>
      </c>
      <c r="E992" s="9">
        <v>0</v>
      </c>
      <c r="F992" s="9">
        <v>2</v>
      </c>
      <c r="G992" s="7">
        <v>19</v>
      </c>
      <c r="H992" s="9" t="b">
        <v>0</v>
      </c>
      <c r="I992" s="9">
        <v>0</v>
      </c>
      <c r="J992" s="38" t="str">
        <f>CHOOSE(Table1[[#This Row],[Weekday]]+1,"Sunday","Monday","Tuesday","Wednesday","Thursday","Friday","Saturday")</f>
        <v>Sunday</v>
      </c>
      <c r="K992" s="9">
        <v>1</v>
      </c>
      <c r="L992" s="38" t="str">
        <f>IF(Table1[[#This Row],[Weather_code]]=1,"Clear",IF(Table1[[#This Row],[Weather_code]]=2,"Cloudy",IF(Table1[[#This Row],[Weather_code]]=3,"Light Rain",IF(Table1[[#This Row],[Weather_code]]=4,"Heavy Rain"))))</f>
        <v>Clear</v>
      </c>
      <c r="M992" s="9">
        <v>0.4</v>
      </c>
      <c r="N992" s="11" t="str">
        <f t="shared" si="46"/>
        <v>Winter</v>
      </c>
      <c r="O992" s="11" t="str">
        <f t="shared" si="47"/>
        <v>Weekend</v>
      </c>
      <c r="P992" s="9">
        <v>0.40910000000000002</v>
      </c>
      <c r="Q992" s="7">
        <f>Table1[[#This Row],[A_Temperature]]*41</f>
        <v>16.773099999999999</v>
      </c>
      <c r="R992" s="9">
        <v>0.35</v>
      </c>
      <c r="S992" s="9">
        <v>0.28360000000000002</v>
      </c>
      <c r="T992" s="9">
        <v>11</v>
      </c>
      <c r="U992" s="9">
        <v>50</v>
      </c>
      <c r="V992" s="19">
        <v>61</v>
      </c>
    </row>
    <row r="993" spans="1:22" s="13" customFormat="1" ht="30" customHeight="1">
      <c r="A993" s="17" t="s">
        <v>392</v>
      </c>
      <c r="B993" s="8">
        <v>40587</v>
      </c>
      <c r="C993" s="8" t="str">
        <f t="shared" si="48"/>
        <v>Sunday</v>
      </c>
      <c r="D993" s="9">
        <v>1</v>
      </c>
      <c r="E993" s="9">
        <v>0</v>
      </c>
      <c r="F993" s="9">
        <v>2</v>
      </c>
      <c r="G993" s="7">
        <v>20</v>
      </c>
      <c r="H993" s="9" t="b">
        <v>0</v>
      </c>
      <c r="I993" s="9">
        <v>0</v>
      </c>
      <c r="J993" s="38" t="str">
        <f>CHOOSE(Table1[[#This Row],[Weekday]]+1,"Sunday","Monday","Tuesday","Wednesday","Thursday","Friday","Saturday")</f>
        <v>Sunday</v>
      </c>
      <c r="K993" s="9">
        <v>1</v>
      </c>
      <c r="L993" s="38" t="str">
        <f>IF(Table1[[#This Row],[Weather_code]]=1,"Clear",IF(Table1[[#This Row],[Weather_code]]=2,"Cloudy",IF(Table1[[#This Row],[Weather_code]]=3,"Light Rain",IF(Table1[[#This Row],[Weather_code]]=4,"Heavy Rain"))))</f>
        <v>Clear</v>
      </c>
      <c r="M993" s="9">
        <v>0.4</v>
      </c>
      <c r="N993" s="11" t="str">
        <f t="shared" si="46"/>
        <v>Winter</v>
      </c>
      <c r="O993" s="11" t="str">
        <f t="shared" si="47"/>
        <v>Weekend</v>
      </c>
      <c r="P993" s="9">
        <v>0.40910000000000002</v>
      </c>
      <c r="Q993" s="7">
        <f>Table1[[#This Row],[A_Temperature]]*41</f>
        <v>16.773099999999999</v>
      </c>
      <c r="R993" s="9">
        <v>0.35</v>
      </c>
      <c r="S993" s="9">
        <v>0.32840000000000003</v>
      </c>
      <c r="T993" s="9">
        <v>15</v>
      </c>
      <c r="U993" s="9">
        <v>32</v>
      </c>
      <c r="V993" s="19">
        <v>47</v>
      </c>
    </row>
    <row r="994" spans="1:22" s="13" customFormat="1" ht="30" customHeight="1">
      <c r="A994" s="17" t="s">
        <v>393</v>
      </c>
      <c r="B994" s="8">
        <v>40587</v>
      </c>
      <c r="C994" s="8" t="str">
        <f t="shared" si="48"/>
        <v>Sunday</v>
      </c>
      <c r="D994" s="9">
        <v>1</v>
      </c>
      <c r="E994" s="9">
        <v>0</v>
      </c>
      <c r="F994" s="9">
        <v>2</v>
      </c>
      <c r="G994" s="7">
        <v>21</v>
      </c>
      <c r="H994" s="9" t="b">
        <v>0</v>
      </c>
      <c r="I994" s="9">
        <v>0</v>
      </c>
      <c r="J994" s="38" t="str">
        <f>CHOOSE(Table1[[#This Row],[Weekday]]+1,"Sunday","Monday","Tuesday","Wednesday","Thursday","Friday","Saturday")</f>
        <v>Sunday</v>
      </c>
      <c r="K994" s="9">
        <v>1</v>
      </c>
      <c r="L994" s="38" t="str">
        <f>IF(Table1[[#This Row],[Weather_code]]=1,"Clear",IF(Table1[[#This Row],[Weather_code]]=2,"Cloudy",IF(Table1[[#This Row],[Weather_code]]=3,"Light Rain",IF(Table1[[#This Row],[Weather_code]]=4,"Heavy Rain"))))</f>
        <v>Clear</v>
      </c>
      <c r="M994" s="9">
        <v>0.4</v>
      </c>
      <c r="N994" s="11" t="str">
        <f t="shared" si="46"/>
        <v>Winter</v>
      </c>
      <c r="O994" s="11" t="str">
        <f t="shared" si="47"/>
        <v>Weekend</v>
      </c>
      <c r="P994" s="9">
        <v>0.40910000000000002</v>
      </c>
      <c r="Q994" s="7">
        <f>Table1[[#This Row],[A_Temperature]]*41</f>
        <v>16.773099999999999</v>
      </c>
      <c r="R994" s="9">
        <v>0.35</v>
      </c>
      <c r="S994" s="9">
        <v>0.35820000000000002</v>
      </c>
      <c r="T994" s="9">
        <v>6</v>
      </c>
      <c r="U994" s="9">
        <v>45</v>
      </c>
      <c r="V994" s="19">
        <v>51</v>
      </c>
    </row>
    <row r="995" spans="1:22" s="13" customFormat="1" ht="30" customHeight="1">
      <c r="A995" s="17" t="s">
        <v>394</v>
      </c>
      <c r="B995" s="8">
        <v>40587</v>
      </c>
      <c r="C995" s="8" t="str">
        <f t="shared" si="48"/>
        <v>Sunday</v>
      </c>
      <c r="D995" s="9">
        <v>1</v>
      </c>
      <c r="E995" s="9">
        <v>0</v>
      </c>
      <c r="F995" s="9">
        <v>2</v>
      </c>
      <c r="G995" s="7">
        <v>22</v>
      </c>
      <c r="H995" s="9" t="b">
        <v>0</v>
      </c>
      <c r="I995" s="9">
        <v>0</v>
      </c>
      <c r="J995" s="38" t="str">
        <f>CHOOSE(Table1[[#This Row],[Weekday]]+1,"Sunday","Monday","Tuesday","Wednesday","Thursday","Friday","Saturday")</f>
        <v>Sunday</v>
      </c>
      <c r="K995" s="9">
        <v>1</v>
      </c>
      <c r="L995" s="38" t="str">
        <f>IF(Table1[[#This Row],[Weather_code]]=1,"Clear",IF(Table1[[#This Row],[Weather_code]]=2,"Cloudy",IF(Table1[[#This Row],[Weather_code]]=3,"Light Rain",IF(Table1[[#This Row],[Weather_code]]=4,"Heavy Rain"))))</f>
        <v>Clear</v>
      </c>
      <c r="M995" s="9">
        <v>0.4</v>
      </c>
      <c r="N995" s="11" t="str">
        <f t="shared" si="46"/>
        <v>Winter</v>
      </c>
      <c r="O995" s="11" t="str">
        <f t="shared" si="47"/>
        <v>Weekend</v>
      </c>
      <c r="P995" s="9">
        <v>0.40910000000000002</v>
      </c>
      <c r="Q995" s="7">
        <f>Table1[[#This Row],[A_Temperature]]*41</f>
        <v>16.773099999999999</v>
      </c>
      <c r="R995" s="9">
        <v>0.35</v>
      </c>
      <c r="S995" s="9">
        <v>0.29849999999999999</v>
      </c>
      <c r="T995" s="9">
        <v>5</v>
      </c>
      <c r="U995" s="9">
        <v>31</v>
      </c>
      <c r="V995" s="19">
        <v>36</v>
      </c>
    </row>
    <row r="996" spans="1:22" s="13" customFormat="1" ht="30" customHeight="1">
      <c r="A996" s="17" t="s">
        <v>395</v>
      </c>
      <c r="B996" s="8">
        <v>40587</v>
      </c>
      <c r="C996" s="8" t="str">
        <f t="shared" si="48"/>
        <v>Sunday</v>
      </c>
      <c r="D996" s="9">
        <v>1</v>
      </c>
      <c r="E996" s="9">
        <v>0</v>
      </c>
      <c r="F996" s="9">
        <v>2</v>
      </c>
      <c r="G996" s="7">
        <v>23</v>
      </c>
      <c r="H996" s="9" t="b">
        <v>0</v>
      </c>
      <c r="I996" s="9">
        <v>0</v>
      </c>
      <c r="J996" s="38" t="str">
        <f>CHOOSE(Table1[[#This Row],[Weekday]]+1,"Sunday","Monday","Tuesday","Wednesday","Thursday","Friday","Saturday")</f>
        <v>Sunday</v>
      </c>
      <c r="K996" s="9">
        <v>1</v>
      </c>
      <c r="L996" s="38" t="str">
        <f>IF(Table1[[#This Row],[Weather_code]]=1,"Clear",IF(Table1[[#This Row],[Weather_code]]=2,"Cloudy",IF(Table1[[#This Row],[Weather_code]]=3,"Light Rain",IF(Table1[[#This Row],[Weather_code]]=4,"Heavy Rain"))))</f>
        <v>Clear</v>
      </c>
      <c r="M996" s="9">
        <v>0.4</v>
      </c>
      <c r="N996" s="11" t="str">
        <f t="shared" si="46"/>
        <v>Winter</v>
      </c>
      <c r="O996" s="11" t="str">
        <f t="shared" si="47"/>
        <v>Weekend</v>
      </c>
      <c r="P996" s="9">
        <v>0.40910000000000002</v>
      </c>
      <c r="Q996" s="7">
        <f>Table1[[#This Row],[A_Temperature]]*41</f>
        <v>16.773099999999999</v>
      </c>
      <c r="R996" s="9">
        <v>0.35</v>
      </c>
      <c r="S996" s="9">
        <v>0.35820000000000002</v>
      </c>
      <c r="T996" s="9">
        <v>3</v>
      </c>
      <c r="U996" s="9">
        <v>27</v>
      </c>
      <c r="V996" s="19">
        <v>30</v>
      </c>
    </row>
    <row r="997" spans="1:22" s="13" customFormat="1" ht="30" customHeight="1">
      <c r="A997" s="17" t="s">
        <v>396</v>
      </c>
      <c r="B997" s="8">
        <v>40588</v>
      </c>
      <c r="C997" s="8" t="str">
        <f t="shared" si="48"/>
        <v>Monday</v>
      </c>
      <c r="D997" s="9">
        <v>1</v>
      </c>
      <c r="E997" s="9">
        <v>0</v>
      </c>
      <c r="F997" s="9">
        <v>2</v>
      </c>
      <c r="G997" s="7">
        <v>0</v>
      </c>
      <c r="H997" s="9" t="b">
        <v>0</v>
      </c>
      <c r="I997" s="9">
        <v>1</v>
      </c>
      <c r="J997" s="38" t="str">
        <f>CHOOSE(Table1[[#This Row],[Weekday]]+1,"Sunday","Monday","Tuesday","Wednesday","Thursday","Friday","Saturday")</f>
        <v>Monday</v>
      </c>
      <c r="K997" s="9">
        <v>1</v>
      </c>
      <c r="L997" s="38" t="str">
        <f>IF(Table1[[#This Row],[Weather_code]]=1,"Clear",IF(Table1[[#This Row],[Weather_code]]=2,"Cloudy",IF(Table1[[#This Row],[Weather_code]]=3,"Light Rain",IF(Table1[[#This Row],[Weather_code]]=4,"Heavy Rain"))))</f>
        <v>Clear</v>
      </c>
      <c r="M997" s="9">
        <v>0.38</v>
      </c>
      <c r="N997" s="11" t="str">
        <f t="shared" si="46"/>
        <v>Winter</v>
      </c>
      <c r="O997" s="11" t="str">
        <f t="shared" si="47"/>
        <v>Weekday</v>
      </c>
      <c r="P997" s="9">
        <v>0.39389999999999997</v>
      </c>
      <c r="Q997" s="7">
        <f>Table1[[#This Row],[A_Temperature]]*41</f>
        <v>16.149899999999999</v>
      </c>
      <c r="R997" s="9">
        <v>0.37</v>
      </c>
      <c r="S997" s="9">
        <v>0.35820000000000002</v>
      </c>
      <c r="T997" s="9">
        <v>3</v>
      </c>
      <c r="U997" s="9">
        <v>8</v>
      </c>
      <c r="V997" s="19">
        <v>11</v>
      </c>
    </row>
    <row r="998" spans="1:22" s="13" customFormat="1" ht="30" customHeight="1">
      <c r="A998" s="17" t="s">
        <v>397</v>
      </c>
      <c r="B998" s="8">
        <v>40588</v>
      </c>
      <c r="C998" s="8" t="str">
        <f t="shared" si="48"/>
        <v>Monday</v>
      </c>
      <c r="D998" s="9">
        <v>1</v>
      </c>
      <c r="E998" s="9">
        <v>0</v>
      </c>
      <c r="F998" s="9">
        <v>2</v>
      </c>
      <c r="G998" s="7">
        <v>1</v>
      </c>
      <c r="H998" s="9" t="b">
        <v>0</v>
      </c>
      <c r="I998" s="9">
        <v>1</v>
      </c>
      <c r="J998" s="38" t="str">
        <f>CHOOSE(Table1[[#This Row],[Weekday]]+1,"Sunday","Monday","Tuesday","Wednesday","Thursday","Friday","Saturday")</f>
        <v>Monday</v>
      </c>
      <c r="K998" s="9">
        <v>1</v>
      </c>
      <c r="L998" s="38" t="str">
        <f>IF(Table1[[#This Row],[Weather_code]]=1,"Clear",IF(Table1[[#This Row],[Weather_code]]=2,"Cloudy",IF(Table1[[#This Row],[Weather_code]]=3,"Light Rain",IF(Table1[[#This Row],[Weather_code]]=4,"Heavy Rain"))))</f>
        <v>Clear</v>
      </c>
      <c r="M998" s="9">
        <v>0.38</v>
      </c>
      <c r="N998" s="11" t="str">
        <f t="shared" si="46"/>
        <v>Winter</v>
      </c>
      <c r="O998" s="11" t="str">
        <f t="shared" si="47"/>
        <v>Weekday</v>
      </c>
      <c r="P998" s="9">
        <v>0.39389999999999997</v>
      </c>
      <c r="Q998" s="7">
        <f>Table1[[#This Row],[A_Temperature]]*41</f>
        <v>16.149899999999999</v>
      </c>
      <c r="R998" s="9">
        <v>0.37</v>
      </c>
      <c r="S998" s="9">
        <v>0.35820000000000002</v>
      </c>
      <c r="T998" s="9">
        <v>1</v>
      </c>
      <c r="U998" s="9">
        <v>6</v>
      </c>
      <c r="V998" s="19">
        <v>7</v>
      </c>
    </row>
    <row r="999" spans="1:22" s="13" customFormat="1" ht="30" customHeight="1">
      <c r="A999" s="17" t="s">
        <v>398</v>
      </c>
      <c r="B999" s="8">
        <v>40588</v>
      </c>
      <c r="C999" s="8" t="str">
        <f t="shared" si="48"/>
        <v>Monday</v>
      </c>
      <c r="D999" s="9">
        <v>1</v>
      </c>
      <c r="E999" s="9">
        <v>0</v>
      </c>
      <c r="F999" s="9">
        <v>2</v>
      </c>
      <c r="G999" s="7">
        <v>2</v>
      </c>
      <c r="H999" s="9" t="b">
        <v>0</v>
      </c>
      <c r="I999" s="9">
        <v>1</v>
      </c>
      <c r="J999" s="38" t="str">
        <f>CHOOSE(Table1[[#This Row],[Weekday]]+1,"Sunday","Monday","Tuesday","Wednesday","Thursday","Friday","Saturday")</f>
        <v>Monday</v>
      </c>
      <c r="K999" s="9">
        <v>1</v>
      </c>
      <c r="L999" s="38" t="str">
        <f>IF(Table1[[#This Row],[Weather_code]]=1,"Clear",IF(Table1[[#This Row],[Weather_code]]=2,"Cloudy",IF(Table1[[#This Row],[Weather_code]]=3,"Light Rain",IF(Table1[[#This Row],[Weather_code]]=4,"Heavy Rain"))))</f>
        <v>Clear</v>
      </c>
      <c r="M999" s="9">
        <v>0.36</v>
      </c>
      <c r="N999" s="11" t="str">
        <f t="shared" ref="N999:N1004" si="49">CHOOSE(D999,"Winter","Spring","Summer","Fall")</f>
        <v>Winter</v>
      </c>
      <c r="O999" s="11" t="str">
        <f t="shared" si="47"/>
        <v>Weekday</v>
      </c>
      <c r="P999" s="9">
        <v>0.33329999999999999</v>
      </c>
      <c r="Q999" s="7">
        <f>Table1[[#This Row],[A_Temperature]]*41</f>
        <v>13.6653</v>
      </c>
      <c r="R999" s="9">
        <v>0.4</v>
      </c>
      <c r="S999" s="9">
        <v>0.29849999999999999</v>
      </c>
      <c r="T999" s="9">
        <v>0</v>
      </c>
      <c r="U999" s="9">
        <v>2</v>
      </c>
      <c r="V999" s="19">
        <v>2</v>
      </c>
    </row>
    <row r="1000" spans="1:22" s="13" customFormat="1" ht="30" customHeight="1">
      <c r="A1000" s="17" t="s">
        <v>399</v>
      </c>
      <c r="B1000" s="8">
        <v>40588</v>
      </c>
      <c r="C1000" s="8" t="str">
        <f t="shared" si="48"/>
        <v>Monday</v>
      </c>
      <c r="D1000" s="9">
        <v>1</v>
      </c>
      <c r="E1000" s="9">
        <v>0</v>
      </c>
      <c r="F1000" s="9">
        <v>2</v>
      </c>
      <c r="G1000" s="7">
        <v>3</v>
      </c>
      <c r="H1000" s="9" t="b">
        <v>0</v>
      </c>
      <c r="I1000" s="9">
        <v>1</v>
      </c>
      <c r="J1000" s="38" t="str">
        <f>CHOOSE(Table1[[#This Row],[Weekday]]+1,"Sunday","Monday","Tuesday","Wednesday","Thursday","Friday","Saturday")</f>
        <v>Monday</v>
      </c>
      <c r="K1000" s="9">
        <v>1</v>
      </c>
      <c r="L1000" s="38" t="str">
        <f>IF(Table1[[#This Row],[Weather_code]]=1,"Clear",IF(Table1[[#This Row],[Weather_code]]=2,"Cloudy",IF(Table1[[#This Row],[Weather_code]]=3,"Light Rain",IF(Table1[[#This Row],[Weather_code]]=4,"Heavy Rain"))))</f>
        <v>Clear</v>
      </c>
      <c r="M1000" s="9">
        <v>0.34</v>
      </c>
      <c r="N1000" s="11" t="str">
        <f t="shared" si="49"/>
        <v>Winter</v>
      </c>
      <c r="O1000" s="11" t="str">
        <f t="shared" si="47"/>
        <v>Weekday</v>
      </c>
      <c r="P1000" s="9">
        <v>0.31819999999999998</v>
      </c>
      <c r="Q1000" s="7">
        <f>Table1[[#This Row],[A_Temperature]]*41</f>
        <v>13.046199999999999</v>
      </c>
      <c r="R1000" s="9">
        <v>0.46</v>
      </c>
      <c r="S1000" s="9">
        <v>0.22389999999999999</v>
      </c>
      <c r="T1000" s="9">
        <v>1</v>
      </c>
      <c r="U1000" s="9">
        <v>1</v>
      </c>
      <c r="V1000" s="19">
        <v>2</v>
      </c>
    </row>
    <row r="1001" spans="1:22" s="13" customFormat="1" ht="30" customHeight="1">
      <c r="A1001" s="17" t="s">
        <v>400</v>
      </c>
      <c r="B1001" s="8">
        <v>40588</v>
      </c>
      <c r="C1001" s="8" t="str">
        <f t="shared" si="48"/>
        <v>Monday</v>
      </c>
      <c r="D1001" s="9">
        <v>1</v>
      </c>
      <c r="E1001" s="9">
        <v>0</v>
      </c>
      <c r="F1001" s="9">
        <v>2</v>
      </c>
      <c r="G1001" s="7">
        <v>4</v>
      </c>
      <c r="H1001" s="9" t="b">
        <v>0</v>
      </c>
      <c r="I1001" s="9">
        <v>1</v>
      </c>
      <c r="J1001" s="38" t="str">
        <f>CHOOSE(Table1[[#This Row],[Weekday]]+1,"Sunday","Monday","Tuesday","Wednesday","Thursday","Friday","Saturday")</f>
        <v>Monday</v>
      </c>
      <c r="K1001" s="9">
        <v>1</v>
      </c>
      <c r="L1001" s="38" t="str">
        <f>IF(Table1[[#This Row],[Weather_code]]=1,"Clear",IF(Table1[[#This Row],[Weather_code]]=2,"Cloudy",IF(Table1[[#This Row],[Weather_code]]=3,"Light Rain",IF(Table1[[#This Row],[Weather_code]]=4,"Heavy Rain"))))</f>
        <v>Clear</v>
      </c>
      <c r="M1001" s="9">
        <v>0.32</v>
      </c>
      <c r="N1001" s="11" t="str">
        <f t="shared" si="49"/>
        <v>Winter</v>
      </c>
      <c r="O1001" s="11" t="str">
        <f t="shared" si="47"/>
        <v>Weekday</v>
      </c>
      <c r="P1001" s="9">
        <v>0.30299999999999999</v>
      </c>
      <c r="Q1001" s="7">
        <f>Table1[[#This Row],[A_Temperature]]*41</f>
        <v>12.423</v>
      </c>
      <c r="R1001" s="9">
        <v>0.53</v>
      </c>
      <c r="S1001" s="9">
        <v>0.28360000000000002</v>
      </c>
      <c r="T1001" s="9">
        <v>0</v>
      </c>
      <c r="U1001" s="9">
        <v>2</v>
      </c>
      <c r="V1001" s="19">
        <v>2</v>
      </c>
    </row>
    <row r="1002" spans="1:22" s="13" customFormat="1" ht="30" customHeight="1">
      <c r="A1002" s="17" t="s">
        <v>401</v>
      </c>
      <c r="B1002" s="8">
        <v>40588</v>
      </c>
      <c r="C1002" s="8" t="str">
        <f t="shared" si="48"/>
        <v>Monday</v>
      </c>
      <c r="D1002" s="9">
        <v>1</v>
      </c>
      <c r="E1002" s="9">
        <v>0</v>
      </c>
      <c r="F1002" s="9">
        <v>2</v>
      </c>
      <c r="G1002" s="7">
        <v>5</v>
      </c>
      <c r="H1002" s="9" t="b">
        <v>0</v>
      </c>
      <c r="I1002" s="9">
        <v>1</v>
      </c>
      <c r="J1002" s="38" t="str">
        <f>CHOOSE(Table1[[#This Row],[Weekday]]+1,"Sunday","Monday","Tuesday","Wednesday","Thursday","Friday","Saturday")</f>
        <v>Monday</v>
      </c>
      <c r="K1002" s="9">
        <v>1</v>
      </c>
      <c r="L1002" s="38" t="str">
        <f>IF(Table1[[#This Row],[Weather_code]]=1,"Clear",IF(Table1[[#This Row],[Weather_code]]=2,"Cloudy",IF(Table1[[#This Row],[Weather_code]]=3,"Light Rain",IF(Table1[[#This Row],[Weather_code]]=4,"Heavy Rain"))))</f>
        <v>Clear</v>
      </c>
      <c r="M1002" s="9">
        <v>0.32</v>
      </c>
      <c r="N1002" s="11" t="str">
        <f t="shared" si="49"/>
        <v>Winter</v>
      </c>
      <c r="O1002" s="11" t="str">
        <f t="shared" si="47"/>
        <v>Weekday</v>
      </c>
      <c r="P1002" s="9">
        <v>0.30299999999999999</v>
      </c>
      <c r="Q1002" s="7">
        <f>Table1[[#This Row],[A_Temperature]]*41</f>
        <v>12.423</v>
      </c>
      <c r="R1002" s="9">
        <v>0.53</v>
      </c>
      <c r="S1002" s="9">
        <v>0.28360000000000002</v>
      </c>
      <c r="T1002" s="9">
        <v>0</v>
      </c>
      <c r="U1002" s="9">
        <v>3</v>
      </c>
      <c r="V1002" s="19">
        <v>3</v>
      </c>
    </row>
    <row r="1003" spans="1:22" s="13" customFormat="1" ht="30" customHeight="1">
      <c r="A1003" s="17" t="s">
        <v>402</v>
      </c>
      <c r="B1003" s="8">
        <v>40588</v>
      </c>
      <c r="C1003" s="8" t="str">
        <f t="shared" si="48"/>
        <v>Monday</v>
      </c>
      <c r="D1003" s="9">
        <v>1</v>
      </c>
      <c r="E1003" s="9">
        <v>0</v>
      </c>
      <c r="F1003" s="9">
        <v>2</v>
      </c>
      <c r="G1003" s="7">
        <v>6</v>
      </c>
      <c r="H1003" s="9" t="b">
        <v>0</v>
      </c>
      <c r="I1003" s="9">
        <v>1</v>
      </c>
      <c r="J1003" s="38" t="str">
        <f>CHOOSE(Table1[[#This Row],[Weekday]]+1,"Sunday","Monday","Tuesday","Wednesday","Thursday","Friday","Saturday")</f>
        <v>Monday</v>
      </c>
      <c r="K1003" s="9">
        <v>1</v>
      </c>
      <c r="L1003" s="38" t="str">
        <f>IF(Table1[[#This Row],[Weather_code]]=1,"Clear",IF(Table1[[#This Row],[Weather_code]]=2,"Cloudy",IF(Table1[[#This Row],[Weather_code]]=3,"Light Rain",IF(Table1[[#This Row],[Weather_code]]=4,"Heavy Rain"))))</f>
        <v>Clear</v>
      </c>
      <c r="M1003" s="9">
        <v>0.34</v>
      </c>
      <c r="N1003" s="11" t="str">
        <f t="shared" si="49"/>
        <v>Winter</v>
      </c>
      <c r="O1003" s="11" t="str">
        <f t="shared" si="47"/>
        <v>Weekday</v>
      </c>
      <c r="P1003" s="9">
        <v>0.30299999999999999</v>
      </c>
      <c r="Q1003" s="7">
        <f>Table1[[#This Row],[A_Temperature]]*41</f>
        <v>12.423</v>
      </c>
      <c r="R1003" s="9">
        <v>0.46</v>
      </c>
      <c r="S1003" s="9">
        <v>0.29849999999999999</v>
      </c>
      <c r="T1003" s="9">
        <v>1</v>
      </c>
      <c r="U1003" s="9">
        <v>25</v>
      </c>
      <c r="V1003" s="19">
        <v>26</v>
      </c>
    </row>
    <row r="1004" spans="1:22" s="13" customFormat="1" ht="30" customHeight="1">
      <c r="A1004" s="24" t="s">
        <v>403</v>
      </c>
      <c r="B1004" s="25">
        <v>40588</v>
      </c>
      <c r="C1004" s="25" t="str">
        <f t="shared" si="48"/>
        <v>Monday</v>
      </c>
      <c r="D1004" s="26">
        <v>1</v>
      </c>
      <c r="E1004" s="26">
        <v>0</v>
      </c>
      <c r="F1004" s="26">
        <v>2</v>
      </c>
      <c r="G1004" s="41">
        <v>7</v>
      </c>
      <c r="H1004" s="26" t="b">
        <v>0</v>
      </c>
      <c r="I1004" s="26">
        <v>1</v>
      </c>
      <c r="J1004" s="39" t="str">
        <f>CHOOSE(Table1[[#This Row],[Weekday]]+1,"Sunday","Monday","Tuesday","Wednesday","Thursday","Friday","Saturday")</f>
        <v>Monday</v>
      </c>
      <c r="K1004" s="26">
        <v>1</v>
      </c>
      <c r="L1004" s="39" t="str">
        <f>IF(Table1[[#This Row],[Weather_code]]=1,"Clear",IF(Table1[[#This Row],[Weather_code]]=2,"Cloudy",IF(Table1[[#This Row],[Weather_code]]=3,"Light Rain",IF(Table1[[#This Row],[Weather_code]]=4,"Heavy Rain"))))</f>
        <v>Clear</v>
      </c>
      <c r="M1004" s="26">
        <v>0.34</v>
      </c>
      <c r="N1004" s="27" t="str">
        <f t="shared" si="49"/>
        <v>Winter</v>
      </c>
      <c r="O1004" s="27" t="str">
        <f t="shared" si="47"/>
        <v>Weekday</v>
      </c>
      <c r="P1004" s="26">
        <v>0.30299999999999999</v>
      </c>
      <c r="Q1004" s="41">
        <f>Table1[[#This Row],[A_Temperature]]*41</f>
        <v>12.423</v>
      </c>
      <c r="R1004" s="26">
        <v>0.46</v>
      </c>
      <c r="S1004" s="26">
        <v>0.29849999999999999</v>
      </c>
      <c r="T1004" s="26">
        <v>2</v>
      </c>
      <c r="U1004" s="26">
        <v>96</v>
      </c>
      <c r="V1004" s="28">
        <v>98</v>
      </c>
    </row>
  </sheetData>
  <mergeCells count="2">
    <mergeCell ref="A1:V1"/>
    <mergeCell ref="A2:V2"/>
  </mergeCells>
  <conditionalFormatting sqref="A4:V1004">
    <cfRule type="containsBlanks" dxfId="27" priority="1">
      <formula>LEN(TRIM(A4))=0</formula>
    </cfRule>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dimension ref="A1:G27"/>
  <sheetViews>
    <sheetView workbookViewId="0">
      <pane ySplit="2" topLeftCell="A15" activePane="bottomLeft" state="frozen"/>
      <selection pane="bottomLeft" activeCell="E18" sqref="E18"/>
    </sheetView>
  </sheetViews>
  <sheetFormatPr defaultRowHeight="15"/>
  <cols>
    <col min="1" max="1" width="6" customWidth="1"/>
    <col min="2" max="2" width="29.7109375" customWidth="1"/>
    <col min="3" max="3" width="31.140625" customWidth="1"/>
    <col min="4" max="4" width="30.5703125" style="3" bestFit="1" customWidth="1"/>
    <col min="5" max="5" width="25" customWidth="1"/>
    <col min="6" max="6" width="8.28515625" bestFit="1" customWidth="1"/>
    <col min="7" max="7" width="6" bestFit="1" customWidth="1"/>
  </cols>
  <sheetData>
    <row r="1" spans="1:7" ht="28.5" customHeight="1">
      <c r="A1" s="71" t="s">
        <v>411</v>
      </c>
      <c r="B1" s="71"/>
      <c r="C1" s="71"/>
      <c r="D1" s="71"/>
    </row>
    <row r="2" spans="1:7" s="6" customFormat="1" ht="24.75" customHeight="1">
      <c r="A2" s="31" t="s">
        <v>408</v>
      </c>
      <c r="B2" s="30" t="s">
        <v>406</v>
      </c>
      <c r="C2" s="30" t="s">
        <v>409</v>
      </c>
      <c r="D2" s="30" t="s">
        <v>410</v>
      </c>
    </row>
    <row r="3" spans="1:7" s="6" customFormat="1" ht="43.5" customHeight="1">
      <c r="A3" s="37">
        <v>1</v>
      </c>
      <c r="B3" s="42" t="s">
        <v>412</v>
      </c>
      <c r="C3" s="66">
        <f>SUM(Table1[Non-Registered_user])</f>
        <v>4921</v>
      </c>
      <c r="D3" s="34" t="s">
        <v>413</v>
      </c>
    </row>
    <row r="4" spans="1:7" s="6" customFormat="1" ht="43.5" customHeight="1">
      <c r="A4" s="37">
        <v>2</v>
      </c>
      <c r="B4" s="42" t="s">
        <v>414</v>
      </c>
      <c r="C4" s="66">
        <f>SUM(Table1[Registered_user])</f>
        <v>53383</v>
      </c>
      <c r="D4" s="29" t="s">
        <v>415</v>
      </c>
      <c r="G4" s="36">
        <f>AVERAGE('FINAL DATA'!M26:M1004)</f>
        <v>0.20316649642492288</v>
      </c>
    </row>
    <row r="5" spans="1:7" s="6" customFormat="1" ht="43.5" customHeight="1">
      <c r="A5" s="37">
        <v>3</v>
      </c>
      <c r="B5" s="42" t="s">
        <v>416</v>
      </c>
      <c r="C5" s="66">
        <f>SUM(Table1[Total Users])</f>
        <v>58304</v>
      </c>
      <c r="D5" s="29" t="s">
        <v>417</v>
      </c>
    </row>
    <row r="6" spans="1:7" s="6" customFormat="1" ht="43.5" customHeight="1">
      <c r="A6" s="37">
        <v>4</v>
      </c>
      <c r="B6" s="42" t="s">
        <v>418</v>
      </c>
      <c r="C6" s="33">
        <f>AVERAGE(Table1[Temperaturemp])</f>
        <v>0.20589999999999961</v>
      </c>
      <c r="D6" s="29" t="s">
        <v>421</v>
      </c>
    </row>
    <row r="7" spans="1:7" s="6" customFormat="1" ht="42.75" customHeight="1">
      <c r="A7" s="37">
        <v>5</v>
      </c>
      <c r="B7" s="42" t="s">
        <v>419</v>
      </c>
      <c r="C7" s="33">
        <f>AVERAGE(Table1[A_Temperature])</f>
        <v>0.21222500000000044</v>
      </c>
      <c r="D7" s="29" t="s">
        <v>420</v>
      </c>
    </row>
    <row r="8" spans="1:7" ht="42.75" customHeight="1">
      <c r="A8" s="37">
        <v>6</v>
      </c>
      <c r="B8" s="42" t="s">
        <v>422</v>
      </c>
      <c r="C8" s="37">
        <f>AVERAGE(Table1[Humidity])</f>
        <v>0.58248000000000033</v>
      </c>
      <c r="D8" s="32" t="s">
        <v>423</v>
      </c>
    </row>
    <row r="9" spans="1:7" ht="42.75" customHeight="1">
      <c r="A9" s="37">
        <v>7</v>
      </c>
      <c r="B9" s="42" t="s">
        <v>424</v>
      </c>
      <c r="C9" s="37">
        <f>AVERAGE(Table1[Wind_speed])</f>
        <v>0.19493129999999903</v>
      </c>
      <c r="D9" s="32" t="s">
        <v>425</v>
      </c>
    </row>
    <row r="10" spans="1:7" ht="42.75" customHeight="1">
      <c r="A10" s="37">
        <v>8</v>
      </c>
      <c r="B10" s="42" t="s">
        <v>426</v>
      </c>
      <c r="C10" s="37">
        <f>COUNTA(Table1[Record_Id])</f>
        <v>1000</v>
      </c>
      <c r="D10" s="32" t="s">
        <v>427</v>
      </c>
    </row>
    <row r="11" spans="1:7" ht="42.75" customHeight="1">
      <c r="A11" s="37">
        <v>9</v>
      </c>
      <c r="B11" s="43" t="s">
        <v>428</v>
      </c>
      <c r="C11" s="37">
        <f>MAX(Table1[Hour])</f>
        <v>23</v>
      </c>
      <c r="D11" s="29" t="s">
        <v>429</v>
      </c>
    </row>
    <row r="12" spans="1:7" ht="42.75" customHeight="1">
      <c r="A12" s="37">
        <v>10</v>
      </c>
      <c r="B12" s="43" t="s">
        <v>430</v>
      </c>
      <c r="C12" s="37">
        <f>MIN(Table1[Hour])</f>
        <v>0</v>
      </c>
      <c r="D12" s="32" t="s">
        <v>431</v>
      </c>
    </row>
    <row r="13" spans="1:7" ht="42.75" customHeight="1">
      <c r="A13" s="37">
        <v>11</v>
      </c>
      <c r="B13" s="43" t="s">
        <v>432</v>
      </c>
      <c r="C13" s="37">
        <f>STDEV(Table1[Total Users])</f>
        <v>50.985557867999354</v>
      </c>
      <c r="D13" s="32" t="s">
        <v>433</v>
      </c>
    </row>
    <row r="14" spans="1:7" ht="42.75" customHeight="1">
      <c r="A14" s="37">
        <v>12</v>
      </c>
      <c r="B14" s="42" t="s">
        <v>434</v>
      </c>
      <c r="C14" s="37">
        <f>CORREL(Table1[Temperaturemp],Table1[Total Users])</f>
        <v>0.22929155386993369</v>
      </c>
      <c r="D14" s="32" t="s">
        <v>436</v>
      </c>
    </row>
    <row r="15" spans="1:7" ht="42.75" customHeight="1">
      <c r="A15" s="37">
        <v>13</v>
      </c>
      <c r="B15" s="42" t="s">
        <v>435</v>
      </c>
      <c r="C15" s="37">
        <f>CORREL(Table1[A_Temperature],Table1[Total Users])</f>
        <v>0.19083567113022912</v>
      </c>
      <c r="D15" s="32" t="s">
        <v>437</v>
      </c>
    </row>
    <row r="16" spans="1:7" ht="42.75" customHeight="1">
      <c r="A16" s="37">
        <v>14</v>
      </c>
      <c r="B16" s="43" t="s">
        <v>438</v>
      </c>
      <c r="C16" s="37">
        <f>SUMIF(Table1[Holiday],TRUE,Table1[Total Users])</f>
        <v>1000</v>
      </c>
      <c r="D16" s="32" t="s">
        <v>439</v>
      </c>
    </row>
    <row r="17" spans="1:7" ht="42.75" customHeight="1">
      <c r="A17" s="37">
        <v>15</v>
      </c>
      <c r="B17" s="43" t="s">
        <v>440</v>
      </c>
      <c r="C17" s="67">
        <f>SUMIF(Table1[Holiday],FALSE,Table1[Total Users])</f>
        <v>57304</v>
      </c>
      <c r="D17" s="32" t="s">
        <v>441</v>
      </c>
    </row>
    <row r="18" spans="1:7" ht="42.75" customHeight="1">
      <c r="A18" s="37">
        <v>16</v>
      </c>
      <c r="B18" s="43" t="s">
        <v>442</v>
      </c>
      <c r="C18" s="37">
        <f>COUNTIF(Table1[Actual_A_Temp],"&gt;35")</f>
        <v>0</v>
      </c>
      <c r="D18" s="32" t="s">
        <v>444</v>
      </c>
    </row>
    <row r="19" spans="1:7" ht="42.75" customHeight="1">
      <c r="A19" s="37">
        <v>17</v>
      </c>
      <c r="B19" s="43" t="s">
        <v>445</v>
      </c>
      <c r="C19" s="37">
        <f>COUNTIF(Table1[Actual_A_Temp],"&lt;10")</f>
        <v>737</v>
      </c>
      <c r="D19" s="32" t="s">
        <v>446</v>
      </c>
    </row>
    <row r="20" spans="1:7" ht="42.75" customHeight="1">
      <c r="A20" s="37">
        <v>18</v>
      </c>
      <c r="B20" s="43" t="s">
        <v>447</v>
      </c>
      <c r="C20" s="37">
        <f>COUNTIF(Table1[Weather_code],"3")</f>
        <v>84</v>
      </c>
      <c r="D20" s="32" t="s">
        <v>448</v>
      </c>
    </row>
    <row r="24" spans="1:7">
      <c r="A24" s="55" t="s">
        <v>478</v>
      </c>
      <c r="B24" s="56" t="s">
        <v>479</v>
      </c>
      <c r="C24" s="53" t="s">
        <v>476</v>
      </c>
      <c r="D24" s="54" t="s">
        <v>477</v>
      </c>
    </row>
    <row r="25" spans="1:7" ht="30">
      <c r="A25" s="57">
        <v>1</v>
      </c>
      <c r="B25" s="58">
        <f>SUM(Table1[Registered_user])</f>
        <v>53383</v>
      </c>
      <c r="C25" s="52">
        <f>SUM(Table1[Non-Registered_user])</f>
        <v>4921</v>
      </c>
      <c r="D25" s="52">
        <f>SUM(A25:C25)</f>
        <v>58305</v>
      </c>
      <c r="F25" s="59" t="s">
        <v>481</v>
      </c>
      <c r="G25" s="59" t="s">
        <v>482</v>
      </c>
    </row>
    <row r="26" spans="1:7" ht="30">
      <c r="F26" s="60" t="s">
        <v>479</v>
      </c>
      <c r="G26" s="60">
        <v>53383</v>
      </c>
    </row>
    <row r="27" spans="1:7" ht="45">
      <c r="F27" s="60" t="s">
        <v>483</v>
      </c>
      <c r="G27" s="60">
        <v>4921</v>
      </c>
    </row>
  </sheetData>
  <mergeCells count="1">
    <mergeCell ref="A1:D1"/>
  </mergeCells>
  <pageMargins left="0.32" right="0.4"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L155"/>
  <sheetViews>
    <sheetView topLeftCell="A121" workbookViewId="0">
      <selection activeCell="A136" sqref="A136:D136"/>
    </sheetView>
  </sheetViews>
  <sheetFormatPr defaultColWidth="0" defaultRowHeight="15"/>
  <cols>
    <col min="1" max="1" width="13.140625" customWidth="1"/>
    <col min="2" max="2" width="18.7109375" customWidth="1"/>
    <col min="3" max="3" width="27.5703125" customWidth="1"/>
    <col min="4" max="4" width="12" customWidth="1"/>
    <col min="5" max="11" width="9.140625" customWidth="1"/>
    <col min="12" max="12" width="0" style="63" hidden="1" customWidth="1"/>
    <col min="13" max="16384" width="9.140625" hidden="1"/>
  </cols>
  <sheetData>
    <row r="1" spans="1:4">
      <c r="A1" s="72" t="s">
        <v>449</v>
      </c>
      <c r="B1" s="72"/>
      <c r="C1" s="72"/>
      <c r="D1" s="72"/>
    </row>
    <row r="3" spans="1:4">
      <c r="A3" s="46" t="s">
        <v>450</v>
      </c>
      <c r="B3" t="s">
        <v>453</v>
      </c>
    </row>
    <row r="4" spans="1:4">
      <c r="A4" s="47">
        <v>0</v>
      </c>
      <c r="B4" s="45">
        <v>703</v>
      </c>
    </row>
    <row r="5" spans="1:4">
      <c r="A5" s="47">
        <v>1</v>
      </c>
      <c r="B5" s="45">
        <v>460</v>
      </c>
    </row>
    <row r="6" spans="1:4">
      <c r="A6" s="47">
        <v>2</v>
      </c>
      <c r="B6" s="45">
        <v>294</v>
      </c>
    </row>
    <row r="7" spans="1:4">
      <c r="A7" s="47">
        <v>3</v>
      </c>
      <c r="B7" s="45">
        <v>151</v>
      </c>
    </row>
    <row r="8" spans="1:4">
      <c r="A8" s="47">
        <v>4</v>
      </c>
      <c r="B8" s="45">
        <v>69</v>
      </c>
    </row>
    <row r="9" spans="1:4">
      <c r="A9" s="47">
        <v>5</v>
      </c>
      <c r="B9" s="45">
        <v>164</v>
      </c>
    </row>
    <row r="10" spans="1:4">
      <c r="A10" s="47">
        <v>6</v>
      </c>
      <c r="B10" s="45">
        <v>822</v>
      </c>
    </row>
    <row r="11" spans="1:4">
      <c r="A11" s="47">
        <v>7</v>
      </c>
      <c r="B11" s="45">
        <v>2339</v>
      </c>
    </row>
    <row r="12" spans="1:4">
      <c r="A12" s="47">
        <v>8</v>
      </c>
      <c r="B12" s="45">
        <v>5388</v>
      </c>
    </row>
    <row r="13" spans="1:4">
      <c r="A13" s="47">
        <v>9</v>
      </c>
      <c r="B13" s="45">
        <v>3672</v>
      </c>
    </row>
    <row r="14" spans="1:4">
      <c r="A14" s="47">
        <v>10</v>
      </c>
      <c r="B14" s="45">
        <v>2253</v>
      </c>
    </row>
    <row r="15" spans="1:4">
      <c r="A15" s="47">
        <v>11</v>
      </c>
      <c r="B15" s="45">
        <v>2494</v>
      </c>
    </row>
    <row r="16" spans="1:4">
      <c r="A16" s="47">
        <v>12</v>
      </c>
      <c r="B16" s="45">
        <v>3283</v>
      </c>
    </row>
    <row r="17" spans="1:11">
      <c r="A17" s="47">
        <v>13</v>
      </c>
      <c r="B17" s="45">
        <v>3376</v>
      </c>
    </row>
    <row r="18" spans="1:11">
      <c r="A18" s="47">
        <v>14</v>
      </c>
      <c r="B18" s="45">
        <v>3200</v>
      </c>
    </row>
    <row r="19" spans="1:11">
      <c r="A19" s="47">
        <v>15</v>
      </c>
      <c r="B19" s="45">
        <v>3352</v>
      </c>
    </row>
    <row r="20" spans="1:11">
      <c r="A20" s="47">
        <v>16</v>
      </c>
      <c r="B20" s="45">
        <v>3928</v>
      </c>
    </row>
    <row r="21" spans="1:11">
      <c r="A21" s="47">
        <v>17</v>
      </c>
      <c r="B21" s="45">
        <v>6169</v>
      </c>
    </row>
    <row r="22" spans="1:11">
      <c r="A22" s="47">
        <v>18</v>
      </c>
      <c r="B22" s="45">
        <v>5283</v>
      </c>
    </row>
    <row r="23" spans="1:11">
      <c r="A23" s="47">
        <v>19</v>
      </c>
      <c r="B23" s="45">
        <v>3661</v>
      </c>
    </row>
    <row r="24" spans="1:11">
      <c r="A24" s="47">
        <v>20</v>
      </c>
      <c r="B24" s="45">
        <v>2656</v>
      </c>
    </row>
    <row r="25" spans="1:11">
      <c r="A25" s="47">
        <v>21</v>
      </c>
      <c r="B25" s="45">
        <v>1996</v>
      </c>
      <c r="D25" s="72" t="s">
        <v>454</v>
      </c>
      <c r="E25" s="72"/>
    </row>
    <row r="26" spans="1:11">
      <c r="A26" s="47">
        <v>22</v>
      </c>
      <c r="B26" s="45">
        <v>1508</v>
      </c>
      <c r="D26" s="73" t="s">
        <v>455</v>
      </c>
      <c r="E26" s="74"/>
      <c r="F26" s="74"/>
      <c r="G26" s="74"/>
      <c r="H26" s="74"/>
      <c r="I26" s="74"/>
      <c r="J26" s="74"/>
      <c r="K26" s="51"/>
    </row>
    <row r="27" spans="1:11">
      <c r="A27" s="47">
        <v>23</v>
      </c>
      <c r="B27" s="45">
        <v>1083</v>
      </c>
      <c r="D27" s="74"/>
      <c r="E27" s="74"/>
      <c r="F27" s="74"/>
      <c r="G27" s="74"/>
      <c r="H27" s="74"/>
      <c r="I27" s="74"/>
      <c r="J27" s="74"/>
      <c r="K27" s="51"/>
    </row>
    <row r="28" spans="1:11">
      <c r="A28" s="47" t="s">
        <v>451</v>
      </c>
      <c r="B28" s="45">
        <v>58304</v>
      </c>
      <c r="D28" s="74"/>
      <c r="E28" s="74"/>
      <c r="F28" s="74"/>
      <c r="G28" s="74"/>
      <c r="H28" s="74"/>
      <c r="I28" s="74"/>
      <c r="J28" s="74"/>
      <c r="K28" s="51"/>
    </row>
    <row r="35" spans="1:4">
      <c r="A35" s="72" t="s">
        <v>456</v>
      </c>
      <c r="B35" s="72"/>
      <c r="C35" s="72"/>
      <c r="D35" s="72"/>
    </row>
    <row r="37" spans="1:4">
      <c r="A37" s="46" t="s">
        <v>450</v>
      </c>
      <c r="B37" t="s">
        <v>452</v>
      </c>
    </row>
    <row r="38" spans="1:4">
      <c r="A38" s="47">
        <v>1</v>
      </c>
      <c r="B38" s="45">
        <v>58304</v>
      </c>
    </row>
    <row r="39" spans="1:4">
      <c r="A39" s="47" t="s">
        <v>451</v>
      </c>
      <c r="B39" s="45">
        <v>58304</v>
      </c>
    </row>
    <row r="57" spans="3:8">
      <c r="C57" s="79" t="s">
        <v>454</v>
      </c>
      <c r="D57" s="79"/>
    </row>
    <row r="58" spans="3:8" ht="15" customHeight="1">
      <c r="C58" s="75" t="s">
        <v>458</v>
      </c>
      <c r="D58" s="75"/>
      <c r="E58" s="75"/>
      <c r="F58" s="75"/>
      <c r="G58" s="75"/>
      <c r="H58" s="75"/>
    </row>
    <row r="59" spans="3:8">
      <c r="C59" s="75"/>
      <c r="D59" s="75"/>
      <c r="E59" s="75"/>
      <c r="F59" s="75"/>
      <c r="G59" s="75"/>
      <c r="H59" s="75"/>
    </row>
    <row r="60" spans="3:8" ht="34.5" customHeight="1">
      <c r="C60" s="75"/>
      <c r="D60" s="75"/>
      <c r="E60" s="75"/>
      <c r="F60" s="75"/>
      <c r="G60" s="75"/>
      <c r="H60" s="75"/>
    </row>
    <row r="68" spans="1:4">
      <c r="A68" s="72" t="s">
        <v>457</v>
      </c>
      <c r="B68" s="72"/>
      <c r="C68" s="72"/>
      <c r="D68" s="72"/>
    </row>
    <row r="70" spans="1:4">
      <c r="A70" s="46" t="s">
        <v>450</v>
      </c>
      <c r="B70" t="s">
        <v>453</v>
      </c>
      <c r="D70" s="48"/>
    </row>
    <row r="71" spans="1:4">
      <c r="A71" s="47" t="s">
        <v>460</v>
      </c>
      <c r="B71" s="45">
        <v>37373</v>
      </c>
      <c r="D71" s="48"/>
    </row>
    <row r="72" spans="1:4">
      <c r="A72" s="47" t="s">
        <v>461</v>
      </c>
      <c r="B72" s="45">
        <v>18106</v>
      </c>
      <c r="D72" s="48"/>
    </row>
    <row r="73" spans="1:4">
      <c r="A73" s="47" t="s">
        <v>462</v>
      </c>
      <c r="B73" s="45">
        <v>36</v>
      </c>
      <c r="D73" s="48"/>
    </row>
    <row r="74" spans="1:4">
      <c r="A74" s="47" t="s">
        <v>463</v>
      </c>
      <c r="B74" s="45">
        <v>2789</v>
      </c>
      <c r="D74" s="48"/>
    </row>
    <row r="75" spans="1:4">
      <c r="A75" s="47" t="s">
        <v>451</v>
      </c>
      <c r="B75" s="45">
        <v>58304</v>
      </c>
      <c r="D75" s="48"/>
    </row>
    <row r="76" spans="1:4">
      <c r="D76" s="48"/>
    </row>
    <row r="77" spans="1:4">
      <c r="D77" s="48"/>
    </row>
    <row r="78" spans="1:4">
      <c r="D78" s="48"/>
    </row>
    <row r="79" spans="1:4">
      <c r="D79" s="48"/>
    </row>
    <row r="80" spans="1:4">
      <c r="D80" s="48"/>
    </row>
    <row r="81" spans="1:7">
      <c r="D81" s="48"/>
    </row>
    <row r="82" spans="1:7">
      <c r="D82" s="48"/>
    </row>
    <row r="83" spans="1:7">
      <c r="D83" s="48"/>
    </row>
    <row r="84" spans="1:7">
      <c r="D84" s="48"/>
    </row>
    <row r="85" spans="1:7">
      <c r="D85" s="48"/>
    </row>
    <row r="86" spans="1:7">
      <c r="D86" s="48"/>
    </row>
    <row r="87" spans="1:7">
      <c r="D87" s="48"/>
    </row>
    <row r="88" spans="1:7">
      <c r="A88" s="48"/>
      <c r="B88" s="48"/>
      <c r="C88" s="48"/>
      <c r="D88" s="48"/>
    </row>
    <row r="89" spans="1:7">
      <c r="A89" s="48"/>
      <c r="B89" s="79" t="s">
        <v>454</v>
      </c>
      <c r="C89" s="79"/>
    </row>
    <row r="90" spans="1:7" ht="15" customHeight="1">
      <c r="A90" s="48"/>
      <c r="B90" s="75" t="s">
        <v>464</v>
      </c>
      <c r="C90" s="75"/>
      <c r="D90" s="75"/>
      <c r="E90" s="75"/>
      <c r="F90" s="75"/>
      <c r="G90" s="75"/>
    </row>
    <row r="91" spans="1:7">
      <c r="A91" s="48"/>
      <c r="B91" s="75"/>
      <c r="C91" s="75"/>
      <c r="D91" s="75"/>
      <c r="E91" s="75"/>
      <c r="F91" s="75"/>
      <c r="G91" s="75"/>
    </row>
    <row r="92" spans="1:7">
      <c r="B92" s="75"/>
      <c r="C92" s="75"/>
      <c r="D92" s="75"/>
      <c r="E92" s="75"/>
      <c r="F92" s="75"/>
      <c r="G92" s="75"/>
    </row>
    <row r="93" spans="1:7">
      <c r="B93" s="75"/>
      <c r="C93" s="75"/>
      <c r="D93" s="75"/>
      <c r="E93" s="75"/>
      <c r="F93" s="75"/>
      <c r="G93" s="75"/>
    </row>
    <row r="102" spans="1:6">
      <c r="A102" s="72" t="s">
        <v>465</v>
      </c>
      <c r="B102" s="72"/>
      <c r="C102" s="72"/>
      <c r="D102" s="72"/>
    </row>
    <row r="104" spans="1:6">
      <c r="A104" s="46" t="s">
        <v>450</v>
      </c>
      <c r="B104" t="s">
        <v>453</v>
      </c>
    </row>
    <row r="105" spans="1:6">
      <c r="A105" s="47" t="s">
        <v>467</v>
      </c>
      <c r="B105" s="45">
        <v>7748</v>
      </c>
    </row>
    <row r="106" spans="1:6">
      <c r="A106" s="47" t="s">
        <v>468</v>
      </c>
      <c r="B106" s="45">
        <v>8121</v>
      </c>
      <c r="F106" s="1"/>
    </row>
    <row r="107" spans="1:6">
      <c r="A107" s="47" t="s">
        <v>469</v>
      </c>
      <c r="B107" s="45">
        <v>8450</v>
      </c>
    </row>
    <row r="108" spans="1:6">
      <c r="A108" s="47" t="s">
        <v>470</v>
      </c>
      <c r="B108" s="45">
        <v>8383</v>
      </c>
    </row>
    <row r="109" spans="1:6">
      <c r="A109" s="47" t="s">
        <v>471</v>
      </c>
      <c r="B109" s="45">
        <v>8049</v>
      </c>
    </row>
    <row r="110" spans="1:6">
      <c r="A110" s="47" t="s">
        <v>472</v>
      </c>
      <c r="B110" s="45">
        <v>8458</v>
      </c>
    </row>
    <row r="111" spans="1:6">
      <c r="A111" s="47" t="s">
        <v>473</v>
      </c>
      <c r="B111" s="45">
        <v>9095</v>
      </c>
    </row>
    <row r="112" spans="1:6">
      <c r="A112" s="47" t="s">
        <v>451</v>
      </c>
      <c r="B112" s="45">
        <v>58304</v>
      </c>
    </row>
    <row r="121" spans="1:9">
      <c r="B121" s="50" t="s">
        <v>454</v>
      </c>
    </row>
    <row r="122" spans="1:9">
      <c r="A122" s="49"/>
      <c r="B122" s="77" t="s">
        <v>474</v>
      </c>
      <c r="C122" s="78"/>
      <c r="D122" s="78"/>
      <c r="E122" s="78"/>
      <c r="F122" s="78"/>
      <c r="G122" s="78"/>
      <c r="H122" s="78"/>
      <c r="I122" s="78"/>
    </row>
    <row r="123" spans="1:9">
      <c r="A123" s="49"/>
      <c r="B123" s="78"/>
      <c r="C123" s="78"/>
      <c r="D123" s="78"/>
      <c r="E123" s="78"/>
      <c r="F123" s="78"/>
      <c r="G123" s="78"/>
      <c r="H123" s="78"/>
      <c r="I123" s="78"/>
    </row>
    <row r="124" spans="1:9">
      <c r="A124" s="49"/>
      <c r="B124" s="78"/>
      <c r="C124" s="78"/>
      <c r="D124" s="78"/>
      <c r="E124" s="78"/>
      <c r="F124" s="78"/>
      <c r="G124" s="78"/>
      <c r="H124" s="78"/>
      <c r="I124" s="78"/>
    </row>
    <row r="125" spans="1:9">
      <c r="A125" s="49"/>
      <c r="B125" s="78"/>
      <c r="C125" s="78"/>
      <c r="D125" s="78"/>
      <c r="E125" s="78"/>
      <c r="F125" s="78"/>
      <c r="G125" s="78"/>
      <c r="H125" s="78"/>
      <c r="I125" s="78"/>
    </row>
    <row r="126" spans="1:9">
      <c r="A126" s="49"/>
      <c r="B126" s="78"/>
      <c r="C126" s="78"/>
      <c r="D126" s="78"/>
      <c r="E126" s="78"/>
      <c r="F126" s="78"/>
      <c r="G126" s="78"/>
      <c r="H126" s="78"/>
      <c r="I126" s="78"/>
    </row>
    <row r="127" spans="1:9">
      <c r="A127" s="49"/>
      <c r="B127" s="78"/>
      <c r="C127" s="78"/>
      <c r="D127" s="78"/>
      <c r="E127" s="78"/>
      <c r="F127" s="78"/>
      <c r="G127" s="78"/>
      <c r="H127" s="78"/>
      <c r="I127" s="78"/>
    </row>
    <row r="128" spans="1:9">
      <c r="A128" s="49"/>
      <c r="B128" s="78"/>
      <c r="C128" s="78"/>
      <c r="D128" s="78"/>
      <c r="E128" s="78"/>
      <c r="F128" s="78"/>
      <c r="G128" s="78"/>
      <c r="H128" s="78"/>
      <c r="I128" s="78"/>
    </row>
    <row r="129" spans="1:9">
      <c r="A129" s="49"/>
      <c r="B129" s="78"/>
      <c r="C129" s="78"/>
      <c r="D129" s="78"/>
      <c r="E129" s="78"/>
      <c r="F129" s="78"/>
      <c r="G129" s="78"/>
      <c r="H129" s="78"/>
      <c r="I129" s="78"/>
    </row>
    <row r="130" spans="1:9">
      <c r="B130" s="78"/>
      <c r="C130" s="78"/>
      <c r="D130" s="78"/>
      <c r="E130" s="78"/>
      <c r="F130" s="78"/>
      <c r="G130" s="78"/>
      <c r="H130" s="78"/>
      <c r="I130" s="78"/>
    </row>
    <row r="131" spans="1:9">
      <c r="B131" s="78"/>
      <c r="C131" s="78"/>
      <c r="D131" s="78"/>
      <c r="E131" s="78"/>
      <c r="F131" s="78"/>
      <c r="G131" s="78"/>
      <c r="H131" s="78"/>
      <c r="I131" s="78"/>
    </row>
    <row r="132" spans="1:9">
      <c r="B132" s="78"/>
      <c r="C132" s="78"/>
      <c r="D132" s="78"/>
      <c r="E132" s="78"/>
      <c r="F132" s="78"/>
      <c r="G132" s="78"/>
      <c r="H132" s="78"/>
      <c r="I132" s="78"/>
    </row>
    <row r="133" spans="1:9">
      <c r="B133" s="78"/>
      <c r="C133" s="78"/>
      <c r="D133" s="78"/>
      <c r="E133" s="78"/>
      <c r="F133" s="78"/>
      <c r="G133" s="78"/>
      <c r="H133" s="78"/>
      <c r="I133" s="78"/>
    </row>
    <row r="136" spans="1:9">
      <c r="A136" s="72" t="s">
        <v>475</v>
      </c>
      <c r="B136" s="72"/>
      <c r="C136" s="72"/>
      <c r="D136" s="72"/>
    </row>
    <row r="137" spans="1:9">
      <c r="A137" s="46" t="s">
        <v>450</v>
      </c>
      <c r="B137" t="s">
        <v>484</v>
      </c>
      <c r="D137" s="44"/>
    </row>
    <row r="138" spans="1:9">
      <c r="A138" s="47" t="s">
        <v>483</v>
      </c>
      <c r="B138" s="45">
        <v>4921</v>
      </c>
    </row>
    <row r="139" spans="1:9">
      <c r="A139" s="47" t="s">
        <v>479</v>
      </c>
      <c r="B139" s="45">
        <v>53383</v>
      </c>
    </row>
    <row r="140" spans="1:9">
      <c r="A140" s="47" t="s">
        <v>451</v>
      </c>
      <c r="B140" s="45">
        <v>58304</v>
      </c>
    </row>
    <row r="153" spans="2:9">
      <c r="B153" s="61" t="s">
        <v>454</v>
      </c>
      <c r="C153" s="62"/>
      <c r="D153" s="62"/>
      <c r="E153" s="62"/>
      <c r="F153" s="62"/>
      <c r="G153" s="62"/>
      <c r="H153" s="62"/>
      <c r="I153" s="62"/>
    </row>
    <row r="154" spans="2:9">
      <c r="B154" s="75" t="s">
        <v>485</v>
      </c>
      <c r="C154" s="76"/>
      <c r="D154" s="76"/>
      <c r="E154" s="76"/>
      <c r="F154" s="76"/>
      <c r="G154" s="76"/>
      <c r="H154" s="76"/>
      <c r="I154" s="76"/>
    </row>
    <row r="155" spans="2:9" ht="29.25" customHeight="1">
      <c r="B155" s="76"/>
      <c r="C155" s="76"/>
      <c r="D155" s="76"/>
      <c r="E155" s="76"/>
      <c r="F155" s="76"/>
      <c r="G155" s="76"/>
      <c r="H155" s="76"/>
      <c r="I155" s="76"/>
    </row>
  </sheetData>
  <sortState columnSort="1" ref="A3:C29">
    <sortCondition descending="1" ref="C4"/>
  </sortState>
  <mergeCells count="13">
    <mergeCell ref="A1:D1"/>
    <mergeCell ref="D25:E25"/>
    <mergeCell ref="D26:J28"/>
    <mergeCell ref="A35:D35"/>
    <mergeCell ref="B154:I155"/>
    <mergeCell ref="A102:D102"/>
    <mergeCell ref="B122:I133"/>
    <mergeCell ref="A136:D136"/>
    <mergeCell ref="C57:D57"/>
    <mergeCell ref="C58:H60"/>
    <mergeCell ref="A68:D68"/>
    <mergeCell ref="B89:C89"/>
    <mergeCell ref="B90:G93"/>
  </mergeCells>
  <pageMargins left="0.7" right="0.7" top="0.75" bottom="0.75" header="0.3" footer="0.3"/>
  <pageSetup orientation="landscape" r:id="rId6"/>
  <drawing r:id="rId7"/>
</worksheet>
</file>

<file path=xl/worksheets/sheet4.xml><?xml version="1.0" encoding="utf-8"?>
<worksheet xmlns="http://schemas.openxmlformats.org/spreadsheetml/2006/main" xmlns:r="http://schemas.openxmlformats.org/officeDocument/2006/relationships">
  <dimension ref="A1:R67"/>
  <sheetViews>
    <sheetView tabSelected="1" zoomScale="70" zoomScaleNormal="70" workbookViewId="0">
      <selection activeCell="A55" sqref="A55:XFD1048576"/>
    </sheetView>
  </sheetViews>
  <sheetFormatPr defaultColWidth="0" defaultRowHeight="15" zeroHeight="1"/>
  <cols>
    <col min="1" max="12" width="9.140625" customWidth="1"/>
    <col min="13" max="13" width="14.42578125" customWidth="1"/>
    <col min="14" max="16384" width="9.140625" hidden="1"/>
  </cols>
  <sheetData>
    <row r="1" spans="1:18" ht="15" customHeight="1">
      <c r="A1" s="80" t="s">
        <v>486</v>
      </c>
      <c r="B1" s="80"/>
      <c r="C1" s="80"/>
      <c r="D1" s="80"/>
      <c r="E1" s="80"/>
      <c r="F1" s="80"/>
      <c r="G1" s="80"/>
      <c r="H1" s="80"/>
      <c r="I1" s="80"/>
      <c r="J1" s="80"/>
      <c r="K1" s="80"/>
      <c r="L1" s="80"/>
      <c r="M1" s="80"/>
      <c r="N1" s="64"/>
      <c r="O1" s="64"/>
      <c r="P1" s="64"/>
      <c r="Q1" s="64"/>
      <c r="R1" s="64"/>
    </row>
    <row r="2" spans="1:18" ht="15" customHeight="1">
      <c r="A2" s="80"/>
      <c r="B2" s="80"/>
      <c r="C2" s="80"/>
      <c r="D2" s="80"/>
      <c r="E2" s="80"/>
      <c r="F2" s="80"/>
      <c r="G2" s="80"/>
      <c r="H2" s="80"/>
      <c r="I2" s="80"/>
      <c r="J2" s="80"/>
      <c r="K2" s="80"/>
      <c r="L2" s="80"/>
      <c r="M2" s="80"/>
      <c r="N2" s="64"/>
      <c r="O2" s="64"/>
      <c r="P2" s="64"/>
      <c r="Q2" s="64"/>
      <c r="R2" s="64"/>
    </row>
    <row r="3" spans="1:18" ht="18.75" customHeight="1">
      <c r="A3" s="81" t="s">
        <v>487</v>
      </c>
      <c r="B3" s="81"/>
      <c r="C3" s="81"/>
      <c r="D3" s="81"/>
      <c r="E3" s="81"/>
      <c r="F3" s="81"/>
      <c r="G3" s="81"/>
      <c r="H3" s="81"/>
      <c r="I3" s="81"/>
      <c r="J3" s="81"/>
      <c r="K3" s="81"/>
      <c r="L3" s="81"/>
      <c r="M3" s="81"/>
    </row>
    <row r="4" spans="1:18">
      <c r="A4" s="65"/>
      <c r="B4" s="65"/>
      <c r="C4" s="65"/>
      <c r="D4" s="65"/>
      <c r="E4" s="65"/>
      <c r="F4" s="65"/>
      <c r="G4" s="65"/>
      <c r="H4" s="65"/>
      <c r="I4" s="65"/>
      <c r="J4" s="65"/>
      <c r="K4" s="65"/>
      <c r="L4" s="65"/>
      <c r="M4" s="65"/>
    </row>
    <row r="5" spans="1:18">
      <c r="A5" s="65"/>
      <c r="B5" s="65"/>
      <c r="C5" s="65"/>
      <c r="D5" s="65"/>
      <c r="E5" s="65"/>
      <c r="F5" s="65"/>
      <c r="G5" s="65"/>
      <c r="H5" s="65"/>
      <c r="I5" s="65"/>
      <c r="J5" s="65"/>
      <c r="K5" s="65"/>
      <c r="L5" s="65"/>
      <c r="M5" s="65"/>
    </row>
    <row r="6" spans="1:18">
      <c r="A6" s="65"/>
      <c r="B6" s="65"/>
      <c r="C6" s="65"/>
      <c r="D6" s="65"/>
      <c r="E6" s="65"/>
      <c r="F6" s="65"/>
      <c r="G6" s="65"/>
      <c r="H6" s="65"/>
      <c r="I6" s="65"/>
      <c r="J6" s="65"/>
      <c r="K6" s="65"/>
      <c r="L6" s="65"/>
      <c r="M6" s="65"/>
    </row>
    <row r="7" spans="1:18">
      <c r="A7" s="65"/>
      <c r="B7" s="65"/>
      <c r="C7" s="65"/>
      <c r="D7" s="65"/>
      <c r="E7" s="65"/>
      <c r="F7" s="65"/>
      <c r="G7" s="65"/>
      <c r="H7" s="65"/>
      <c r="I7" s="65"/>
      <c r="J7" s="65"/>
      <c r="K7" s="65"/>
      <c r="L7" s="65"/>
      <c r="M7" s="65"/>
    </row>
    <row r="8" spans="1:18">
      <c r="A8" s="65"/>
      <c r="B8" s="65"/>
      <c r="C8" s="65"/>
      <c r="D8" s="65"/>
      <c r="E8" s="65"/>
      <c r="F8" s="65"/>
      <c r="G8" s="65"/>
      <c r="H8" s="65"/>
      <c r="I8" s="65"/>
      <c r="J8" s="65"/>
      <c r="K8" s="65"/>
      <c r="L8" s="65"/>
      <c r="M8" s="65"/>
    </row>
    <row r="9" spans="1:18">
      <c r="A9" s="65"/>
      <c r="B9" s="65"/>
      <c r="C9" s="65"/>
      <c r="D9" s="65"/>
      <c r="E9" s="65"/>
      <c r="F9" s="65"/>
      <c r="G9" s="65"/>
      <c r="H9" s="65"/>
      <c r="I9" s="65"/>
      <c r="J9" s="65"/>
      <c r="K9" s="65"/>
      <c r="L9" s="65"/>
      <c r="M9" s="65"/>
    </row>
    <row r="10" spans="1:18">
      <c r="A10" s="65"/>
      <c r="B10" s="65"/>
      <c r="C10" s="65"/>
      <c r="D10" s="65"/>
      <c r="E10" s="65"/>
      <c r="F10" s="65"/>
      <c r="G10" s="65"/>
      <c r="H10" s="65"/>
      <c r="I10" s="65"/>
      <c r="J10" s="65"/>
      <c r="K10" s="65"/>
      <c r="L10" s="65"/>
      <c r="M10" s="65"/>
    </row>
    <row r="11" spans="1:18">
      <c r="A11" s="65"/>
      <c r="B11" s="65"/>
      <c r="C11" s="65"/>
      <c r="D11" s="65"/>
      <c r="E11" s="65"/>
      <c r="F11" s="65"/>
      <c r="G11" s="65"/>
      <c r="H11" s="65"/>
      <c r="I11" s="65"/>
      <c r="J11" s="65"/>
      <c r="K11" s="65"/>
      <c r="L11" s="65"/>
      <c r="M11" s="65"/>
    </row>
    <row r="12" spans="1:18">
      <c r="A12" s="65"/>
      <c r="B12" s="65"/>
      <c r="C12" s="65"/>
      <c r="D12" s="65"/>
      <c r="E12" s="65"/>
      <c r="F12" s="65"/>
      <c r="G12" s="65"/>
      <c r="H12" s="65"/>
      <c r="I12" s="65"/>
      <c r="J12" s="65"/>
      <c r="K12" s="65"/>
      <c r="L12" s="65"/>
      <c r="M12" s="65"/>
    </row>
    <row r="13" spans="1:18">
      <c r="A13" s="65"/>
      <c r="B13" s="65"/>
      <c r="C13" s="65"/>
      <c r="D13" s="65"/>
      <c r="E13" s="65"/>
      <c r="F13" s="65"/>
      <c r="G13" s="65"/>
      <c r="H13" s="65"/>
      <c r="I13" s="65"/>
      <c r="J13" s="65"/>
      <c r="K13" s="65"/>
      <c r="L13" s="65"/>
      <c r="M13" s="65"/>
    </row>
    <row r="14" spans="1:18">
      <c r="A14" s="65"/>
      <c r="B14" s="65"/>
      <c r="C14" s="65"/>
      <c r="D14" s="65"/>
      <c r="E14" s="65"/>
      <c r="F14" s="65"/>
      <c r="G14" s="65"/>
      <c r="H14" s="65"/>
      <c r="I14" s="65"/>
      <c r="J14" s="65"/>
      <c r="K14" s="65"/>
      <c r="L14" s="65"/>
      <c r="M14" s="65"/>
    </row>
    <row r="15" spans="1:18">
      <c r="A15" s="65"/>
      <c r="B15" s="65"/>
      <c r="C15" s="65"/>
      <c r="D15" s="65"/>
      <c r="E15" s="65"/>
      <c r="F15" s="65"/>
      <c r="G15" s="65"/>
      <c r="H15" s="65"/>
      <c r="I15" s="65"/>
      <c r="J15" s="65"/>
      <c r="K15" s="65"/>
      <c r="L15" s="65"/>
      <c r="M15" s="65"/>
    </row>
    <row r="16" spans="1:18">
      <c r="A16" s="65"/>
      <c r="B16" s="65"/>
      <c r="C16" s="65"/>
      <c r="D16" s="65"/>
      <c r="E16" s="65"/>
      <c r="F16" s="65"/>
      <c r="G16" s="65"/>
      <c r="H16" s="65"/>
      <c r="I16" s="65"/>
      <c r="J16" s="65"/>
      <c r="K16" s="65"/>
      <c r="L16" s="65"/>
      <c r="M16" s="65"/>
    </row>
    <row r="17" spans="1:13">
      <c r="A17" s="65"/>
      <c r="B17" s="65"/>
      <c r="C17" s="65"/>
      <c r="D17" s="65"/>
      <c r="E17" s="65"/>
      <c r="F17" s="65"/>
      <c r="G17" s="65"/>
      <c r="H17" s="65"/>
      <c r="I17" s="65"/>
      <c r="J17" s="65"/>
      <c r="K17" s="65"/>
      <c r="L17" s="65"/>
      <c r="M17" s="65"/>
    </row>
    <row r="18" spans="1:13">
      <c r="A18" s="65"/>
      <c r="B18" s="65"/>
      <c r="C18" s="65"/>
      <c r="D18" s="65"/>
      <c r="E18" s="65"/>
      <c r="F18" s="65"/>
      <c r="G18" s="65"/>
      <c r="H18" s="65"/>
      <c r="I18" s="65"/>
      <c r="J18" s="65"/>
      <c r="K18" s="65"/>
      <c r="L18" s="65"/>
      <c r="M18" s="65"/>
    </row>
    <row r="19" spans="1:13">
      <c r="A19" s="65"/>
      <c r="B19" s="65"/>
      <c r="C19" s="65"/>
      <c r="D19" s="65"/>
      <c r="E19" s="65"/>
      <c r="F19" s="65"/>
      <c r="G19" s="65"/>
      <c r="H19" s="65"/>
      <c r="I19" s="65"/>
      <c r="J19" s="65"/>
      <c r="K19" s="65"/>
      <c r="L19" s="65"/>
      <c r="M19" s="65"/>
    </row>
    <row r="20" spans="1:13">
      <c r="A20" s="65"/>
      <c r="B20" s="65"/>
      <c r="C20" s="65"/>
      <c r="D20" s="65"/>
      <c r="E20" s="65"/>
      <c r="F20" s="65"/>
      <c r="G20" s="65"/>
      <c r="H20" s="65"/>
      <c r="I20" s="65"/>
      <c r="J20" s="65"/>
      <c r="K20" s="65"/>
      <c r="L20" s="65"/>
      <c r="M20" s="65"/>
    </row>
    <row r="21" spans="1:13">
      <c r="A21" s="65"/>
      <c r="B21" s="65"/>
      <c r="C21" s="65"/>
      <c r="D21" s="65"/>
      <c r="E21" s="65"/>
      <c r="F21" s="65"/>
      <c r="G21" s="65"/>
      <c r="H21" s="65"/>
      <c r="I21" s="65"/>
      <c r="J21" s="65"/>
      <c r="K21" s="65"/>
      <c r="L21" s="65"/>
      <c r="M21" s="65"/>
    </row>
    <row r="22" spans="1:13">
      <c r="A22" s="65"/>
      <c r="B22" s="65"/>
      <c r="C22" s="65"/>
      <c r="D22" s="65"/>
      <c r="E22" s="65"/>
      <c r="F22" s="65"/>
      <c r="G22" s="65"/>
      <c r="H22" s="65"/>
      <c r="I22" s="65"/>
      <c r="J22" s="65"/>
      <c r="K22" s="65"/>
      <c r="L22" s="65"/>
      <c r="M22" s="65"/>
    </row>
    <row r="23" spans="1:13">
      <c r="A23" s="65"/>
      <c r="B23" s="65"/>
      <c r="C23" s="65"/>
      <c r="D23" s="65"/>
      <c r="E23" s="65"/>
      <c r="F23" s="65"/>
      <c r="G23" s="65"/>
      <c r="H23" s="65"/>
      <c r="I23" s="65"/>
      <c r="J23" s="65"/>
      <c r="K23" s="65"/>
      <c r="L23" s="65"/>
      <c r="M23" s="65"/>
    </row>
    <row r="24" spans="1:13">
      <c r="A24" s="65"/>
      <c r="B24" s="65"/>
      <c r="C24" s="65"/>
      <c r="D24" s="65"/>
      <c r="E24" s="65"/>
      <c r="F24" s="65"/>
      <c r="G24" s="65"/>
      <c r="H24" s="65"/>
      <c r="I24" s="65"/>
      <c r="J24" s="65"/>
      <c r="K24" s="65"/>
      <c r="L24" s="65"/>
      <c r="M24" s="65"/>
    </row>
    <row r="25" spans="1:13">
      <c r="A25" s="65"/>
      <c r="B25" s="65"/>
      <c r="C25" s="65"/>
      <c r="D25" s="65"/>
      <c r="E25" s="65"/>
      <c r="F25" s="65"/>
      <c r="G25" s="65"/>
      <c r="H25" s="65"/>
      <c r="I25" s="65"/>
      <c r="J25" s="65"/>
      <c r="K25" s="65"/>
      <c r="L25" s="65"/>
      <c r="M25" s="65"/>
    </row>
    <row r="26" spans="1:13">
      <c r="A26" s="65"/>
      <c r="B26" s="65"/>
      <c r="C26" s="65"/>
      <c r="D26" s="65"/>
      <c r="E26" s="65"/>
      <c r="F26" s="65"/>
      <c r="G26" s="65"/>
      <c r="H26" s="65"/>
      <c r="I26" s="65"/>
      <c r="J26" s="65"/>
      <c r="K26" s="65"/>
      <c r="L26" s="65"/>
      <c r="M26" s="65"/>
    </row>
    <row r="27" spans="1:13">
      <c r="A27" s="65"/>
      <c r="B27" s="65"/>
      <c r="C27" s="65"/>
      <c r="D27" s="65"/>
      <c r="E27" s="65"/>
      <c r="F27" s="65"/>
      <c r="G27" s="65"/>
      <c r="H27" s="65"/>
      <c r="I27" s="65"/>
      <c r="J27" s="65"/>
      <c r="K27" s="65"/>
      <c r="L27" s="65"/>
      <c r="M27" s="65"/>
    </row>
    <row r="28" spans="1:13">
      <c r="A28" s="65"/>
      <c r="B28" s="65"/>
      <c r="C28" s="65"/>
      <c r="D28" s="65"/>
      <c r="E28" s="65"/>
      <c r="F28" s="65"/>
      <c r="G28" s="65"/>
      <c r="H28" s="65"/>
      <c r="I28" s="65"/>
      <c r="J28" s="65"/>
      <c r="K28" s="65"/>
      <c r="L28" s="65"/>
      <c r="M28" s="65"/>
    </row>
    <row r="29" spans="1:13">
      <c r="A29" s="65"/>
      <c r="B29" s="65"/>
      <c r="C29" s="65"/>
      <c r="D29" s="65"/>
      <c r="E29" s="65"/>
      <c r="F29" s="65"/>
      <c r="G29" s="65"/>
      <c r="H29" s="65"/>
      <c r="I29" s="65"/>
      <c r="J29" s="65"/>
      <c r="K29" s="65"/>
      <c r="L29" s="65"/>
      <c r="M29" s="65"/>
    </row>
    <row r="30" spans="1:13">
      <c r="A30" s="65"/>
      <c r="B30" s="65"/>
      <c r="C30" s="65"/>
      <c r="D30" s="65"/>
      <c r="E30" s="65"/>
      <c r="F30" s="65"/>
      <c r="G30" s="65"/>
      <c r="H30" s="65"/>
      <c r="I30" s="65"/>
      <c r="J30" s="65"/>
      <c r="K30" s="65"/>
      <c r="L30" s="65"/>
      <c r="M30" s="65"/>
    </row>
    <row r="31" spans="1:13">
      <c r="A31" s="65"/>
      <c r="B31" s="65"/>
      <c r="C31" s="65"/>
      <c r="D31" s="65"/>
      <c r="E31" s="65"/>
      <c r="F31" s="65"/>
      <c r="G31" s="65"/>
      <c r="H31" s="65"/>
      <c r="I31" s="65"/>
      <c r="J31" s="65"/>
      <c r="K31" s="65"/>
      <c r="L31" s="65"/>
      <c r="M31" s="65"/>
    </row>
    <row r="32" spans="1:13">
      <c r="A32" s="65"/>
      <c r="B32" s="65"/>
      <c r="C32" s="65"/>
      <c r="D32" s="65"/>
      <c r="E32" s="65"/>
      <c r="F32" s="65"/>
      <c r="G32" s="65"/>
      <c r="H32" s="65"/>
      <c r="I32" s="65"/>
      <c r="J32" s="65"/>
      <c r="K32" s="65"/>
      <c r="L32" s="65"/>
      <c r="M32" s="65"/>
    </row>
    <row r="33" spans="1:13">
      <c r="A33" s="65"/>
      <c r="B33" s="65"/>
      <c r="C33" s="65"/>
      <c r="D33" s="65"/>
      <c r="E33" s="65"/>
      <c r="F33" s="65"/>
      <c r="G33" s="65"/>
      <c r="H33" s="65"/>
      <c r="I33" s="65"/>
      <c r="J33" s="65"/>
      <c r="K33" s="65"/>
      <c r="L33" s="65"/>
      <c r="M33" s="65"/>
    </row>
    <row r="34" spans="1:13">
      <c r="A34" s="65"/>
      <c r="B34" s="65"/>
      <c r="C34" s="65"/>
      <c r="D34" s="65"/>
      <c r="E34" s="65"/>
      <c r="F34" s="65"/>
      <c r="G34" s="65"/>
      <c r="H34" s="65"/>
      <c r="I34" s="65"/>
      <c r="J34" s="65"/>
      <c r="K34" s="65"/>
      <c r="L34" s="65"/>
      <c r="M34" s="65"/>
    </row>
    <row r="35" spans="1:13">
      <c r="A35" s="65"/>
      <c r="B35" s="65"/>
      <c r="C35" s="65"/>
      <c r="D35" s="65"/>
      <c r="E35" s="65"/>
      <c r="F35" s="65"/>
      <c r="G35" s="65"/>
      <c r="H35" s="65"/>
      <c r="I35" s="65"/>
      <c r="J35" s="65"/>
      <c r="K35" s="65"/>
      <c r="L35" s="65"/>
      <c r="M35" s="65"/>
    </row>
    <row r="36" spans="1:13">
      <c r="A36" s="65"/>
      <c r="B36" s="65"/>
      <c r="C36" s="65"/>
      <c r="D36" s="65"/>
      <c r="E36" s="65"/>
      <c r="F36" s="65"/>
      <c r="G36" s="65"/>
      <c r="H36" s="65"/>
      <c r="I36" s="65"/>
      <c r="J36" s="65"/>
      <c r="K36" s="65"/>
      <c r="L36" s="65"/>
      <c r="M36" s="65"/>
    </row>
    <row r="37" spans="1:13">
      <c r="A37" s="65"/>
      <c r="B37" s="65"/>
      <c r="C37" s="65"/>
      <c r="D37" s="65"/>
      <c r="E37" s="65"/>
      <c r="F37" s="65"/>
      <c r="G37" s="65"/>
      <c r="H37" s="65"/>
      <c r="I37" s="65"/>
      <c r="J37" s="65"/>
      <c r="K37" s="65"/>
      <c r="L37" s="65"/>
      <c r="M37" s="65"/>
    </row>
    <row r="38" spans="1:13">
      <c r="A38" s="65"/>
      <c r="B38" s="65"/>
      <c r="C38" s="65"/>
      <c r="D38" s="65"/>
      <c r="E38" s="65"/>
      <c r="F38" s="65"/>
      <c r="G38" s="65"/>
      <c r="H38" s="65"/>
      <c r="I38" s="65"/>
      <c r="J38" s="65"/>
      <c r="K38" s="65"/>
      <c r="L38" s="65"/>
      <c r="M38" s="65"/>
    </row>
    <row r="39" spans="1:13">
      <c r="A39" s="65"/>
      <c r="B39" s="65"/>
      <c r="C39" s="65"/>
      <c r="D39" s="65"/>
      <c r="E39" s="65"/>
      <c r="F39" s="65"/>
      <c r="G39" s="65"/>
      <c r="H39" s="65"/>
      <c r="I39" s="65"/>
      <c r="J39" s="65"/>
      <c r="K39" s="65"/>
      <c r="L39" s="65"/>
      <c r="M39" s="65"/>
    </row>
    <row r="40" spans="1:13">
      <c r="A40" s="65"/>
      <c r="B40" s="65"/>
      <c r="C40" s="65"/>
      <c r="D40" s="65"/>
      <c r="E40" s="65"/>
      <c r="F40" s="65"/>
      <c r="G40" s="65"/>
      <c r="H40" s="65"/>
      <c r="I40" s="65"/>
      <c r="J40" s="65"/>
      <c r="K40" s="65"/>
      <c r="L40" s="65"/>
      <c r="M40" s="65"/>
    </row>
    <row r="41" spans="1:13">
      <c r="A41" s="65"/>
      <c r="B41" s="65"/>
      <c r="C41" s="65"/>
      <c r="D41" s="65"/>
      <c r="E41" s="65"/>
      <c r="F41" s="65"/>
      <c r="G41" s="65"/>
      <c r="H41" s="65"/>
      <c r="I41" s="65"/>
      <c r="J41" s="65"/>
      <c r="K41" s="65"/>
      <c r="L41" s="65"/>
      <c r="M41" s="65"/>
    </row>
    <row r="42" spans="1:13">
      <c r="A42" s="65"/>
      <c r="B42" s="65"/>
      <c r="C42" s="65"/>
      <c r="D42" s="65"/>
      <c r="E42" s="65"/>
      <c r="F42" s="65"/>
      <c r="G42" s="65"/>
      <c r="H42" s="65"/>
      <c r="I42" s="65"/>
      <c r="J42" s="65"/>
      <c r="K42" s="65"/>
      <c r="L42" s="65"/>
      <c r="M42" s="65"/>
    </row>
    <row r="43" spans="1:13">
      <c r="A43" s="65"/>
      <c r="B43" s="65"/>
      <c r="C43" s="65"/>
      <c r="D43" s="65"/>
      <c r="E43" s="65"/>
      <c r="F43" s="65"/>
      <c r="G43" s="65"/>
      <c r="H43" s="65"/>
      <c r="I43" s="65"/>
      <c r="J43" s="65"/>
      <c r="K43" s="65"/>
      <c r="L43" s="65"/>
      <c r="M43" s="65"/>
    </row>
    <row r="44" spans="1:13">
      <c r="A44" s="65"/>
      <c r="B44" s="65"/>
      <c r="C44" s="65"/>
      <c r="D44" s="65"/>
      <c r="E44" s="65"/>
      <c r="F44" s="65"/>
      <c r="G44" s="65"/>
      <c r="H44" s="65"/>
      <c r="I44" s="65"/>
      <c r="J44" s="65"/>
      <c r="K44" s="65"/>
      <c r="L44" s="65"/>
      <c r="M44" s="65"/>
    </row>
    <row r="45" spans="1:13">
      <c r="A45" s="65"/>
      <c r="B45" s="65"/>
      <c r="C45" s="65"/>
      <c r="D45" s="65"/>
      <c r="E45" s="65"/>
      <c r="F45" s="65"/>
      <c r="G45" s="65"/>
      <c r="H45" s="65"/>
      <c r="I45" s="65"/>
      <c r="J45" s="65"/>
      <c r="K45" s="65"/>
      <c r="L45" s="65"/>
      <c r="M45" s="65"/>
    </row>
    <row r="46" spans="1:13">
      <c r="A46" s="65"/>
      <c r="B46" s="65"/>
      <c r="C46" s="65"/>
      <c r="D46" s="65"/>
      <c r="E46" s="65"/>
      <c r="F46" s="65"/>
      <c r="G46" s="65"/>
      <c r="H46" s="65"/>
      <c r="I46" s="65"/>
      <c r="J46" s="65"/>
      <c r="K46" s="65"/>
      <c r="L46" s="65"/>
      <c r="M46" s="65"/>
    </row>
    <row r="47" spans="1:13">
      <c r="A47" s="65"/>
      <c r="B47" s="65"/>
      <c r="C47" s="65"/>
      <c r="D47" s="65"/>
      <c r="E47" s="65"/>
      <c r="F47" s="65"/>
      <c r="G47" s="65"/>
      <c r="H47" s="65"/>
      <c r="I47" s="65"/>
      <c r="J47" s="65"/>
      <c r="K47" s="65"/>
      <c r="L47" s="65"/>
      <c r="M47" s="65"/>
    </row>
    <row r="48" spans="1:13">
      <c r="A48" s="65"/>
      <c r="B48" s="65"/>
      <c r="C48" s="65"/>
      <c r="D48" s="65"/>
      <c r="E48" s="65"/>
      <c r="F48" s="65"/>
      <c r="G48" s="65"/>
      <c r="H48" s="65"/>
      <c r="I48" s="65"/>
      <c r="J48" s="65"/>
      <c r="K48" s="65"/>
      <c r="L48" s="65"/>
      <c r="M48" s="65"/>
    </row>
    <row r="49" spans="1:13">
      <c r="A49" s="65"/>
      <c r="B49" s="65"/>
      <c r="C49" s="65"/>
      <c r="D49" s="65"/>
      <c r="E49" s="65"/>
      <c r="F49" s="65"/>
      <c r="G49" s="65"/>
      <c r="H49" s="65"/>
      <c r="I49" s="65"/>
      <c r="J49" s="65"/>
      <c r="K49" s="65"/>
      <c r="L49" s="65"/>
      <c r="M49" s="65"/>
    </row>
    <row r="50" spans="1:13">
      <c r="A50" s="65"/>
      <c r="B50" s="65"/>
      <c r="C50" s="65"/>
      <c r="D50" s="65"/>
      <c r="E50" s="65"/>
      <c r="F50" s="65"/>
      <c r="G50" s="65"/>
      <c r="H50" s="65"/>
      <c r="I50" s="65"/>
      <c r="J50" s="65"/>
      <c r="K50" s="65"/>
      <c r="L50" s="65"/>
      <c r="M50" s="65"/>
    </row>
    <row r="51" spans="1:13">
      <c r="A51" s="65"/>
      <c r="B51" s="65"/>
      <c r="C51" s="65"/>
      <c r="D51" s="65"/>
      <c r="E51" s="65"/>
      <c r="F51" s="65"/>
      <c r="G51" s="65"/>
      <c r="H51" s="65"/>
      <c r="I51" s="65"/>
      <c r="J51" s="65"/>
      <c r="K51" s="65"/>
      <c r="L51" s="65"/>
      <c r="M51" s="65"/>
    </row>
    <row r="52" spans="1:13">
      <c r="A52" s="65"/>
      <c r="B52" s="65"/>
      <c r="C52" s="65"/>
      <c r="D52" s="65"/>
      <c r="E52" s="65"/>
      <c r="F52" s="65"/>
      <c r="G52" s="65"/>
      <c r="H52" s="65"/>
      <c r="I52" s="65"/>
      <c r="J52" s="65"/>
      <c r="K52" s="65"/>
      <c r="L52" s="65"/>
      <c r="M52" s="65"/>
    </row>
    <row r="53" spans="1:13">
      <c r="A53" s="65"/>
      <c r="B53" s="65"/>
      <c r="C53" s="65"/>
      <c r="D53" s="65"/>
      <c r="E53" s="65"/>
      <c r="F53" s="65"/>
      <c r="G53" s="65"/>
      <c r="H53" s="65"/>
      <c r="I53" s="65"/>
      <c r="J53" s="65"/>
      <c r="K53" s="65"/>
      <c r="L53" s="65"/>
      <c r="M53" s="65"/>
    </row>
    <row r="54" spans="1:13">
      <c r="A54" s="65"/>
      <c r="B54" s="65"/>
      <c r="C54" s="65"/>
      <c r="D54" s="65"/>
      <c r="E54" s="65"/>
      <c r="F54" s="65"/>
      <c r="G54" s="65"/>
      <c r="H54" s="65"/>
      <c r="I54" s="65"/>
      <c r="J54" s="65"/>
      <c r="K54" s="65"/>
      <c r="L54" s="65"/>
      <c r="M54" s="65"/>
    </row>
    <row r="55" spans="1:13" hidden="1">
      <c r="A55" s="65"/>
      <c r="B55" s="65"/>
      <c r="C55" s="65"/>
      <c r="D55" s="65"/>
      <c r="E55" s="65"/>
      <c r="F55" s="65"/>
      <c r="G55" s="65"/>
      <c r="H55" s="65"/>
      <c r="I55" s="65"/>
      <c r="J55" s="65"/>
      <c r="K55" s="65"/>
      <c r="L55" s="65"/>
      <c r="M55" s="65"/>
    </row>
    <row r="56" spans="1:13" hidden="1">
      <c r="A56" s="65"/>
      <c r="B56" s="65"/>
      <c r="C56" s="65"/>
      <c r="D56" s="65"/>
      <c r="E56" s="65"/>
      <c r="F56" s="65"/>
      <c r="G56" s="65"/>
      <c r="H56" s="65"/>
      <c r="I56" s="65"/>
      <c r="J56" s="65"/>
      <c r="K56" s="65"/>
      <c r="L56" s="65"/>
      <c r="M56" s="65"/>
    </row>
    <row r="57" spans="1:13" hidden="1">
      <c r="A57" s="65"/>
      <c r="B57" s="65"/>
      <c r="C57" s="65"/>
      <c r="D57" s="65"/>
      <c r="E57" s="65"/>
      <c r="F57" s="65"/>
      <c r="G57" s="65"/>
      <c r="H57" s="65"/>
      <c r="I57" s="65"/>
      <c r="J57" s="65"/>
      <c r="K57" s="65"/>
      <c r="L57" s="65"/>
      <c r="M57" s="65"/>
    </row>
    <row r="58" spans="1:13" hidden="1">
      <c r="A58" s="65"/>
      <c r="B58" s="65"/>
      <c r="C58" s="65"/>
      <c r="D58" s="65"/>
      <c r="E58" s="65"/>
      <c r="F58" s="65"/>
      <c r="G58" s="65"/>
      <c r="H58" s="65"/>
      <c r="I58" s="65"/>
      <c r="J58" s="65"/>
      <c r="K58" s="65"/>
      <c r="L58" s="65"/>
      <c r="M58" s="65"/>
    </row>
    <row r="59" spans="1:13" hidden="1">
      <c r="A59" s="65"/>
      <c r="B59" s="65"/>
      <c r="C59" s="65"/>
      <c r="D59" s="65"/>
      <c r="E59" s="65"/>
      <c r="F59" s="65"/>
      <c r="G59" s="65"/>
      <c r="H59" s="65"/>
      <c r="I59" s="65"/>
      <c r="J59" s="65"/>
      <c r="K59" s="65"/>
      <c r="L59" s="65"/>
      <c r="M59" s="65"/>
    </row>
    <row r="60" spans="1:13" hidden="1">
      <c r="A60" s="65"/>
      <c r="B60" s="65"/>
      <c r="C60" s="65"/>
      <c r="D60" s="65"/>
      <c r="E60" s="65"/>
      <c r="F60" s="65"/>
      <c r="G60" s="65"/>
      <c r="H60" s="65"/>
      <c r="I60" s="65"/>
      <c r="J60" s="65"/>
      <c r="K60" s="65"/>
      <c r="L60" s="65"/>
      <c r="M60" s="65"/>
    </row>
    <row r="61" spans="1:13" hidden="1">
      <c r="A61" s="65"/>
      <c r="B61" s="65"/>
      <c r="C61" s="65"/>
      <c r="D61" s="65"/>
      <c r="E61" s="65"/>
      <c r="F61" s="65"/>
      <c r="G61" s="65"/>
      <c r="H61" s="65"/>
      <c r="I61" s="65"/>
      <c r="J61" s="65"/>
      <c r="K61" s="65"/>
      <c r="L61" s="65"/>
      <c r="M61" s="65"/>
    </row>
    <row r="62" spans="1:13" hidden="1">
      <c r="A62" s="65"/>
      <c r="B62" s="65"/>
      <c r="C62" s="65"/>
      <c r="D62" s="65"/>
      <c r="E62" s="65"/>
      <c r="F62" s="65"/>
      <c r="G62" s="65"/>
      <c r="H62" s="65"/>
      <c r="I62" s="65"/>
      <c r="J62" s="65"/>
      <c r="K62" s="65"/>
      <c r="L62" s="65"/>
      <c r="M62" s="65"/>
    </row>
    <row r="63" spans="1:13" hidden="1">
      <c r="A63" s="65"/>
      <c r="B63" s="65"/>
      <c r="C63" s="65"/>
      <c r="D63" s="65"/>
      <c r="E63" s="65"/>
      <c r="F63" s="65"/>
      <c r="G63" s="65"/>
      <c r="H63" s="65"/>
      <c r="I63" s="65"/>
      <c r="J63" s="65"/>
      <c r="K63" s="65"/>
      <c r="L63" s="65"/>
      <c r="M63" s="65"/>
    </row>
    <row r="64" spans="1:13" hidden="1">
      <c r="A64" s="65"/>
      <c r="B64" s="65"/>
      <c r="C64" s="65"/>
      <c r="D64" s="65"/>
      <c r="E64" s="65"/>
      <c r="F64" s="65"/>
      <c r="G64" s="65"/>
      <c r="H64" s="65"/>
      <c r="I64" s="65"/>
      <c r="J64" s="65"/>
      <c r="K64" s="65"/>
      <c r="L64" s="65"/>
      <c r="M64" s="65"/>
    </row>
    <row r="65" spans="1:13" hidden="1">
      <c r="A65" s="65"/>
      <c r="B65" s="65"/>
      <c r="C65" s="65"/>
      <c r="D65" s="65"/>
      <c r="E65" s="65"/>
      <c r="F65" s="65"/>
      <c r="G65" s="65"/>
      <c r="H65" s="65"/>
      <c r="I65" s="65"/>
      <c r="J65" s="65"/>
      <c r="K65" s="65"/>
      <c r="L65" s="65"/>
      <c r="M65" s="65"/>
    </row>
    <row r="66" spans="1:13" hidden="1">
      <c r="A66" s="65"/>
      <c r="B66" s="65"/>
      <c r="C66" s="65"/>
      <c r="D66" s="65"/>
      <c r="E66" s="65"/>
      <c r="F66" s="65"/>
      <c r="G66" s="65"/>
      <c r="H66" s="65"/>
      <c r="I66" s="65"/>
      <c r="J66" s="65"/>
      <c r="K66" s="65"/>
      <c r="L66" s="65"/>
      <c r="M66" s="65"/>
    </row>
    <row r="67" spans="1:13" hidden="1">
      <c r="A67" s="65"/>
      <c r="B67" s="65"/>
      <c r="C67" s="65"/>
      <c r="D67" s="65"/>
      <c r="E67" s="65"/>
      <c r="F67" s="65"/>
      <c r="G67" s="65"/>
      <c r="H67" s="65"/>
      <c r="I67" s="65"/>
      <c r="J67" s="65"/>
      <c r="K67" s="65"/>
      <c r="L67" s="65"/>
      <c r="M67" s="65"/>
    </row>
  </sheetData>
  <mergeCells count="2">
    <mergeCell ref="A1:M2"/>
    <mergeCell ref="A3:M3"/>
  </mergeCells>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DATA</vt:lpstr>
      <vt:lpstr>DATA SUMMARY</vt:lpstr>
      <vt:lpstr>PIVOT ANALYSIS</vt:lpstr>
      <vt:lpstr>DASHBOARD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2025-11-08T15:25:42Z</cp:lastPrinted>
  <dcterms:created xsi:type="dcterms:W3CDTF">2025-10-30T14:16:37Z</dcterms:created>
  <dcterms:modified xsi:type="dcterms:W3CDTF">2025-11-09T11:04:18Z</dcterms:modified>
</cp:coreProperties>
</file>